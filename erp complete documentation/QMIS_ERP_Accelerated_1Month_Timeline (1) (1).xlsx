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-mmm-yyyy"/>
  </numFmts>
  <fonts count="10">
    <font>
      <name val="Calibri"/>
      <family val="2"/>
      <color theme="1"/>
      <sz val="11"/>
      <scheme val="minor"/>
    </font>
    <font>
      <name val="Arial"/>
      <b val="1"/>
      <color rgb="FF3E2A1F"/>
      <sz val="13"/>
    </font>
    <font>
      <name val="Arial"/>
      <color rgb="FF3E2A1F"/>
      <sz val="9"/>
    </font>
    <font>
      <name val="Arial"/>
      <b val="1"/>
      <color rgb="FFB87333"/>
      <sz val="11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3E2A1F"/>
      <sz val="9.5"/>
    </font>
    <font>
      <name val="Arial"/>
      <color rgb="FF1F2937"/>
      <sz val="9.5"/>
    </font>
    <font>
      <name val="Arial"/>
      <color rgb="FF3E2A1F"/>
      <sz val="9.5"/>
    </font>
    <font>
      <name val="Arial"/>
      <b val="1"/>
      <color rgb="FF3E2A1F"/>
      <sz val="11"/>
    </font>
  </fonts>
  <fills count="5">
    <fill>
      <patternFill/>
    </fill>
    <fill>
      <patternFill patternType="gray125"/>
    </fill>
    <fill>
      <patternFill patternType="solid">
        <fgColor rgb="FF3E2A1F"/>
        <bgColor rgb="FF3E2A1F"/>
      </patternFill>
    </fill>
    <fill>
      <patternFill patternType="solid">
        <fgColor rgb="FFFFFFFF"/>
        <bgColor rgb="FFFFFFFF"/>
      </patternFill>
    </fill>
    <fill>
      <patternFill patternType="solid">
        <fgColor rgb="FFF5EBDC"/>
        <bgColor rgb="FFF5EBDC"/>
      </patternFill>
    </fill>
  </fills>
  <borders count="2">
    <border>
      <left/>
      <right/>
      <top/>
      <bottom/>
      <diagonal/>
    </border>
    <border>
      <left style="thin">
        <color rgb="FFD9C7B0"/>
      </left>
      <right style="thin">
        <color rgb="FFD9C7B0"/>
      </right>
      <top style="thin">
        <color rgb="FFD9C7B0"/>
      </top>
      <bottom style="thin">
        <color rgb="FFD9C7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" fontId="5" fillId="2" borderId="1" applyAlignment="1" pivotButton="0" quotePrefix="0" xfId="0">
      <alignment horizontal="center" vertical="center" textRotation="90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165" fontId="8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dxfs count="1">
    <dxf>
      <font>
        <color rgb="FFB87333"/>
      </font>
      <fill>
        <patternFill patternType="solid">
          <bgColor rgb="FFB8733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54" customWidth="1" min="4" max="4"/>
    <col width="13" customWidth="1" min="5" max="5"/>
    <col width="13" customWidth="1" min="6" max="6"/>
    <col width="50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</cols>
  <sheetData>
    <row r="1">
      <c r="A1" s="1" t="inlineStr">
        <is>
          <t>QMIS School ERP – Month-End Fast-Track Plan | 07-Oct-2026 → 30-Oct-2026 (Go-Live by Month-End)</t>
        </is>
      </c>
    </row>
    <row r="2">
      <c r="A2" s="2" t="inlineStr">
        <is>
          <t>Source: QMIS ERP Specification &amp; SOPs. Accelerated with AI coding tools (Claude / Gemini agents). Timeline bars are formulas driven by Starting / End Date.</t>
        </is>
      </c>
    </row>
    <row r="3">
      <c r="H3" s="3" t="inlineStr">
        <is>
          <t>W1</t>
        </is>
      </c>
      <c r="I3" s="3" t="inlineStr"/>
      <c r="J3" s="3" t="inlineStr"/>
      <c r="K3" s="3" t="inlineStr">
        <is>
          <t>W2</t>
        </is>
      </c>
      <c r="L3" s="3" t="inlineStr"/>
      <c r="M3" s="3" t="inlineStr"/>
      <c r="N3" s="3" t="inlineStr"/>
      <c r="O3" s="3" t="inlineStr"/>
      <c r="P3" s="3" t="inlineStr">
        <is>
          <t>W3</t>
        </is>
      </c>
      <c r="Q3" s="3" t="inlineStr"/>
      <c r="R3" s="3" t="inlineStr"/>
      <c r="S3" s="3" t="inlineStr"/>
      <c r="T3" s="3" t="inlineStr"/>
      <c r="U3" s="3" t="inlineStr">
        <is>
          <t>W4</t>
        </is>
      </c>
      <c r="V3" s="3" t="inlineStr"/>
      <c r="W3" s="3" t="inlineStr"/>
      <c r="X3" s="3" t="inlineStr"/>
      <c r="Y3" s="3" t="inlineStr"/>
    </row>
    <row r="4">
      <c r="A4" s="4" t="inlineStr">
        <is>
          <t>Sl.No</t>
        </is>
      </c>
      <c r="B4" s="5" t="inlineStr">
        <is>
          <t>Task Name</t>
        </is>
      </c>
      <c r="C4" s="5" t="inlineStr">
        <is>
          <t>Sub Task Name</t>
        </is>
      </c>
      <c r="D4" s="5" t="inlineStr">
        <is>
          <t>Description</t>
        </is>
      </c>
      <c r="E4" s="4" t="inlineStr">
        <is>
          <t>Starting Date</t>
        </is>
      </c>
      <c r="F4" s="4" t="inlineStr">
        <is>
          <t>End Date</t>
        </is>
      </c>
      <c r="G4" s="5" t="inlineStr">
        <is>
          <t>Remarks</t>
        </is>
      </c>
      <c r="H4" s="6" t="n">
        <v>46302</v>
      </c>
      <c r="I4" s="6" t="n">
        <v>46303</v>
      </c>
      <c r="J4" s="6" t="n">
        <v>46304</v>
      </c>
      <c r="K4" s="6" t="n">
        <v>46307</v>
      </c>
      <c r="L4" s="6" t="n">
        <v>46308</v>
      </c>
      <c r="M4" s="6" t="n">
        <v>46309</v>
      </c>
      <c r="N4" s="6" t="n">
        <v>46310</v>
      </c>
      <c r="O4" s="6" t="n">
        <v>46311</v>
      </c>
      <c r="P4" s="6" t="n">
        <v>46314</v>
      </c>
      <c r="Q4" s="6" t="n">
        <v>46315</v>
      </c>
      <c r="R4" s="6" t="n">
        <v>46316</v>
      </c>
      <c r="S4" s="6" t="n">
        <v>46317</v>
      </c>
      <c r="T4" s="6" t="n">
        <v>46318</v>
      </c>
      <c r="U4" s="6" t="n">
        <v>46321</v>
      </c>
      <c r="V4" s="6" t="n">
        <v>46322</v>
      </c>
      <c r="W4" s="6" t="n">
        <v>46323</v>
      </c>
      <c r="X4" s="6" t="n">
        <v>46324</v>
      </c>
      <c r="Y4" s="6" t="n">
        <v>46325</v>
      </c>
    </row>
    <row r="5">
      <c r="A5" s="7" t="n">
        <v>1</v>
      </c>
      <c r="B5" s="8" t="inlineStr">
        <is>
          <t>Track 1: Foundation &amp; Core Engines</t>
        </is>
      </c>
      <c r="C5" s="9" t="inlineStr">
        <is>
          <t>Multi-Campus DB Schema &amp; Master Tables</t>
        </is>
      </c>
      <c r="D5" s="10" t="inlineStr">
        <is>
          <t>PostgreSQL schema with mandatory Campus Tag on all tables, UUID keys, academic year masters, and school parameters.</t>
        </is>
      </c>
      <c r="E5" s="11" t="n">
        <v>46302</v>
      </c>
      <c r="F5" s="11" t="n">
        <v>46303</v>
      </c>
      <c r="G5" s="9" t="inlineStr">
        <is>
          <t>AI-generated Prisma/SQL DDL &amp; ERD diagrams | Tracker: Phase 0 | Depends on Sl.No: –</t>
        </is>
      </c>
      <c r="H5" s="12">
        <f>IF(AND(H$4&gt;=$E5,H$4&lt;=$F5),1,"")</f>
        <v/>
      </c>
      <c r="I5" s="12">
        <f>IF(AND(I$4&gt;=$E5,I$4&lt;=$F5),1,"")</f>
        <v/>
      </c>
      <c r="J5" s="12">
        <f>IF(AND(J$4&gt;=$E5,J$4&lt;=$F5),1,"")</f>
        <v/>
      </c>
      <c r="K5" s="12">
        <f>IF(AND(K$4&gt;=$E5,K$4&lt;=$F5),1,"")</f>
        <v/>
      </c>
      <c r="L5" s="12">
        <f>IF(AND(L$4&gt;=$E5,L$4&lt;=$F5),1,"")</f>
        <v/>
      </c>
      <c r="M5" s="12">
        <f>IF(AND(M$4&gt;=$E5,M$4&lt;=$F5),1,"")</f>
        <v/>
      </c>
      <c r="N5" s="12">
        <f>IF(AND(N$4&gt;=$E5,N$4&lt;=$F5),1,"")</f>
        <v/>
      </c>
      <c r="O5" s="12">
        <f>IF(AND(O$4&gt;=$E5,O$4&lt;=$F5),1,"")</f>
        <v/>
      </c>
      <c r="P5" s="12">
        <f>IF(AND(P$4&gt;=$E5,P$4&lt;=$F5),1,"")</f>
        <v/>
      </c>
      <c r="Q5" s="12">
        <f>IF(AND(Q$4&gt;=$E5,Q$4&lt;=$F5),1,"")</f>
        <v/>
      </c>
      <c r="R5" s="12">
        <f>IF(AND(R$4&gt;=$E5,R$4&lt;=$F5),1,"")</f>
        <v/>
      </c>
      <c r="S5" s="12">
        <f>IF(AND(S$4&gt;=$E5,S$4&lt;=$F5),1,"")</f>
        <v/>
      </c>
      <c r="T5" s="12">
        <f>IF(AND(T$4&gt;=$E5,T$4&lt;=$F5),1,"")</f>
        <v/>
      </c>
      <c r="U5" s="12">
        <f>IF(AND(U$4&gt;=$E5,U$4&lt;=$F5),1,"")</f>
        <v/>
      </c>
      <c r="V5" s="12">
        <f>IF(AND(V$4&gt;=$E5,V$4&lt;=$F5),1,"")</f>
        <v/>
      </c>
      <c r="W5" s="12">
        <f>IF(AND(W$4&gt;=$E5,W$4&lt;=$F5),1,"")</f>
        <v/>
      </c>
      <c r="X5" s="12">
        <f>IF(AND(X$4&gt;=$E5,X$4&lt;=$F5),1,"")</f>
        <v/>
      </c>
      <c r="Y5" s="12">
        <f>IF(AND(Y$4&gt;=$E5,Y$4&lt;=$F5),1,"")</f>
        <v/>
      </c>
    </row>
    <row r="6">
      <c r="A6" s="7" t="n">
        <v>2</v>
      </c>
      <c r="B6" s="8" t="inlineStr">
        <is>
          <t>Track 1: Foundation &amp; Core Engines</t>
        </is>
      </c>
      <c r="C6" s="9" t="inlineStr">
        <is>
          <t>Dynamic RBAC &amp; Permission Matrix</t>
        </is>
      </c>
      <c r="D6" s="10" t="inlineStr">
        <is>
          <t>Predefined role definitions for all 7 departments; granular View/Create/Approve/Export ACL flags; profile switch logic.</t>
        </is>
      </c>
      <c r="E6" s="11" t="n">
        <v>46302</v>
      </c>
      <c r="F6" s="11" t="n">
        <v>46303</v>
      </c>
      <c r="G6" s="9" t="inlineStr">
        <is>
          <t>AI boilerplate auth middleware &amp; JWT role guards | Tracker: Phase 0 | Depends on Sl.No: 1</t>
        </is>
      </c>
      <c r="H6" s="12">
        <f>IF(AND(H$4&gt;=$E6,H$4&lt;=$F6),1,"")</f>
        <v/>
      </c>
      <c r="I6" s="12">
        <f>IF(AND(I$4&gt;=$E6,I$4&lt;=$F6),1,"")</f>
        <v/>
      </c>
      <c r="J6" s="12">
        <f>IF(AND(J$4&gt;=$E6,J$4&lt;=$F6),1,"")</f>
        <v/>
      </c>
      <c r="K6" s="12">
        <f>IF(AND(K$4&gt;=$E6,K$4&lt;=$F6),1,"")</f>
        <v/>
      </c>
      <c r="L6" s="12">
        <f>IF(AND(L$4&gt;=$E6,L$4&lt;=$F6),1,"")</f>
        <v/>
      </c>
      <c r="M6" s="12">
        <f>IF(AND(M$4&gt;=$E6,M$4&lt;=$F6),1,"")</f>
        <v/>
      </c>
      <c r="N6" s="12">
        <f>IF(AND(N$4&gt;=$E6,N$4&lt;=$F6),1,"")</f>
        <v/>
      </c>
      <c r="O6" s="12">
        <f>IF(AND(O$4&gt;=$E6,O$4&lt;=$F6),1,"")</f>
        <v/>
      </c>
      <c r="P6" s="12">
        <f>IF(AND(P$4&gt;=$E6,P$4&lt;=$F6),1,"")</f>
        <v/>
      </c>
      <c r="Q6" s="12">
        <f>IF(AND(Q$4&gt;=$E6,Q$4&lt;=$F6),1,"")</f>
        <v/>
      </c>
      <c r="R6" s="12">
        <f>IF(AND(R$4&gt;=$E6,R$4&lt;=$F6),1,"")</f>
        <v/>
      </c>
      <c r="S6" s="12">
        <f>IF(AND(S$4&gt;=$E6,S$4&lt;=$F6),1,"")</f>
        <v/>
      </c>
      <c r="T6" s="12">
        <f>IF(AND(T$4&gt;=$E6,T$4&lt;=$F6),1,"")</f>
        <v/>
      </c>
      <c r="U6" s="12">
        <f>IF(AND(U$4&gt;=$E6,U$4&lt;=$F6),1,"")</f>
        <v/>
      </c>
      <c r="V6" s="12">
        <f>IF(AND(V$4&gt;=$E6,V$4&lt;=$F6),1,"")</f>
        <v/>
      </c>
      <c r="W6" s="12">
        <f>IF(AND(W$4&gt;=$E6,W$4&lt;=$F6),1,"")</f>
        <v/>
      </c>
      <c r="X6" s="12">
        <f>IF(AND(X$4&gt;=$E6,X$4&lt;=$F6),1,"")</f>
        <v/>
      </c>
      <c r="Y6" s="12">
        <f>IF(AND(Y$4&gt;=$E6,Y$4&lt;=$F6),1,"")</f>
        <v/>
      </c>
    </row>
    <row r="7">
      <c r="A7" s="7" t="n">
        <v>3</v>
      </c>
      <c r="B7" s="8" t="inlineStr">
        <is>
          <t>Track 1: Foundation &amp; Core Engines</t>
        </is>
      </c>
      <c r="C7" s="9" t="inlineStr">
        <is>
          <t>Universal UIS Core Data Layer</t>
        </is>
      </c>
      <c r="D7" s="10" t="inlineStr">
        <is>
          <t>360-degree lifetime student and staff user profiles, document vault schemas, and sibling association models.</t>
        </is>
      </c>
      <c r="E7" s="11" t="n">
        <v>46303</v>
      </c>
      <c r="F7" s="11" t="n">
        <v>46304</v>
      </c>
      <c r="G7" s="9" t="inlineStr">
        <is>
          <t>AI schema generation &amp; synthetic mock data injection | Tracker: Phase 0 | Depends on Sl.No: 1</t>
        </is>
      </c>
      <c r="H7" s="12">
        <f>IF(AND(H$4&gt;=$E7,H$4&lt;=$F7),1,"")</f>
        <v/>
      </c>
      <c r="I7" s="12">
        <f>IF(AND(I$4&gt;=$E7,I$4&lt;=$F7),1,"")</f>
        <v/>
      </c>
      <c r="J7" s="12">
        <f>IF(AND(J$4&gt;=$E7,J$4&lt;=$F7),1,"")</f>
        <v/>
      </c>
      <c r="K7" s="12">
        <f>IF(AND(K$4&gt;=$E7,K$4&lt;=$F7),1,"")</f>
        <v/>
      </c>
      <c r="L7" s="12">
        <f>IF(AND(L$4&gt;=$E7,L$4&lt;=$F7),1,"")</f>
        <v/>
      </c>
      <c r="M7" s="12">
        <f>IF(AND(M$4&gt;=$E7,M$4&lt;=$F7),1,"")</f>
        <v/>
      </c>
      <c r="N7" s="12">
        <f>IF(AND(N$4&gt;=$E7,N$4&lt;=$F7),1,"")</f>
        <v/>
      </c>
      <c r="O7" s="12">
        <f>IF(AND(O$4&gt;=$E7,O$4&lt;=$F7),1,"")</f>
        <v/>
      </c>
      <c r="P7" s="12">
        <f>IF(AND(P$4&gt;=$E7,P$4&lt;=$F7),1,"")</f>
        <v/>
      </c>
      <c r="Q7" s="12">
        <f>IF(AND(Q$4&gt;=$E7,Q$4&lt;=$F7),1,"")</f>
        <v/>
      </c>
      <c r="R7" s="12">
        <f>IF(AND(R$4&gt;=$E7,R$4&lt;=$F7),1,"")</f>
        <v/>
      </c>
      <c r="S7" s="12">
        <f>IF(AND(S$4&gt;=$E7,S$4&lt;=$F7),1,"")</f>
        <v/>
      </c>
      <c r="T7" s="12">
        <f>IF(AND(T$4&gt;=$E7,T$4&lt;=$F7),1,"")</f>
        <v/>
      </c>
      <c r="U7" s="12">
        <f>IF(AND(U$4&gt;=$E7,U$4&lt;=$F7),1,"")</f>
        <v/>
      </c>
      <c r="V7" s="12">
        <f>IF(AND(V$4&gt;=$E7,V$4&lt;=$F7),1,"")</f>
        <v/>
      </c>
      <c r="W7" s="12">
        <f>IF(AND(W$4&gt;=$E7,W$4&lt;=$F7),1,"")</f>
        <v/>
      </c>
      <c r="X7" s="12">
        <f>IF(AND(X$4&gt;=$E7,X$4&lt;=$F7),1,"")</f>
        <v/>
      </c>
      <c r="Y7" s="12">
        <f>IF(AND(Y$4&gt;=$E7,Y$4&lt;=$F7),1,"")</f>
        <v/>
      </c>
    </row>
    <row r="8">
      <c r="A8" s="7" t="n">
        <v>4</v>
      </c>
      <c r="B8" s="8" t="inlineStr">
        <is>
          <t>Track 1: Foundation &amp; Core Engines</t>
        </is>
      </c>
      <c r="C8" s="9" t="inlineStr">
        <is>
          <t>Dynamic Workflow &amp; Approval Engine</t>
        </is>
      </c>
      <c r="D8" s="10" t="inlineStr">
        <is>
          <t>Visual multi-level approval pipeline configuration with financial approval limits and automated 24-hr escalation timers.</t>
        </is>
      </c>
      <c r="E8" s="11" t="n">
        <v>46303</v>
      </c>
      <c r="F8" s="11" t="n">
        <v>46304</v>
      </c>
      <c r="G8" s="9" t="inlineStr">
        <is>
          <t>AI finite-state-machine (XState/orchestrator) generator | Tracker: Phase 0 | Depends on Sl.No: 2</t>
        </is>
      </c>
      <c r="H8" s="12">
        <f>IF(AND(H$4&gt;=$E8,H$4&lt;=$F8),1,"")</f>
        <v/>
      </c>
      <c r="I8" s="12">
        <f>IF(AND(I$4&gt;=$E8,I$4&lt;=$F8),1,"")</f>
        <v/>
      </c>
      <c r="J8" s="12">
        <f>IF(AND(J$4&gt;=$E8,J$4&lt;=$F8),1,"")</f>
        <v/>
      </c>
      <c r="K8" s="12">
        <f>IF(AND(K$4&gt;=$E8,K$4&lt;=$F8),1,"")</f>
        <v/>
      </c>
      <c r="L8" s="12">
        <f>IF(AND(L$4&gt;=$E8,L$4&lt;=$F8),1,"")</f>
        <v/>
      </c>
      <c r="M8" s="12">
        <f>IF(AND(M$4&gt;=$E8,M$4&lt;=$F8),1,"")</f>
        <v/>
      </c>
      <c r="N8" s="12">
        <f>IF(AND(N$4&gt;=$E8,N$4&lt;=$F8),1,"")</f>
        <v/>
      </c>
      <c r="O8" s="12">
        <f>IF(AND(O$4&gt;=$E8,O$4&lt;=$F8),1,"")</f>
        <v/>
      </c>
      <c r="P8" s="12">
        <f>IF(AND(P$4&gt;=$E8,P$4&lt;=$F8),1,"")</f>
        <v/>
      </c>
      <c r="Q8" s="12">
        <f>IF(AND(Q$4&gt;=$E8,Q$4&lt;=$F8),1,"")</f>
        <v/>
      </c>
      <c r="R8" s="12">
        <f>IF(AND(R$4&gt;=$E8,R$4&lt;=$F8),1,"")</f>
        <v/>
      </c>
      <c r="S8" s="12">
        <f>IF(AND(S$4&gt;=$E8,S$4&lt;=$F8),1,"")</f>
        <v/>
      </c>
      <c r="T8" s="12">
        <f>IF(AND(T$4&gt;=$E8,T$4&lt;=$F8),1,"")</f>
        <v/>
      </c>
      <c r="U8" s="12">
        <f>IF(AND(U$4&gt;=$E8,U$4&lt;=$F8),1,"")</f>
        <v/>
      </c>
      <c r="V8" s="12">
        <f>IF(AND(V$4&gt;=$E8,V$4&lt;=$F8),1,"")</f>
        <v/>
      </c>
      <c r="W8" s="12">
        <f>IF(AND(W$4&gt;=$E8,W$4&lt;=$F8),1,"")</f>
        <v/>
      </c>
      <c r="X8" s="12">
        <f>IF(AND(X$4&gt;=$E8,X$4&lt;=$F8),1,"")</f>
        <v/>
      </c>
      <c r="Y8" s="12">
        <f>IF(AND(Y$4&gt;=$E8,Y$4&lt;=$F8),1,"")</f>
        <v/>
      </c>
    </row>
    <row r="9">
      <c r="A9" s="7" t="n">
        <v>5</v>
      </c>
      <c r="B9" s="8" t="inlineStr">
        <is>
          <t>Track 1: Foundation &amp; Core Engines</t>
        </is>
      </c>
      <c r="C9" s="9" t="inlineStr">
        <is>
          <t>Immutable System Audit Logger</t>
        </is>
      </c>
      <c r="D9" s="10" t="inlineStr">
        <is>
          <t>Microsecond timestamped event logging capturing logins, data entries, report downloads, prints, and MD message views.</t>
        </is>
      </c>
      <c r="E9" s="11" t="n">
        <v>46304</v>
      </c>
      <c r="F9" s="11" t="n">
        <v>46307</v>
      </c>
      <c r="G9" s="9" t="inlineStr">
        <is>
          <t>AI audit interceptor middleware &amp; DB change-data-capture | Tracker: Phase 0 | Depends on Sl.No: 1</t>
        </is>
      </c>
      <c r="H9" s="12">
        <f>IF(AND(H$4&gt;=$E9,H$4&lt;=$F9),1,"")</f>
        <v/>
      </c>
      <c r="I9" s="12">
        <f>IF(AND(I$4&gt;=$E9,I$4&lt;=$F9),1,"")</f>
        <v/>
      </c>
      <c r="J9" s="12">
        <f>IF(AND(J$4&gt;=$E9,J$4&lt;=$F9),1,"")</f>
        <v/>
      </c>
      <c r="K9" s="12">
        <f>IF(AND(K$4&gt;=$E9,K$4&lt;=$F9),1,"")</f>
        <v/>
      </c>
      <c r="L9" s="12">
        <f>IF(AND(L$4&gt;=$E9,L$4&lt;=$F9),1,"")</f>
        <v/>
      </c>
      <c r="M9" s="12">
        <f>IF(AND(M$4&gt;=$E9,M$4&lt;=$F9),1,"")</f>
        <v/>
      </c>
      <c r="N9" s="12">
        <f>IF(AND(N$4&gt;=$E9,N$4&lt;=$F9),1,"")</f>
        <v/>
      </c>
      <c r="O9" s="12">
        <f>IF(AND(O$4&gt;=$E9,O$4&lt;=$F9),1,"")</f>
        <v/>
      </c>
      <c r="P9" s="12">
        <f>IF(AND(P$4&gt;=$E9,P$4&lt;=$F9),1,"")</f>
        <v/>
      </c>
      <c r="Q9" s="12">
        <f>IF(AND(Q$4&gt;=$E9,Q$4&lt;=$F9),1,"")</f>
        <v/>
      </c>
      <c r="R9" s="12">
        <f>IF(AND(R$4&gt;=$E9,R$4&lt;=$F9),1,"")</f>
        <v/>
      </c>
      <c r="S9" s="12">
        <f>IF(AND(S$4&gt;=$E9,S$4&lt;=$F9),1,"")</f>
        <v/>
      </c>
      <c r="T9" s="12">
        <f>IF(AND(T$4&gt;=$E9,T$4&lt;=$F9),1,"")</f>
        <v/>
      </c>
      <c r="U9" s="12">
        <f>IF(AND(U$4&gt;=$E9,U$4&lt;=$F9),1,"")</f>
        <v/>
      </c>
      <c r="V9" s="12">
        <f>IF(AND(V$4&gt;=$E9,V$4&lt;=$F9),1,"")</f>
        <v/>
      </c>
      <c r="W9" s="12">
        <f>IF(AND(W$4&gt;=$E9,W$4&lt;=$F9),1,"")</f>
        <v/>
      </c>
      <c r="X9" s="12">
        <f>IF(AND(X$4&gt;=$E9,X$4&lt;=$F9),1,"")</f>
        <v/>
      </c>
      <c r="Y9" s="12">
        <f>IF(AND(Y$4&gt;=$E9,Y$4&lt;=$F9),1,"")</f>
        <v/>
      </c>
    </row>
    <row r="10">
      <c r="A10" s="13" t="n">
        <v>6</v>
      </c>
      <c r="B10" s="14" t="inlineStr">
        <is>
          <t>Track 2: Core Academics &amp; Attendance</t>
        </is>
      </c>
      <c r="C10" s="15" t="inlineStr">
        <is>
          <t>eSSL iClock RFID Biometric Receiver</t>
        </is>
      </c>
      <c r="D10" s="16" t="inlineStr">
        <is>
          <t>Socket/HTTP push listener for eSSL iClock server (port 99); real-time punch capture, auto-absence, and grace cutoff engine.</t>
        </is>
      </c>
      <c r="E10" s="17" t="n">
        <v>46307</v>
      </c>
      <c r="F10" s="17" t="n">
        <v>46308</v>
      </c>
      <c r="G10" s="15" t="inlineStr">
        <is>
          <t>AI socket parser &amp; automated mock device punch generator | Tracker: Phase 1 | Depends on Sl.No: 3</t>
        </is>
      </c>
      <c r="H10" s="12">
        <f>IF(AND(H$4&gt;=$E10,H$4&lt;=$F10),1,"")</f>
        <v/>
      </c>
      <c r="I10" s="12">
        <f>IF(AND(I$4&gt;=$E10,I$4&lt;=$F10),1,"")</f>
        <v/>
      </c>
      <c r="J10" s="12">
        <f>IF(AND(J$4&gt;=$E10,J$4&lt;=$F10),1,"")</f>
        <v/>
      </c>
      <c r="K10" s="12">
        <f>IF(AND(K$4&gt;=$E10,K$4&lt;=$F10),1,"")</f>
        <v/>
      </c>
      <c r="L10" s="12">
        <f>IF(AND(L$4&gt;=$E10,L$4&lt;=$F10),1,"")</f>
        <v/>
      </c>
      <c r="M10" s="12">
        <f>IF(AND(M$4&gt;=$E10,M$4&lt;=$F10),1,"")</f>
        <v/>
      </c>
      <c r="N10" s="12">
        <f>IF(AND(N$4&gt;=$E10,N$4&lt;=$F10),1,"")</f>
        <v/>
      </c>
      <c r="O10" s="12">
        <f>IF(AND(O$4&gt;=$E10,O$4&lt;=$F10),1,"")</f>
        <v/>
      </c>
      <c r="P10" s="12">
        <f>IF(AND(P$4&gt;=$E10,P$4&lt;=$F10),1,"")</f>
        <v/>
      </c>
      <c r="Q10" s="12">
        <f>IF(AND(Q$4&gt;=$E10,Q$4&lt;=$F10),1,"")</f>
        <v/>
      </c>
      <c r="R10" s="12">
        <f>IF(AND(R$4&gt;=$E10,R$4&lt;=$F10),1,"")</f>
        <v/>
      </c>
      <c r="S10" s="12">
        <f>IF(AND(S$4&gt;=$E10,S$4&lt;=$F10),1,"")</f>
        <v/>
      </c>
      <c r="T10" s="12">
        <f>IF(AND(T$4&gt;=$E10,T$4&lt;=$F10),1,"")</f>
        <v/>
      </c>
      <c r="U10" s="12">
        <f>IF(AND(U$4&gt;=$E10,U$4&lt;=$F10),1,"")</f>
        <v/>
      </c>
      <c r="V10" s="12">
        <f>IF(AND(V$4&gt;=$E10,V$4&lt;=$F10),1,"")</f>
        <v/>
      </c>
      <c r="W10" s="12">
        <f>IF(AND(W$4&gt;=$E10,W$4&lt;=$F10),1,"")</f>
        <v/>
      </c>
      <c r="X10" s="12">
        <f>IF(AND(X$4&gt;=$E10,X$4&lt;=$F10),1,"")</f>
        <v/>
      </c>
      <c r="Y10" s="12">
        <f>IF(AND(Y$4&gt;=$E10,Y$4&lt;=$F10),1,"")</f>
        <v/>
      </c>
    </row>
    <row r="11">
      <c r="A11" s="13" t="n">
        <v>7</v>
      </c>
      <c r="B11" s="14" t="inlineStr">
        <is>
          <t>Track 2: Core Academics &amp; Attendance</t>
        </is>
      </c>
      <c r="C11" s="15" t="inlineStr">
        <is>
          <t>Timetable Generator &amp; Clash Detection</t>
        </is>
      </c>
      <c r="D11" s="16" t="inlineStr">
        <is>
          <t>Dynamic weekly class, teacher, and exam schedule builder with conflict avoidance and relief period auto-substitution.</t>
        </is>
      </c>
      <c r="E11" s="17" t="n">
        <v>46307</v>
      </c>
      <c r="F11" s="17" t="n">
        <v>46308</v>
      </c>
      <c r="G11" s="15" t="inlineStr">
        <is>
          <t>AI constraint satisfaction algorithm for scheduling | Tracker: Phase 1 | Depends on Sl.No: 3</t>
        </is>
      </c>
      <c r="H11" s="12">
        <f>IF(AND(H$4&gt;=$E11,H$4&lt;=$F11),1,"")</f>
        <v/>
      </c>
      <c r="I11" s="12">
        <f>IF(AND(I$4&gt;=$E11,I$4&lt;=$F11),1,"")</f>
        <v/>
      </c>
      <c r="J11" s="12">
        <f>IF(AND(J$4&gt;=$E11,J$4&lt;=$F11),1,"")</f>
        <v/>
      </c>
      <c r="K11" s="12">
        <f>IF(AND(K$4&gt;=$E11,K$4&lt;=$F11),1,"")</f>
        <v/>
      </c>
      <c r="L11" s="12">
        <f>IF(AND(L$4&gt;=$E11,L$4&lt;=$F11),1,"")</f>
        <v/>
      </c>
      <c r="M11" s="12">
        <f>IF(AND(M$4&gt;=$E11,M$4&lt;=$F11),1,"")</f>
        <v/>
      </c>
      <c r="N11" s="12">
        <f>IF(AND(N$4&gt;=$E11,N$4&lt;=$F11),1,"")</f>
        <v/>
      </c>
      <c r="O11" s="12">
        <f>IF(AND(O$4&gt;=$E11,O$4&lt;=$F11),1,"")</f>
        <v/>
      </c>
      <c r="P11" s="12">
        <f>IF(AND(P$4&gt;=$E11,P$4&lt;=$F11),1,"")</f>
        <v/>
      </c>
      <c r="Q11" s="12">
        <f>IF(AND(Q$4&gt;=$E11,Q$4&lt;=$F11),1,"")</f>
        <v/>
      </c>
      <c r="R11" s="12">
        <f>IF(AND(R$4&gt;=$E11,R$4&lt;=$F11),1,"")</f>
        <v/>
      </c>
      <c r="S11" s="12">
        <f>IF(AND(S$4&gt;=$E11,S$4&lt;=$F11),1,"")</f>
        <v/>
      </c>
      <c r="T11" s="12">
        <f>IF(AND(T$4&gt;=$E11,T$4&lt;=$F11),1,"")</f>
        <v/>
      </c>
      <c r="U11" s="12">
        <f>IF(AND(U$4&gt;=$E11,U$4&lt;=$F11),1,"")</f>
        <v/>
      </c>
      <c r="V11" s="12">
        <f>IF(AND(V$4&gt;=$E11,V$4&lt;=$F11),1,"")</f>
        <v/>
      </c>
      <c r="W11" s="12">
        <f>IF(AND(W$4&gt;=$E11,W$4&lt;=$F11),1,"")</f>
        <v/>
      </c>
      <c r="X11" s="12">
        <f>IF(AND(X$4&gt;=$E11,X$4&lt;=$F11),1,"")</f>
        <v/>
      </c>
      <c r="Y11" s="12">
        <f>IF(AND(Y$4&gt;=$E11,Y$4&lt;=$F11),1,"")</f>
        <v/>
      </c>
    </row>
    <row r="12">
      <c r="A12" s="13" t="n">
        <v>8</v>
      </c>
      <c r="B12" s="14" t="inlineStr">
        <is>
          <t>Track 2: Core Academics &amp; Attendance</t>
        </is>
      </c>
      <c r="C12" s="15" t="inlineStr">
        <is>
          <t>Dynamic Lesson Planning Engine</t>
        </is>
      </c>
      <c r="D12" s="16" t="inlineStr">
        <is>
          <t>Monthly plan authoring (objectives, teaching aids, assessment); 4-tier approval: Teacher → Coord → Principal → DA.</t>
        </is>
      </c>
      <c r="E12" s="17" t="n">
        <v>46308</v>
      </c>
      <c r="F12" s="17" t="n">
        <v>46309</v>
      </c>
      <c r="G12" s="15" t="inlineStr">
        <is>
          <t>AI UI scaffold matching Oct Lesson Plan template | Tracker: Phase 1 | Depends on Sl.No: 4</t>
        </is>
      </c>
      <c r="H12" s="12">
        <f>IF(AND(H$4&gt;=$E12,H$4&lt;=$F12),1,"")</f>
        <v/>
      </c>
      <c r="I12" s="12">
        <f>IF(AND(I$4&gt;=$E12,I$4&lt;=$F12),1,"")</f>
        <v/>
      </c>
      <c r="J12" s="12">
        <f>IF(AND(J$4&gt;=$E12,J$4&lt;=$F12),1,"")</f>
        <v/>
      </c>
      <c r="K12" s="12">
        <f>IF(AND(K$4&gt;=$E12,K$4&lt;=$F12),1,"")</f>
        <v/>
      </c>
      <c r="L12" s="12">
        <f>IF(AND(L$4&gt;=$E12,L$4&lt;=$F12),1,"")</f>
        <v/>
      </c>
      <c r="M12" s="12">
        <f>IF(AND(M$4&gt;=$E12,M$4&lt;=$F12),1,"")</f>
        <v/>
      </c>
      <c r="N12" s="12">
        <f>IF(AND(N$4&gt;=$E12,N$4&lt;=$F12),1,"")</f>
        <v/>
      </c>
      <c r="O12" s="12">
        <f>IF(AND(O$4&gt;=$E12,O$4&lt;=$F12),1,"")</f>
        <v/>
      </c>
      <c r="P12" s="12">
        <f>IF(AND(P$4&gt;=$E12,P$4&lt;=$F12),1,"")</f>
        <v/>
      </c>
      <c r="Q12" s="12">
        <f>IF(AND(Q$4&gt;=$E12,Q$4&lt;=$F12),1,"")</f>
        <v/>
      </c>
      <c r="R12" s="12">
        <f>IF(AND(R$4&gt;=$E12,R$4&lt;=$F12),1,"")</f>
        <v/>
      </c>
      <c r="S12" s="12">
        <f>IF(AND(S$4&gt;=$E12,S$4&lt;=$F12),1,"")</f>
        <v/>
      </c>
      <c r="T12" s="12">
        <f>IF(AND(T$4&gt;=$E12,T$4&lt;=$F12),1,"")</f>
        <v/>
      </c>
      <c r="U12" s="12">
        <f>IF(AND(U$4&gt;=$E12,U$4&lt;=$F12),1,"")</f>
        <v/>
      </c>
      <c r="V12" s="12">
        <f>IF(AND(V$4&gt;=$E12,V$4&lt;=$F12),1,"")</f>
        <v/>
      </c>
      <c r="W12" s="12">
        <f>IF(AND(W$4&gt;=$E12,W$4&lt;=$F12),1,"")</f>
        <v/>
      </c>
      <c r="X12" s="12">
        <f>IF(AND(X$4&gt;=$E12,X$4&lt;=$F12),1,"")</f>
        <v/>
      </c>
      <c r="Y12" s="12">
        <f>IF(AND(Y$4&gt;=$E12,Y$4&lt;=$F12),1,"")</f>
        <v/>
      </c>
    </row>
    <row r="13">
      <c r="A13" s="13" t="n">
        <v>9</v>
      </c>
      <c r="B13" s="14" t="inlineStr">
        <is>
          <t>Track 2: Core Academics &amp; Attendance</t>
        </is>
      </c>
      <c r="C13" s="15" t="inlineStr">
        <is>
          <t>Question Bank &amp; Examination Setup</t>
        </is>
      </c>
      <c r="D13" s="16" t="inlineStr">
        <is>
          <t>Question repository by bloom's taxonomy, blueprint authoring, exam timetable creation, and hall ticket generation.</t>
        </is>
      </c>
      <c r="E13" s="17" t="n">
        <v>46308</v>
      </c>
      <c r="F13" s="17" t="n">
        <v>46310</v>
      </c>
      <c r="G13" s="15" t="inlineStr">
        <is>
          <t>AI question ingestion parser &amp; exam blueprint builder | Tracker: Phase 1 | Depends on Sl.No: 7</t>
        </is>
      </c>
      <c r="H13" s="12">
        <f>IF(AND(H$4&gt;=$E13,H$4&lt;=$F13),1,"")</f>
        <v/>
      </c>
      <c r="I13" s="12">
        <f>IF(AND(I$4&gt;=$E13,I$4&lt;=$F13),1,"")</f>
        <v/>
      </c>
      <c r="J13" s="12">
        <f>IF(AND(J$4&gt;=$E13,J$4&lt;=$F13),1,"")</f>
        <v/>
      </c>
      <c r="K13" s="12">
        <f>IF(AND(K$4&gt;=$E13,K$4&lt;=$F13),1,"")</f>
        <v/>
      </c>
      <c r="L13" s="12">
        <f>IF(AND(L$4&gt;=$E13,L$4&lt;=$F13),1,"")</f>
        <v/>
      </c>
      <c r="M13" s="12">
        <f>IF(AND(M$4&gt;=$E13,M$4&lt;=$F13),1,"")</f>
        <v/>
      </c>
      <c r="N13" s="12">
        <f>IF(AND(N$4&gt;=$E13,N$4&lt;=$F13),1,"")</f>
        <v/>
      </c>
      <c r="O13" s="12">
        <f>IF(AND(O$4&gt;=$E13,O$4&lt;=$F13),1,"")</f>
        <v/>
      </c>
      <c r="P13" s="12">
        <f>IF(AND(P$4&gt;=$E13,P$4&lt;=$F13),1,"")</f>
        <v/>
      </c>
      <c r="Q13" s="12">
        <f>IF(AND(Q$4&gt;=$E13,Q$4&lt;=$F13),1,"")</f>
        <v/>
      </c>
      <c r="R13" s="12">
        <f>IF(AND(R$4&gt;=$E13,R$4&lt;=$F13),1,"")</f>
        <v/>
      </c>
      <c r="S13" s="12">
        <f>IF(AND(S$4&gt;=$E13,S$4&lt;=$F13),1,"")</f>
        <v/>
      </c>
      <c r="T13" s="12">
        <f>IF(AND(T$4&gt;=$E13,T$4&lt;=$F13),1,"")</f>
        <v/>
      </c>
      <c r="U13" s="12">
        <f>IF(AND(U$4&gt;=$E13,U$4&lt;=$F13),1,"")</f>
        <v/>
      </c>
      <c r="V13" s="12">
        <f>IF(AND(V$4&gt;=$E13,V$4&lt;=$F13),1,"")</f>
        <v/>
      </c>
      <c r="W13" s="12">
        <f>IF(AND(W$4&gt;=$E13,W$4&lt;=$F13),1,"")</f>
        <v/>
      </c>
      <c r="X13" s="12">
        <f>IF(AND(X$4&gt;=$E13,X$4&lt;=$F13),1,"")</f>
        <v/>
      </c>
      <c r="Y13" s="12">
        <f>IF(AND(Y$4&gt;=$E13,Y$4&lt;=$F13),1,"")</f>
        <v/>
      </c>
    </row>
    <row r="14">
      <c r="A14" s="13" t="n">
        <v>10</v>
      </c>
      <c r="B14" s="14" t="inlineStr">
        <is>
          <t>Track 2: Core Academics &amp; Attendance</t>
        </is>
      </c>
      <c r="C14" s="15" t="inlineStr">
        <is>
          <t>Marks Entry &amp; CBSE Grading Engine</t>
        </is>
      </c>
      <c r="D14" s="16" t="inlineStr">
        <is>
          <t>Single/bulk marks upload, moderation approvals, term weightages (CA/RCT, Midterm, Annual), and credit point formulas.</t>
        </is>
      </c>
      <c r="E14" s="17" t="n">
        <v>46309</v>
      </c>
      <c r="F14" s="17" t="n">
        <v>46310</v>
      </c>
      <c r="G14" s="15" t="inlineStr">
        <is>
          <t>AI formula extraction from Progress Report.xlsm | Tracker: Phase 1 | Depends on Sl.No: 9</t>
        </is>
      </c>
      <c r="H14" s="12">
        <f>IF(AND(H$4&gt;=$E14,H$4&lt;=$F14),1,"")</f>
        <v/>
      </c>
      <c r="I14" s="12">
        <f>IF(AND(I$4&gt;=$E14,I$4&lt;=$F14),1,"")</f>
        <v/>
      </c>
      <c r="J14" s="12">
        <f>IF(AND(J$4&gt;=$E14,J$4&lt;=$F14),1,"")</f>
        <v/>
      </c>
      <c r="K14" s="12">
        <f>IF(AND(K$4&gt;=$E14,K$4&lt;=$F14),1,"")</f>
        <v/>
      </c>
      <c r="L14" s="12">
        <f>IF(AND(L$4&gt;=$E14,L$4&lt;=$F14),1,"")</f>
        <v/>
      </c>
      <c r="M14" s="12">
        <f>IF(AND(M$4&gt;=$E14,M$4&lt;=$F14),1,"")</f>
        <v/>
      </c>
      <c r="N14" s="12">
        <f>IF(AND(N$4&gt;=$E14,N$4&lt;=$F14),1,"")</f>
        <v/>
      </c>
      <c r="O14" s="12">
        <f>IF(AND(O$4&gt;=$E14,O$4&lt;=$F14),1,"")</f>
        <v/>
      </c>
      <c r="P14" s="12">
        <f>IF(AND(P$4&gt;=$E14,P$4&lt;=$F14),1,"")</f>
        <v/>
      </c>
      <c r="Q14" s="12">
        <f>IF(AND(Q$4&gt;=$E14,Q$4&lt;=$F14),1,"")</f>
        <v/>
      </c>
      <c r="R14" s="12">
        <f>IF(AND(R$4&gt;=$E14,R$4&lt;=$F14),1,"")</f>
        <v/>
      </c>
      <c r="S14" s="12">
        <f>IF(AND(S$4&gt;=$E14,S$4&lt;=$F14),1,"")</f>
        <v/>
      </c>
      <c r="T14" s="12">
        <f>IF(AND(T$4&gt;=$E14,T$4&lt;=$F14),1,"")</f>
        <v/>
      </c>
      <c r="U14" s="12">
        <f>IF(AND(U$4&gt;=$E14,U$4&lt;=$F14),1,"")</f>
        <v/>
      </c>
      <c r="V14" s="12">
        <f>IF(AND(V$4&gt;=$E14,V$4&lt;=$F14),1,"")</f>
        <v/>
      </c>
      <c r="W14" s="12">
        <f>IF(AND(W$4&gt;=$E14,W$4&lt;=$F14),1,"")</f>
        <v/>
      </c>
      <c r="X14" s="12">
        <f>IF(AND(X$4&gt;=$E14,X$4&lt;=$F14),1,"")</f>
        <v/>
      </c>
      <c r="Y14" s="12">
        <f>IF(AND(Y$4&gt;=$E14,Y$4&lt;=$F14),1,"")</f>
        <v/>
      </c>
    </row>
    <row r="15">
      <c r="A15" s="13" t="n">
        <v>11</v>
      </c>
      <c r="B15" s="14" t="inlineStr">
        <is>
          <t>Track 2: Core Academics &amp; Attendance</t>
        </is>
      </c>
      <c r="C15" s="15" t="inlineStr">
        <is>
          <t>Printable CBSE Report Card Generator</t>
        </is>
      </c>
      <c r="D15" s="16" t="inlineStr">
        <is>
          <t>Pixel-perfect automated PDF generation matching official Queen Mira report card format (Aariv Doddi model).</t>
        </is>
      </c>
      <c r="E15" s="17" t="n">
        <v>46309</v>
      </c>
      <c r="F15" s="17" t="n">
        <v>46311</v>
      </c>
      <c r="G15" s="15" t="inlineStr">
        <is>
          <t>AI PDF template styling via React-PDF / Puppeteer | Tracker: Phase 1 | Depends on Sl.No: 10</t>
        </is>
      </c>
      <c r="H15" s="12">
        <f>IF(AND(H$4&gt;=$E15,H$4&lt;=$F15),1,"")</f>
        <v/>
      </c>
      <c r="I15" s="12">
        <f>IF(AND(I$4&gt;=$E15,I$4&lt;=$F15),1,"")</f>
        <v/>
      </c>
      <c r="J15" s="12">
        <f>IF(AND(J$4&gt;=$E15,J$4&lt;=$F15),1,"")</f>
        <v/>
      </c>
      <c r="K15" s="12">
        <f>IF(AND(K$4&gt;=$E15,K$4&lt;=$F15),1,"")</f>
        <v/>
      </c>
      <c r="L15" s="12">
        <f>IF(AND(L$4&gt;=$E15,L$4&lt;=$F15),1,"")</f>
        <v/>
      </c>
      <c r="M15" s="12">
        <f>IF(AND(M$4&gt;=$E15,M$4&lt;=$F15),1,"")</f>
        <v/>
      </c>
      <c r="N15" s="12">
        <f>IF(AND(N$4&gt;=$E15,N$4&lt;=$F15),1,"")</f>
        <v/>
      </c>
      <c r="O15" s="12">
        <f>IF(AND(O$4&gt;=$E15,O$4&lt;=$F15),1,"")</f>
        <v/>
      </c>
      <c r="P15" s="12">
        <f>IF(AND(P$4&gt;=$E15,P$4&lt;=$F15),1,"")</f>
        <v/>
      </c>
      <c r="Q15" s="12">
        <f>IF(AND(Q$4&gt;=$E15,Q$4&lt;=$F15),1,"")</f>
        <v/>
      </c>
      <c r="R15" s="12">
        <f>IF(AND(R$4&gt;=$E15,R$4&lt;=$F15),1,"")</f>
        <v/>
      </c>
      <c r="S15" s="12">
        <f>IF(AND(S$4&gt;=$E15,S$4&lt;=$F15),1,"")</f>
        <v/>
      </c>
      <c r="T15" s="12">
        <f>IF(AND(T$4&gt;=$E15,T$4&lt;=$F15),1,"")</f>
        <v/>
      </c>
      <c r="U15" s="12">
        <f>IF(AND(U$4&gt;=$E15,U$4&lt;=$F15),1,"")</f>
        <v/>
      </c>
      <c r="V15" s="12">
        <f>IF(AND(V$4&gt;=$E15,V$4&lt;=$F15),1,"")</f>
        <v/>
      </c>
      <c r="W15" s="12">
        <f>IF(AND(W$4&gt;=$E15,W$4&lt;=$F15),1,"")</f>
        <v/>
      </c>
      <c r="X15" s="12">
        <f>IF(AND(X$4&gt;=$E15,X$4&lt;=$F15),1,"")</f>
        <v/>
      </c>
      <c r="Y15" s="12">
        <f>IF(AND(Y$4&gt;=$E15,Y$4&lt;=$F15),1,"")</f>
        <v/>
      </c>
    </row>
    <row r="16">
      <c r="A16" s="13" t="n">
        <v>12</v>
      </c>
      <c r="B16" s="14" t="inlineStr">
        <is>
          <t>Track 2: Core Academics &amp; Attendance</t>
        </is>
      </c>
      <c r="C16" s="15" t="inlineStr">
        <is>
          <t>HomeFun (Homework) &amp; Digital Diary</t>
        </is>
      </c>
      <c r="D16" s="16" t="inlineStr">
        <is>
          <t>Daily homework assignment dispatch, multimedia attachment support, student submission tracking, and parent viewing.</t>
        </is>
      </c>
      <c r="E16" s="17" t="n">
        <v>46310</v>
      </c>
      <c r="F16" s="17" t="n">
        <v>46311</v>
      </c>
      <c r="G16" s="15" t="inlineStr">
        <is>
          <t>AI file-uploader &amp; responsive mobile student portal | Tracker: Phase 1 | Depends on Sl.No: 3</t>
        </is>
      </c>
      <c r="H16" s="12">
        <f>IF(AND(H$4&gt;=$E16,H$4&lt;=$F16),1,"")</f>
        <v/>
      </c>
      <c r="I16" s="12">
        <f>IF(AND(I$4&gt;=$E16,I$4&lt;=$F16),1,"")</f>
        <v/>
      </c>
      <c r="J16" s="12">
        <f>IF(AND(J$4&gt;=$E16,J$4&lt;=$F16),1,"")</f>
        <v/>
      </c>
      <c r="K16" s="12">
        <f>IF(AND(K$4&gt;=$E16,K$4&lt;=$F16),1,"")</f>
        <v/>
      </c>
      <c r="L16" s="12">
        <f>IF(AND(L$4&gt;=$E16,L$4&lt;=$F16),1,"")</f>
        <v/>
      </c>
      <c r="M16" s="12">
        <f>IF(AND(M$4&gt;=$E16,M$4&lt;=$F16),1,"")</f>
        <v/>
      </c>
      <c r="N16" s="12">
        <f>IF(AND(N$4&gt;=$E16,N$4&lt;=$F16),1,"")</f>
        <v/>
      </c>
      <c r="O16" s="12">
        <f>IF(AND(O$4&gt;=$E16,O$4&lt;=$F16),1,"")</f>
        <v/>
      </c>
      <c r="P16" s="12">
        <f>IF(AND(P$4&gt;=$E16,P$4&lt;=$F16),1,"")</f>
        <v/>
      </c>
      <c r="Q16" s="12">
        <f>IF(AND(Q$4&gt;=$E16,Q$4&lt;=$F16),1,"")</f>
        <v/>
      </c>
      <c r="R16" s="12">
        <f>IF(AND(R$4&gt;=$E16,R$4&lt;=$F16),1,"")</f>
        <v/>
      </c>
      <c r="S16" s="12">
        <f>IF(AND(S$4&gt;=$E16,S$4&lt;=$F16),1,"")</f>
        <v/>
      </c>
      <c r="T16" s="12">
        <f>IF(AND(T$4&gt;=$E16,T$4&lt;=$F16),1,"")</f>
        <v/>
      </c>
      <c r="U16" s="12">
        <f>IF(AND(U$4&gt;=$E16,U$4&lt;=$F16),1,"")</f>
        <v/>
      </c>
      <c r="V16" s="12">
        <f>IF(AND(V$4&gt;=$E16,V$4&lt;=$F16),1,"")</f>
        <v/>
      </c>
      <c r="W16" s="12">
        <f>IF(AND(W$4&gt;=$E16,W$4&lt;=$F16),1,"")</f>
        <v/>
      </c>
      <c r="X16" s="12">
        <f>IF(AND(X$4&gt;=$E16,X$4&lt;=$F16),1,"")</f>
        <v/>
      </c>
      <c r="Y16" s="12">
        <f>IF(AND(Y$4&gt;=$E16,Y$4&lt;=$F16),1,"")</f>
        <v/>
      </c>
    </row>
    <row r="17">
      <c r="A17" s="13" t="n">
        <v>13</v>
      </c>
      <c r="B17" s="14" t="inlineStr">
        <is>
          <t>Track 2: Core Academics &amp; Attendance</t>
        </is>
      </c>
      <c r="C17" s="15" t="inlineStr">
        <is>
          <t>Student Gate Pass &amp; Internal Messaging</t>
        </is>
      </c>
      <c r="D17" s="16" t="inlineStr">
        <is>
          <t>PRM/Teacher gate pass workflow with dynamic approver selection and Security scan; one-to-one messaging with MD logging.</t>
        </is>
      </c>
      <c r="E17" s="17" t="n">
        <v>46310</v>
      </c>
      <c r="F17" s="17" t="n">
        <v>46311</v>
      </c>
      <c r="G17" s="15" t="inlineStr">
        <is>
          <t>AI barcode/QR token generator &amp; chat component | Tracker: Phase 1 | Depends on Sl.No: 4</t>
        </is>
      </c>
      <c r="H17" s="12">
        <f>IF(AND(H$4&gt;=$E17,H$4&lt;=$F17),1,"")</f>
        <v/>
      </c>
      <c r="I17" s="12">
        <f>IF(AND(I$4&gt;=$E17,I$4&lt;=$F17),1,"")</f>
        <v/>
      </c>
      <c r="J17" s="12">
        <f>IF(AND(J$4&gt;=$E17,J$4&lt;=$F17),1,"")</f>
        <v/>
      </c>
      <c r="K17" s="12">
        <f>IF(AND(K$4&gt;=$E17,K$4&lt;=$F17),1,"")</f>
        <v/>
      </c>
      <c r="L17" s="12">
        <f>IF(AND(L$4&gt;=$E17,L$4&lt;=$F17),1,"")</f>
        <v/>
      </c>
      <c r="M17" s="12">
        <f>IF(AND(M$4&gt;=$E17,M$4&lt;=$F17),1,"")</f>
        <v/>
      </c>
      <c r="N17" s="12">
        <f>IF(AND(N$4&gt;=$E17,N$4&lt;=$F17),1,"")</f>
        <v/>
      </c>
      <c r="O17" s="12">
        <f>IF(AND(O$4&gt;=$E17,O$4&lt;=$F17),1,"")</f>
        <v/>
      </c>
      <c r="P17" s="12">
        <f>IF(AND(P$4&gt;=$E17,P$4&lt;=$F17),1,"")</f>
        <v/>
      </c>
      <c r="Q17" s="12">
        <f>IF(AND(Q$4&gt;=$E17,Q$4&lt;=$F17),1,"")</f>
        <v/>
      </c>
      <c r="R17" s="12">
        <f>IF(AND(R$4&gt;=$E17,R$4&lt;=$F17),1,"")</f>
        <v/>
      </c>
      <c r="S17" s="12">
        <f>IF(AND(S$4&gt;=$E17,S$4&lt;=$F17),1,"")</f>
        <v/>
      </c>
      <c r="T17" s="12">
        <f>IF(AND(T$4&gt;=$E17,T$4&lt;=$F17),1,"")</f>
        <v/>
      </c>
      <c r="U17" s="12">
        <f>IF(AND(U$4&gt;=$E17,U$4&lt;=$F17),1,"")</f>
        <v/>
      </c>
      <c r="V17" s="12">
        <f>IF(AND(V$4&gt;=$E17,V$4&lt;=$F17),1,"")</f>
        <v/>
      </c>
      <c r="W17" s="12">
        <f>IF(AND(W$4&gt;=$E17,W$4&lt;=$F17),1,"")</f>
        <v/>
      </c>
      <c r="X17" s="12">
        <f>IF(AND(X$4&gt;=$E17,X$4&lt;=$F17),1,"")</f>
        <v/>
      </c>
      <c r="Y17" s="12">
        <f>IF(AND(Y$4&gt;=$E17,Y$4&lt;=$F17),1,"")</f>
        <v/>
      </c>
    </row>
    <row r="18">
      <c r="A18" s="13" t="n">
        <v>14</v>
      </c>
      <c r="B18" s="14" t="inlineStr">
        <is>
          <t>Track 2: Core Academics &amp; Attendance</t>
        </is>
      </c>
      <c r="C18" s="15" t="inlineStr">
        <is>
          <t>Complaints Desk with 24-Hour SLA Escalation</t>
        </is>
      </c>
      <c r="D18" s="16" t="inlineStr">
        <is>
          <t>Parent/student complaint ticketing with countdown timer; automated next-tier escalation on 24-hr breach or 'Not Satisfied'.</t>
        </is>
      </c>
      <c r="E18" s="17" t="n">
        <v>46310</v>
      </c>
      <c r="F18" s="17" t="n">
        <v>46314</v>
      </c>
      <c r="G18" s="15" t="inlineStr">
        <is>
          <t>AI cron-based SLA trigger &amp; alert notification engine | Tracker: Phase 1 | Depends on Sl.No: 4</t>
        </is>
      </c>
      <c r="H18" s="12">
        <f>IF(AND(H$4&gt;=$E18,H$4&lt;=$F18),1,"")</f>
        <v/>
      </c>
      <c r="I18" s="12">
        <f>IF(AND(I$4&gt;=$E18,I$4&lt;=$F18),1,"")</f>
        <v/>
      </c>
      <c r="J18" s="12">
        <f>IF(AND(J$4&gt;=$E18,J$4&lt;=$F18),1,"")</f>
        <v/>
      </c>
      <c r="K18" s="12">
        <f>IF(AND(K$4&gt;=$E18,K$4&lt;=$F18),1,"")</f>
        <v/>
      </c>
      <c r="L18" s="12">
        <f>IF(AND(L$4&gt;=$E18,L$4&lt;=$F18),1,"")</f>
        <v/>
      </c>
      <c r="M18" s="12">
        <f>IF(AND(M$4&gt;=$E18,M$4&lt;=$F18),1,"")</f>
        <v/>
      </c>
      <c r="N18" s="12">
        <f>IF(AND(N$4&gt;=$E18,N$4&lt;=$F18),1,"")</f>
        <v/>
      </c>
      <c r="O18" s="12">
        <f>IF(AND(O$4&gt;=$E18,O$4&lt;=$F18),1,"")</f>
        <v/>
      </c>
      <c r="P18" s="12">
        <f>IF(AND(P$4&gt;=$E18,P$4&lt;=$F18),1,"")</f>
        <v/>
      </c>
      <c r="Q18" s="12">
        <f>IF(AND(Q$4&gt;=$E18,Q$4&lt;=$F18),1,"")</f>
        <v/>
      </c>
      <c r="R18" s="12">
        <f>IF(AND(R$4&gt;=$E18,R$4&lt;=$F18),1,"")</f>
        <v/>
      </c>
      <c r="S18" s="12">
        <f>IF(AND(S$4&gt;=$E18,S$4&lt;=$F18),1,"")</f>
        <v/>
      </c>
      <c r="T18" s="12">
        <f>IF(AND(T$4&gt;=$E18,T$4&lt;=$F18),1,"")</f>
        <v/>
      </c>
      <c r="U18" s="12">
        <f>IF(AND(U$4&gt;=$E18,U$4&lt;=$F18),1,"")</f>
        <v/>
      </c>
      <c r="V18" s="12">
        <f>IF(AND(V$4&gt;=$E18,V$4&lt;=$F18),1,"")</f>
        <v/>
      </c>
      <c r="W18" s="12">
        <f>IF(AND(W$4&gt;=$E18,W$4&lt;=$F18),1,"")</f>
        <v/>
      </c>
      <c r="X18" s="12">
        <f>IF(AND(X$4&gt;=$E18,X$4&lt;=$F18),1,"")</f>
        <v/>
      </c>
      <c r="Y18" s="12">
        <f>IF(AND(Y$4&gt;=$E18,Y$4&lt;=$F18),1,"")</f>
        <v/>
      </c>
    </row>
    <row r="19">
      <c r="A19" s="13" t="n">
        <v>15</v>
      </c>
      <c r="B19" s="14" t="inlineStr">
        <is>
          <t>Track 2: Core Academics &amp; Attendance</t>
        </is>
      </c>
      <c r="C19" s="15" t="inlineStr">
        <is>
          <t>Library Management System</t>
        </is>
      </c>
      <c r="D19" s="16" t="inlineStr">
        <is>
          <t>Catalogue management, barcode checkout (1 book/student, 5/staff), custom loan duration, missing books log, and overdue fines.</t>
        </is>
      </c>
      <c r="E19" s="17" t="n">
        <v>46311</v>
      </c>
      <c r="F19" s="17" t="n">
        <v>46314</v>
      </c>
      <c r="G19" s="15" t="inlineStr">
        <is>
          <t>AI book metadata scraper &amp; automated fine calculator | Tracker: Phase 1 | Depends on Sl.No: 3</t>
        </is>
      </c>
      <c r="H19" s="12">
        <f>IF(AND(H$4&gt;=$E19,H$4&lt;=$F19),1,"")</f>
        <v/>
      </c>
      <c r="I19" s="12">
        <f>IF(AND(I$4&gt;=$E19,I$4&lt;=$F19),1,"")</f>
        <v/>
      </c>
      <c r="J19" s="12">
        <f>IF(AND(J$4&gt;=$E19,J$4&lt;=$F19),1,"")</f>
        <v/>
      </c>
      <c r="K19" s="12">
        <f>IF(AND(K$4&gt;=$E19,K$4&lt;=$F19),1,"")</f>
        <v/>
      </c>
      <c r="L19" s="12">
        <f>IF(AND(L$4&gt;=$E19,L$4&lt;=$F19),1,"")</f>
        <v/>
      </c>
      <c r="M19" s="12">
        <f>IF(AND(M$4&gt;=$E19,M$4&lt;=$F19),1,"")</f>
        <v/>
      </c>
      <c r="N19" s="12">
        <f>IF(AND(N$4&gt;=$E19,N$4&lt;=$F19),1,"")</f>
        <v/>
      </c>
      <c r="O19" s="12">
        <f>IF(AND(O$4&gt;=$E19,O$4&lt;=$F19),1,"")</f>
        <v/>
      </c>
      <c r="P19" s="12">
        <f>IF(AND(P$4&gt;=$E19,P$4&lt;=$F19),1,"")</f>
        <v/>
      </c>
      <c r="Q19" s="12">
        <f>IF(AND(Q$4&gt;=$E19,Q$4&lt;=$F19),1,"")</f>
        <v/>
      </c>
      <c r="R19" s="12">
        <f>IF(AND(R$4&gt;=$E19,R$4&lt;=$F19),1,"")</f>
        <v/>
      </c>
      <c r="S19" s="12">
        <f>IF(AND(S$4&gt;=$E19,S$4&lt;=$F19),1,"")</f>
        <v/>
      </c>
      <c r="T19" s="12">
        <f>IF(AND(T$4&gt;=$E19,T$4&lt;=$F19),1,"")</f>
        <v/>
      </c>
      <c r="U19" s="12">
        <f>IF(AND(U$4&gt;=$E19,U$4&lt;=$F19),1,"")</f>
        <v/>
      </c>
      <c r="V19" s="12">
        <f>IF(AND(V$4&gt;=$E19,V$4&lt;=$F19),1,"")</f>
        <v/>
      </c>
      <c r="W19" s="12">
        <f>IF(AND(W$4&gt;=$E19,W$4&lt;=$F19),1,"")</f>
        <v/>
      </c>
      <c r="X19" s="12">
        <f>IF(AND(X$4&gt;=$E19,X$4&lt;=$F19),1,"")</f>
        <v/>
      </c>
      <c r="Y19" s="12">
        <f>IF(AND(Y$4&gt;=$E19,Y$4&lt;=$F19),1,"")</f>
        <v/>
      </c>
    </row>
    <row r="20">
      <c r="A20" s="7" t="n">
        <v>16</v>
      </c>
      <c r="B20" s="8" t="inlineStr">
        <is>
          <t>Track 3: HR &amp; Payroll Engine</t>
        </is>
      </c>
      <c r="C20" s="9" t="inlineStr">
        <is>
          <t>Staff Directory &amp; Document Vault</t>
        </is>
      </c>
      <c r="D20" s="10" t="inlineStr">
        <is>
          <t>HR-managed employee master, qualification records, document expiry alerts (passport, contract, certifications).</t>
        </is>
      </c>
      <c r="E20" s="11" t="n">
        <v>46311</v>
      </c>
      <c r="F20" s="11" t="n">
        <v>46314</v>
      </c>
      <c r="G20" s="9" t="inlineStr">
        <is>
          <t>AI schema import from HR Sample statement June 2026 | Tracker: Phase 2 | Depends on Sl.No: 3</t>
        </is>
      </c>
      <c r="H20" s="12">
        <f>IF(AND(H$4&gt;=$E20,H$4&lt;=$F20),1,"")</f>
        <v/>
      </c>
      <c r="I20" s="12">
        <f>IF(AND(I$4&gt;=$E20,I$4&lt;=$F20),1,"")</f>
        <v/>
      </c>
      <c r="J20" s="12">
        <f>IF(AND(J$4&gt;=$E20,J$4&lt;=$F20),1,"")</f>
        <v/>
      </c>
      <c r="K20" s="12">
        <f>IF(AND(K$4&gt;=$E20,K$4&lt;=$F20),1,"")</f>
        <v/>
      </c>
      <c r="L20" s="12">
        <f>IF(AND(L$4&gt;=$E20,L$4&lt;=$F20),1,"")</f>
        <v/>
      </c>
      <c r="M20" s="12">
        <f>IF(AND(M$4&gt;=$E20,M$4&lt;=$F20),1,"")</f>
        <v/>
      </c>
      <c r="N20" s="12">
        <f>IF(AND(N$4&gt;=$E20,N$4&lt;=$F20),1,"")</f>
        <v/>
      </c>
      <c r="O20" s="12">
        <f>IF(AND(O$4&gt;=$E20,O$4&lt;=$F20),1,"")</f>
        <v/>
      </c>
      <c r="P20" s="12">
        <f>IF(AND(P$4&gt;=$E20,P$4&lt;=$F20),1,"")</f>
        <v/>
      </c>
      <c r="Q20" s="12">
        <f>IF(AND(Q$4&gt;=$E20,Q$4&lt;=$F20),1,"")</f>
        <v/>
      </c>
      <c r="R20" s="12">
        <f>IF(AND(R$4&gt;=$E20,R$4&lt;=$F20),1,"")</f>
        <v/>
      </c>
      <c r="S20" s="12">
        <f>IF(AND(S$4&gt;=$E20,S$4&lt;=$F20),1,"")</f>
        <v/>
      </c>
      <c r="T20" s="12">
        <f>IF(AND(T$4&gt;=$E20,T$4&lt;=$F20),1,"")</f>
        <v/>
      </c>
      <c r="U20" s="12">
        <f>IF(AND(U$4&gt;=$E20,U$4&lt;=$F20),1,"")</f>
        <v/>
      </c>
      <c r="V20" s="12">
        <f>IF(AND(V$4&gt;=$E20,V$4&lt;=$F20),1,"")</f>
        <v/>
      </c>
      <c r="W20" s="12">
        <f>IF(AND(W$4&gt;=$E20,W$4&lt;=$F20),1,"")</f>
        <v/>
      </c>
      <c r="X20" s="12">
        <f>IF(AND(X$4&gt;=$E20,X$4&lt;=$F20),1,"")</f>
        <v/>
      </c>
      <c r="Y20" s="12">
        <f>IF(AND(Y$4&gt;=$E20,Y$4&lt;=$F20),1,"")</f>
        <v/>
      </c>
    </row>
    <row r="21">
      <c r="A21" s="7" t="n">
        <v>17</v>
      </c>
      <c r="B21" s="8" t="inlineStr">
        <is>
          <t>Track 3: HR &amp; Payroll Engine</t>
        </is>
      </c>
      <c r="C21" s="9" t="inlineStr">
        <is>
          <t>Staff Recruitment &amp; Cross-Dept Interview Panels</t>
        </is>
      </c>
      <c r="D21" s="10" t="inlineStr">
        <is>
          <t>Vacancy requisition, applicant tracking, multi-department interview panel scheduling, and consolidated candidate rating rubrics.</t>
        </is>
      </c>
      <c r="E21" s="11" t="n">
        <v>46314</v>
      </c>
      <c r="F21" s="11" t="n">
        <v>46315</v>
      </c>
      <c r="G21" s="9" t="inlineStr">
        <is>
          <t>AI applicant resume parser &amp; interview scoring UI | Tracker: Phase 2 | Depends on Sl.No: 16</t>
        </is>
      </c>
      <c r="H21" s="12">
        <f>IF(AND(H$4&gt;=$E21,H$4&lt;=$F21),1,"")</f>
        <v/>
      </c>
      <c r="I21" s="12">
        <f>IF(AND(I$4&gt;=$E21,I$4&lt;=$F21),1,"")</f>
        <v/>
      </c>
      <c r="J21" s="12">
        <f>IF(AND(J$4&gt;=$E21,J$4&lt;=$F21),1,"")</f>
        <v/>
      </c>
      <c r="K21" s="12">
        <f>IF(AND(K$4&gt;=$E21,K$4&lt;=$F21),1,"")</f>
        <v/>
      </c>
      <c r="L21" s="12">
        <f>IF(AND(L$4&gt;=$E21,L$4&lt;=$F21),1,"")</f>
        <v/>
      </c>
      <c r="M21" s="12">
        <f>IF(AND(M$4&gt;=$E21,M$4&lt;=$F21),1,"")</f>
        <v/>
      </c>
      <c r="N21" s="12">
        <f>IF(AND(N$4&gt;=$E21,N$4&lt;=$F21),1,"")</f>
        <v/>
      </c>
      <c r="O21" s="12">
        <f>IF(AND(O$4&gt;=$E21,O$4&lt;=$F21),1,"")</f>
        <v/>
      </c>
      <c r="P21" s="12">
        <f>IF(AND(P$4&gt;=$E21,P$4&lt;=$F21),1,"")</f>
        <v/>
      </c>
      <c r="Q21" s="12">
        <f>IF(AND(Q$4&gt;=$E21,Q$4&lt;=$F21),1,"")</f>
        <v/>
      </c>
      <c r="R21" s="12">
        <f>IF(AND(R$4&gt;=$E21,R$4&lt;=$F21),1,"")</f>
        <v/>
      </c>
      <c r="S21" s="12">
        <f>IF(AND(S$4&gt;=$E21,S$4&lt;=$F21),1,"")</f>
        <v/>
      </c>
      <c r="T21" s="12">
        <f>IF(AND(T$4&gt;=$E21,T$4&lt;=$F21),1,"")</f>
        <v/>
      </c>
      <c r="U21" s="12">
        <f>IF(AND(U$4&gt;=$E21,U$4&lt;=$F21),1,"")</f>
        <v/>
      </c>
      <c r="V21" s="12">
        <f>IF(AND(V$4&gt;=$E21,V$4&lt;=$F21),1,"")</f>
        <v/>
      </c>
      <c r="W21" s="12">
        <f>IF(AND(W$4&gt;=$E21,W$4&lt;=$F21),1,"")</f>
        <v/>
      </c>
      <c r="X21" s="12">
        <f>IF(AND(X$4&gt;=$E21,X$4&lt;=$F21),1,"")</f>
        <v/>
      </c>
      <c r="Y21" s="12">
        <f>IF(AND(Y$4&gt;=$E21,Y$4&lt;=$F21),1,"")</f>
        <v/>
      </c>
    </row>
    <row r="22">
      <c r="A22" s="7" t="n">
        <v>18</v>
      </c>
      <c r="B22" s="8" t="inlineStr">
        <is>
          <t>Track 3: HR &amp; Payroll Engine</t>
        </is>
      </c>
      <c r="C22" s="9" t="inlineStr">
        <is>
          <t>Staff Onboarding &amp; Automated User Creation</t>
        </is>
      </c>
      <c r="D22" s="10" t="inlineStr">
        <is>
          <t>Offer letter generation (Abiramy model), cross-dept onboarding tasks (IT, Stores), and automatic ERP login provisioning.</t>
        </is>
      </c>
      <c r="E22" s="11" t="n">
        <v>46314</v>
      </c>
      <c r="F22" s="11" t="n">
        <v>46315</v>
      </c>
      <c r="G22" s="9" t="inlineStr">
        <is>
          <t>AI automated welcome email &amp; temporary password reset flow | Tracker: Phase 2 | Depends on Sl.No: 17</t>
        </is>
      </c>
      <c r="H22" s="12">
        <f>IF(AND(H$4&gt;=$E22,H$4&lt;=$F22),1,"")</f>
        <v/>
      </c>
      <c r="I22" s="12">
        <f>IF(AND(I$4&gt;=$E22,I$4&lt;=$F22),1,"")</f>
        <v/>
      </c>
      <c r="J22" s="12">
        <f>IF(AND(J$4&gt;=$E22,J$4&lt;=$F22),1,"")</f>
        <v/>
      </c>
      <c r="K22" s="12">
        <f>IF(AND(K$4&gt;=$E22,K$4&lt;=$F22),1,"")</f>
        <v/>
      </c>
      <c r="L22" s="12">
        <f>IF(AND(L$4&gt;=$E22,L$4&lt;=$F22),1,"")</f>
        <v/>
      </c>
      <c r="M22" s="12">
        <f>IF(AND(M$4&gt;=$E22,M$4&lt;=$F22),1,"")</f>
        <v/>
      </c>
      <c r="N22" s="12">
        <f>IF(AND(N$4&gt;=$E22,N$4&lt;=$F22),1,"")</f>
        <v/>
      </c>
      <c r="O22" s="12">
        <f>IF(AND(O$4&gt;=$E22,O$4&lt;=$F22),1,"")</f>
        <v/>
      </c>
      <c r="P22" s="12">
        <f>IF(AND(P$4&gt;=$E22,P$4&lt;=$F22),1,"")</f>
        <v/>
      </c>
      <c r="Q22" s="12">
        <f>IF(AND(Q$4&gt;=$E22,Q$4&lt;=$F22),1,"")</f>
        <v/>
      </c>
      <c r="R22" s="12">
        <f>IF(AND(R$4&gt;=$E22,R$4&lt;=$F22),1,"")</f>
        <v/>
      </c>
      <c r="S22" s="12">
        <f>IF(AND(S$4&gt;=$E22,S$4&lt;=$F22),1,"")</f>
        <v/>
      </c>
      <c r="T22" s="12">
        <f>IF(AND(T$4&gt;=$E22,T$4&lt;=$F22),1,"")</f>
        <v/>
      </c>
      <c r="U22" s="12">
        <f>IF(AND(U$4&gt;=$E22,U$4&lt;=$F22),1,"")</f>
        <v/>
      </c>
      <c r="V22" s="12">
        <f>IF(AND(V$4&gt;=$E22,V$4&lt;=$F22),1,"")</f>
        <v/>
      </c>
      <c r="W22" s="12">
        <f>IF(AND(W$4&gt;=$E22,W$4&lt;=$F22),1,"")</f>
        <v/>
      </c>
      <c r="X22" s="12">
        <f>IF(AND(X$4&gt;=$E22,X$4&lt;=$F22),1,"")</f>
        <v/>
      </c>
      <c r="Y22" s="12">
        <f>IF(AND(Y$4&gt;=$E22,Y$4&lt;=$F22),1,"")</f>
        <v/>
      </c>
    </row>
    <row r="23">
      <c r="A23" s="7" t="n">
        <v>19</v>
      </c>
      <c r="B23" s="8" t="inlineStr">
        <is>
          <t>Track 3: HR &amp; Payroll Engine</t>
        </is>
      </c>
      <c r="C23" s="9" t="inlineStr">
        <is>
          <t>Staff Biometric Attendance &amp; 2-Hour Permissions</t>
        </is>
      </c>
      <c r="D23" s="10" t="inlineStr">
        <is>
          <t>Shift timing configuration per department, leave balances (Casual, Sick, Earned), and formal 2-hour permission slips.</t>
        </is>
      </c>
      <c r="E23" s="11" t="n">
        <v>46314</v>
      </c>
      <c r="F23" s="11" t="n">
        <v>46316</v>
      </c>
      <c r="G23" s="9" t="inlineStr">
        <is>
          <t>AI biometric muster integration with iClock punches | Tracker: Phase 2 | Depends on Sl.No: 6</t>
        </is>
      </c>
      <c r="H23" s="12">
        <f>IF(AND(H$4&gt;=$E23,H$4&lt;=$F23),1,"")</f>
        <v/>
      </c>
      <c r="I23" s="12">
        <f>IF(AND(I$4&gt;=$E23,I$4&lt;=$F23),1,"")</f>
        <v/>
      </c>
      <c r="J23" s="12">
        <f>IF(AND(J$4&gt;=$E23,J$4&lt;=$F23),1,"")</f>
        <v/>
      </c>
      <c r="K23" s="12">
        <f>IF(AND(K$4&gt;=$E23,K$4&lt;=$F23),1,"")</f>
        <v/>
      </c>
      <c r="L23" s="12">
        <f>IF(AND(L$4&gt;=$E23,L$4&lt;=$F23),1,"")</f>
        <v/>
      </c>
      <c r="M23" s="12">
        <f>IF(AND(M$4&gt;=$E23,M$4&lt;=$F23),1,"")</f>
        <v/>
      </c>
      <c r="N23" s="12">
        <f>IF(AND(N$4&gt;=$E23,N$4&lt;=$F23),1,"")</f>
        <v/>
      </c>
      <c r="O23" s="12">
        <f>IF(AND(O$4&gt;=$E23,O$4&lt;=$F23),1,"")</f>
        <v/>
      </c>
      <c r="P23" s="12">
        <f>IF(AND(P$4&gt;=$E23,P$4&lt;=$F23),1,"")</f>
        <v/>
      </c>
      <c r="Q23" s="12">
        <f>IF(AND(Q$4&gt;=$E23,Q$4&lt;=$F23),1,"")</f>
        <v/>
      </c>
      <c r="R23" s="12">
        <f>IF(AND(R$4&gt;=$E23,R$4&lt;=$F23),1,"")</f>
        <v/>
      </c>
      <c r="S23" s="12">
        <f>IF(AND(S$4&gt;=$E23,S$4&lt;=$F23),1,"")</f>
        <v/>
      </c>
      <c r="T23" s="12">
        <f>IF(AND(T$4&gt;=$E23,T$4&lt;=$F23),1,"")</f>
        <v/>
      </c>
      <c r="U23" s="12">
        <f>IF(AND(U$4&gt;=$E23,U$4&lt;=$F23),1,"")</f>
        <v/>
      </c>
      <c r="V23" s="12">
        <f>IF(AND(V$4&gt;=$E23,V$4&lt;=$F23),1,"")</f>
        <v/>
      </c>
      <c r="W23" s="12">
        <f>IF(AND(W$4&gt;=$E23,W$4&lt;=$F23),1,"")</f>
        <v/>
      </c>
      <c r="X23" s="12">
        <f>IF(AND(X$4&gt;=$E23,X$4&lt;=$F23),1,"")</f>
        <v/>
      </c>
      <c r="Y23" s="12">
        <f>IF(AND(Y$4&gt;=$E23,Y$4&lt;=$F23),1,"")</f>
        <v/>
      </c>
    </row>
    <row r="24">
      <c r="A24" s="7" t="n">
        <v>20</v>
      </c>
      <c r="B24" s="8" t="inlineStr">
        <is>
          <t>Track 3: HR &amp; Payroll Engine</t>
        </is>
      </c>
      <c r="C24" s="9" t="inlineStr">
        <is>
          <t>Automated Payroll &amp; Payslip Engine</t>
        </is>
      </c>
      <c r="D24" s="10" t="inlineStr">
        <is>
          <t>Monthly payroll execution: attendance deductions, PF, ESI, TDS, professional tax, loan repayments, and PDF payslip generation.</t>
        </is>
      </c>
      <c r="E24" s="11" t="n">
        <v>46315</v>
      </c>
      <c r="F24" s="11" t="n">
        <v>46316</v>
      </c>
      <c r="G24" s="9" t="inlineStr">
        <is>
          <t>AI payroll rules engine based on February Model sheet | Tracker: Phase 2 | Depends on Sl.No: 19</t>
        </is>
      </c>
      <c r="H24" s="12">
        <f>IF(AND(H$4&gt;=$E24,H$4&lt;=$F24),1,"")</f>
        <v/>
      </c>
      <c r="I24" s="12">
        <f>IF(AND(I$4&gt;=$E24,I$4&lt;=$F24),1,"")</f>
        <v/>
      </c>
      <c r="J24" s="12">
        <f>IF(AND(J$4&gt;=$E24,J$4&lt;=$F24),1,"")</f>
        <v/>
      </c>
      <c r="K24" s="12">
        <f>IF(AND(K$4&gt;=$E24,K$4&lt;=$F24),1,"")</f>
        <v/>
      </c>
      <c r="L24" s="12">
        <f>IF(AND(L$4&gt;=$E24,L$4&lt;=$F24),1,"")</f>
        <v/>
      </c>
      <c r="M24" s="12">
        <f>IF(AND(M$4&gt;=$E24,M$4&lt;=$F24),1,"")</f>
        <v/>
      </c>
      <c r="N24" s="12">
        <f>IF(AND(N$4&gt;=$E24,N$4&lt;=$F24),1,"")</f>
        <v/>
      </c>
      <c r="O24" s="12">
        <f>IF(AND(O$4&gt;=$E24,O$4&lt;=$F24),1,"")</f>
        <v/>
      </c>
      <c r="P24" s="12">
        <f>IF(AND(P$4&gt;=$E24,P$4&lt;=$F24),1,"")</f>
        <v/>
      </c>
      <c r="Q24" s="12">
        <f>IF(AND(Q$4&gt;=$E24,Q$4&lt;=$F24),1,"")</f>
        <v/>
      </c>
      <c r="R24" s="12">
        <f>IF(AND(R$4&gt;=$E24,R$4&lt;=$F24),1,"")</f>
        <v/>
      </c>
      <c r="S24" s="12">
        <f>IF(AND(S$4&gt;=$E24,S$4&lt;=$F24),1,"")</f>
        <v/>
      </c>
      <c r="T24" s="12">
        <f>IF(AND(T$4&gt;=$E24,T$4&lt;=$F24),1,"")</f>
        <v/>
      </c>
      <c r="U24" s="12">
        <f>IF(AND(U$4&gt;=$E24,U$4&lt;=$F24),1,"")</f>
        <v/>
      </c>
      <c r="V24" s="12">
        <f>IF(AND(V$4&gt;=$E24,V$4&lt;=$F24),1,"")</f>
        <v/>
      </c>
      <c r="W24" s="12">
        <f>IF(AND(W$4&gt;=$E24,W$4&lt;=$F24),1,"")</f>
        <v/>
      </c>
      <c r="X24" s="12">
        <f>IF(AND(X$4&gt;=$E24,X$4&lt;=$F24),1,"")</f>
        <v/>
      </c>
      <c r="Y24" s="12">
        <f>IF(AND(Y$4&gt;=$E24,Y$4&lt;=$F24),1,"")</f>
        <v/>
      </c>
    </row>
    <row r="25">
      <c r="A25" s="7" t="n">
        <v>21</v>
      </c>
      <c r="B25" s="8" t="inlineStr">
        <is>
          <t>Track 3: HR &amp; Payroll Engine</t>
        </is>
      </c>
      <c r="C25" s="9" t="inlineStr">
        <is>
          <t>Staff Incentive Engine (Overtime &amp; Referrals)</t>
        </is>
      </c>
      <c r="D25" s="10" t="inlineStr">
        <is>
          <t>Calculation of hourly extra-work incentive from RFID punches, student admission referral bonuses, and staff hiring bonuses.</t>
        </is>
      </c>
      <c r="E25" s="11" t="n">
        <v>46315</v>
      </c>
      <c r="F25" s="11" t="n">
        <v>46317</v>
      </c>
      <c r="G25" s="9" t="inlineStr">
        <is>
          <t>AI logic matching Compensation Claim SOP form | Tracker: Phase 2 | Depends on Sl.No: 20</t>
        </is>
      </c>
      <c r="H25" s="12">
        <f>IF(AND(H$4&gt;=$E25,H$4&lt;=$F25),1,"")</f>
        <v/>
      </c>
      <c r="I25" s="12">
        <f>IF(AND(I$4&gt;=$E25,I$4&lt;=$F25),1,"")</f>
        <v/>
      </c>
      <c r="J25" s="12">
        <f>IF(AND(J$4&gt;=$E25,J$4&lt;=$F25),1,"")</f>
        <v/>
      </c>
      <c r="K25" s="12">
        <f>IF(AND(K$4&gt;=$E25,K$4&lt;=$F25),1,"")</f>
        <v/>
      </c>
      <c r="L25" s="12">
        <f>IF(AND(L$4&gt;=$E25,L$4&lt;=$F25),1,"")</f>
        <v/>
      </c>
      <c r="M25" s="12">
        <f>IF(AND(M$4&gt;=$E25,M$4&lt;=$F25),1,"")</f>
        <v/>
      </c>
      <c r="N25" s="12">
        <f>IF(AND(N$4&gt;=$E25,N$4&lt;=$F25),1,"")</f>
        <v/>
      </c>
      <c r="O25" s="12">
        <f>IF(AND(O$4&gt;=$E25,O$4&lt;=$F25),1,"")</f>
        <v/>
      </c>
      <c r="P25" s="12">
        <f>IF(AND(P$4&gt;=$E25,P$4&lt;=$F25),1,"")</f>
        <v/>
      </c>
      <c r="Q25" s="12">
        <f>IF(AND(Q$4&gt;=$E25,Q$4&lt;=$F25),1,"")</f>
        <v/>
      </c>
      <c r="R25" s="12">
        <f>IF(AND(R$4&gt;=$E25,R$4&lt;=$F25),1,"")</f>
        <v/>
      </c>
      <c r="S25" s="12">
        <f>IF(AND(S$4&gt;=$E25,S$4&lt;=$F25),1,"")</f>
        <v/>
      </c>
      <c r="T25" s="12">
        <f>IF(AND(T$4&gt;=$E25,T$4&lt;=$F25),1,"")</f>
        <v/>
      </c>
      <c r="U25" s="12">
        <f>IF(AND(U$4&gt;=$E25,U$4&lt;=$F25),1,"")</f>
        <v/>
      </c>
      <c r="V25" s="12">
        <f>IF(AND(V$4&gt;=$E25,V$4&lt;=$F25),1,"")</f>
        <v/>
      </c>
      <c r="W25" s="12">
        <f>IF(AND(W$4&gt;=$E25,W$4&lt;=$F25),1,"")</f>
        <v/>
      </c>
      <c r="X25" s="12">
        <f>IF(AND(X$4&gt;=$E25,X$4&lt;=$F25),1,"")</f>
        <v/>
      </c>
      <c r="Y25" s="12">
        <f>IF(AND(Y$4&gt;=$E25,Y$4&lt;=$F25),1,"")</f>
        <v/>
      </c>
    </row>
    <row r="26">
      <c r="A26" s="7" t="n">
        <v>22</v>
      </c>
      <c r="B26" s="8" t="inlineStr">
        <is>
          <t>Track 3: HR &amp; Payroll Engine</t>
        </is>
      </c>
      <c r="C26" s="9" t="inlineStr">
        <is>
          <t>Staff Exit Clearances &amp; Digital Exit Interview</t>
        </is>
      </c>
      <c r="D26" s="10" t="inlineStr">
        <is>
          <t>Resignation tracking, digital exit interview questionnaires, multi-department No-Dues clearance, and user deactivation.</t>
        </is>
      </c>
      <c r="E26" s="11" t="n">
        <v>46316</v>
      </c>
      <c r="F26" s="11" t="n">
        <v>46317</v>
      </c>
      <c r="G26" s="9" t="inlineStr">
        <is>
          <t>AI digital form generator from Exit Interview Questionnaire.pdf | Tracker: Phase 2 | Depends on Sl.No: 18</t>
        </is>
      </c>
      <c r="H26" s="12">
        <f>IF(AND(H$4&gt;=$E26,H$4&lt;=$F26),1,"")</f>
        <v/>
      </c>
      <c r="I26" s="12">
        <f>IF(AND(I$4&gt;=$E26,I$4&lt;=$F26),1,"")</f>
        <v/>
      </c>
      <c r="J26" s="12">
        <f>IF(AND(J$4&gt;=$E26,J$4&lt;=$F26),1,"")</f>
        <v/>
      </c>
      <c r="K26" s="12">
        <f>IF(AND(K$4&gt;=$E26,K$4&lt;=$F26),1,"")</f>
        <v/>
      </c>
      <c r="L26" s="12">
        <f>IF(AND(L$4&gt;=$E26,L$4&lt;=$F26),1,"")</f>
        <v/>
      </c>
      <c r="M26" s="12">
        <f>IF(AND(M$4&gt;=$E26,M$4&lt;=$F26),1,"")</f>
        <v/>
      </c>
      <c r="N26" s="12">
        <f>IF(AND(N$4&gt;=$E26,N$4&lt;=$F26),1,"")</f>
        <v/>
      </c>
      <c r="O26" s="12">
        <f>IF(AND(O$4&gt;=$E26,O$4&lt;=$F26),1,"")</f>
        <v/>
      </c>
      <c r="P26" s="12">
        <f>IF(AND(P$4&gt;=$E26,P$4&lt;=$F26),1,"")</f>
        <v/>
      </c>
      <c r="Q26" s="12">
        <f>IF(AND(Q$4&gt;=$E26,Q$4&lt;=$F26),1,"")</f>
        <v/>
      </c>
      <c r="R26" s="12">
        <f>IF(AND(R$4&gt;=$E26,R$4&lt;=$F26),1,"")</f>
        <v/>
      </c>
      <c r="S26" s="12">
        <f>IF(AND(S$4&gt;=$E26,S$4&lt;=$F26),1,"")</f>
        <v/>
      </c>
      <c r="T26" s="12">
        <f>IF(AND(T$4&gt;=$E26,T$4&lt;=$F26),1,"")</f>
        <v/>
      </c>
      <c r="U26" s="12">
        <f>IF(AND(U$4&gt;=$E26,U$4&lt;=$F26),1,"")</f>
        <v/>
      </c>
      <c r="V26" s="12">
        <f>IF(AND(V$4&gt;=$E26,V$4&lt;=$F26),1,"")</f>
        <v/>
      </c>
      <c r="W26" s="12">
        <f>IF(AND(W$4&gt;=$E26,W$4&lt;=$F26),1,"")</f>
        <v/>
      </c>
      <c r="X26" s="12">
        <f>IF(AND(X$4&gt;=$E26,X$4&lt;=$F26),1,"")</f>
        <v/>
      </c>
      <c r="Y26" s="12">
        <f>IF(AND(Y$4&gt;=$E26,Y$4&lt;=$F26),1,"")</f>
        <v/>
      </c>
    </row>
    <row r="27">
      <c r="A27" s="13" t="n">
        <v>23</v>
      </c>
      <c r="B27" s="14" t="inlineStr">
        <is>
          <t>Track 4: Finance &amp; Accounting Engine</t>
        </is>
      </c>
      <c r="C27" s="15" t="inlineStr">
        <is>
          <t>Dynamic Fee Structure &amp; Instalment Rules</t>
        </is>
      </c>
      <c r="D27" s="16" t="inlineStr">
        <is>
          <t>Tuition, admission, transport, books, and extra-curricular fees (rifle shooting, karate) with term/monthly instalments and late fees.</t>
        </is>
      </c>
      <c r="E27" s="17" t="n">
        <v>46311</v>
      </c>
      <c r="F27" s="17" t="n">
        <v>46314</v>
      </c>
      <c r="G27" s="15" t="inlineStr">
        <is>
          <t>AI fee rule configuration builder &amp; late fee calculator | Tracker: Phase 2 | Depends on Sl.No: 1</t>
        </is>
      </c>
      <c r="H27" s="12">
        <f>IF(AND(H$4&gt;=$E27,H$4&lt;=$F27),1,"")</f>
        <v/>
      </c>
      <c r="I27" s="12">
        <f>IF(AND(I$4&gt;=$E27,I$4&lt;=$F27),1,"")</f>
        <v/>
      </c>
      <c r="J27" s="12">
        <f>IF(AND(J$4&gt;=$E27,J$4&lt;=$F27),1,"")</f>
        <v/>
      </c>
      <c r="K27" s="12">
        <f>IF(AND(K$4&gt;=$E27,K$4&lt;=$F27),1,"")</f>
        <v/>
      </c>
      <c r="L27" s="12">
        <f>IF(AND(L$4&gt;=$E27,L$4&lt;=$F27),1,"")</f>
        <v/>
      </c>
      <c r="M27" s="12">
        <f>IF(AND(M$4&gt;=$E27,M$4&lt;=$F27),1,"")</f>
        <v/>
      </c>
      <c r="N27" s="12">
        <f>IF(AND(N$4&gt;=$E27,N$4&lt;=$F27),1,"")</f>
        <v/>
      </c>
      <c r="O27" s="12">
        <f>IF(AND(O$4&gt;=$E27,O$4&lt;=$F27),1,"")</f>
        <v/>
      </c>
      <c r="P27" s="12">
        <f>IF(AND(P$4&gt;=$E27,P$4&lt;=$F27),1,"")</f>
        <v/>
      </c>
      <c r="Q27" s="12">
        <f>IF(AND(Q$4&gt;=$E27,Q$4&lt;=$F27),1,"")</f>
        <v/>
      </c>
      <c r="R27" s="12">
        <f>IF(AND(R$4&gt;=$E27,R$4&lt;=$F27),1,"")</f>
        <v/>
      </c>
      <c r="S27" s="12">
        <f>IF(AND(S$4&gt;=$E27,S$4&lt;=$F27),1,"")</f>
        <v/>
      </c>
      <c r="T27" s="12">
        <f>IF(AND(T$4&gt;=$E27,T$4&lt;=$F27),1,"")</f>
        <v/>
      </c>
      <c r="U27" s="12">
        <f>IF(AND(U$4&gt;=$E27,U$4&lt;=$F27),1,"")</f>
        <v/>
      </c>
      <c r="V27" s="12">
        <f>IF(AND(V$4&gt;=$E27,V$4&lt;=$F27),1,"")</f>
        <v/>
      </c>
      <c r="W27" s="12">
        <f>IF(AND(W$4&gt;=$E27,W$4&lt;=$F27),1,"")</f>
        <v/>
      </c>
      <c r="X27" s="12">
        <f>IF(AND(X$4&gt;=$E27,X$4&lt;=$F27),1,"")</f>
        <v/>
      </c>
      <c r="Y27" s="12">
        <f>IF(AND(Y$4&gt;=$E27,Y$4&lt;=$F27),1,"")</f>
        <v/>
      </c>
    </row>
    <row r="28">
      <c r="A28" s="13" t="n">
        <v>24</v>
      </c>
      <c r="B28" s="14" t="inlineStr">
        <is>
          <t>Track 4: Finance &amp; Accounting Engine</t>
        </is>
      </c>
      <c r="C28" s="15" t="inlineStr">
        <is>
          <t>Counter Fee Collection &amp; Serialised Receipts</t>
        </is>
      </c>
      <c r="D28" s="16" t="inlineStr">
        <is>
          <t>Cashier collection terminal, partial payment support, sibling/staff-child concessions, and instant tax invoice receipt prints.</t>
        </is>
      </c>
      <c r="E28" s="17" t="n">
        <v>46314</v>
      </c>
      <c r="F28" s="17" t="n">
        <v>46315</v>
      </c>
      <c r="G28" s="15" t="inlineStr">
        <is>
          <t>AI POS counter UI with offline resilience | Tracker: Phase 2 | Depends on Sl.No: 23</t>
        </is>
      </c>
      <c r="H28" s="12">
        <f>IF(AND(H$4&gt;=$E28,H$4&lt;=$F28),1,"")</f>
        <v/>
      </c>
      <c r="I28" s="12">
        <f>IF(AND(I$4&gt;=$E28,I$4&lt;=$F28),1,"")</f>
        <v/>
      </c>
      <c r="J28" s="12">
        <f>IF(AND(J$4&gt;=$E28,J$4&lt;=$F28),1,"")</f>
        <v/>
      </c>
      <c r="K28" s="12">
        <f>IF(AND(K$4&gt;=$E28,K$4&lt;=$F28),1,"")</f>
        <v/>
      </c>
      <c r="L28" s="12">
        <f>IF(AND(L$4&gt;=$E28,L$4&lt;=$F28),1,"")</f>
        <v/>
      </c>
      <c r="M28" s="12">
        <f>IF(AND(M$4&gt;=$E28,M$4&lt;=$F28),1,"")</f>
        <v/>
      </c>
      <c r="N28" s="12">
        <f>IF(AND(N$4&gt;=$E28,N$4&lt;=$F28),1,"")</f>
        <v/>
      </c>
      <c r="O28" s="12">
        <f>IF(AND(O$4&gt;=$E28,O$4&lt;=$F28),1,"")</f>
        <v/>
      </c>
      <c r="P28" s="12">
        <f>IF(AND(P$4&gt;=$E28,P$4&lt;=$F28),1,"")</f>
        <v/>
      </c>
      <c r="Q28" s="12">
        <f>IF(AND(Q$4&gt;=$E28,Q$4&lt;=$F28),1,"")</f>
        <v/>
      </c>
      <c r="R28" s="12">
        <f>IF(AND(R$4&gt;=$E28,R$4&lt;=$F28),1,"")</f>
        <v/>
      </c>
      <c r="S28" s="12">
        <f>IF(AND(S$4&gt;=$E28,S$4&lt;=$F28),1,"")</f>
        <v/>
      </c>
      <c r="T28" s="12">
        <f>IF(AND(T$4&gt;=$E28,T$4&lt;=$F28),1,"")</f>
        <v/>
      </c>
      <c r="U28" s="12">
        <f>IF(AND(U$4&gt;=$E28,U$4&lt;=$F28),1,"")</f>
        <v/>
      </c>
      <c r="V28" s="12">
        <f>IF(AND(V$4&gt;=$E28,V$4&lt;=$F28),1,"")</f>
        <v/>
      </c>
      <c r="W28" s="12">
        <f>IF(AND(W$4&gt;=$E28,W$4&lt;=$F28),1,"")</f>
        <v/>
      </c>
      <c r="X28" s="12">
        <f>IF(AND(X$4&gt;=$E28,X$4&lt;=$F28),1,"")</f>
        <v/>
      </c>
      <c r="Y28" s="12">
        <f>IF(AND(Y$4&gt;=$E28,Y$4&lt;=$F28),1,"")</f>
        <v/>
      </c>
    </row>
    <row r="29">
      <c r="A29" s="13" t="n">
        <v>25</v>
      </c>
      <c r="B29" s="14" t="inlineStr">
        <is>
          <t>Track 4: Finance &amp; Accounting Engine</t>
        </is>
      </c>
      <c r="C29" s="15" t="inlineStr">
        <is>
          <t>Paytm EDC POS &amp; Online Payment Gateway</t>
        </is>
      </c>
      <c r="D29" s="16" t="inlineStr">
        <is>
          <t>Paytm swipe machine webhook sync for counter card/UPI payments and online parent portal gateway integration.</t>
        </is>
      </c>
      <c r="E29" s="17" t="n">
        <v>46315</v>
      </c>
      <c r="F29" s="17" t="n">
        <v>46316</v>
      </c>
      <c r="G29" s="15" t="inlineStr">
        <is>
          <t>AI Paytm API webhook listener &amp; reconciliation handler | Tracker: Phase 2 | Depends on Sl.No: 24</t>
        </is>
      </c>
      <c r="H29" s="12">
        <f>IF(AND(H$4&gt;=$E29,H$4&lt;=$F29),1,"")</f>
        <v/>
      </c>
      <c r="I29" s="12">
        <f>IF(AND(I$4&gt;=$E29,I$4&lt;=$F29),1,"")</f>
        <v/>
      </c>
      <c r="J29" s="12">
        <f>IF(AND(J$4&gt;=$E29,J$4&lt;=$F29),1,"")</f>
        <v/>
      </c>
      <c r="K29" s="12">
        <f>IF(AND(K$4&gt;=$E29,K$4&lt;=$F29),1,"")</f>
        <v/>
      </c>
      <c r="L29" s="12">
        <f>IF(AND(L$4&gt;=$E29,L$4&lt;=$F29),1,"")</f>
        <v/>
      </c>
      <c r="M29" s="12">
        <f>IF(AND(M$4&gt;=$E29,M$4&lt;=$F29),1,"")</f>
        <v/>
      </c>
      <c r="N29" s="12">
        <f>IF(AND(N$4&gt;=$E29,N$4&lt;=$F29),1,"")</f>
        <v/>
      </c>
      <c r="O29" s="12">
        <f>IF(AND(O$4&gt;=$E29,O$4&lt;=$F29),1,"")</f>
        <v/>
      </c>
      <c r="P29" s="12">
        <f>IF(AND(P$4&gt;=$E29,P$4&lt;=$F29),1,"")</f>
        <v/>
      </c>
      <c r="Q29" s="12">
        <f>IF(AND(Q$4&gt;=$E29,Q$4&lt;=$F29),1,"")</f>
        <v/>
      </c>
      <c r="R29" s="12">
        <f>IF(AND(R$4&gt;=$E29,R$4&lt;=$F29),1,"")</f>
        <v/>
      </c>
      <c r="S29" s="12">
        <f>IF(AND(S$4&gt;=$E29,S$4&lt;=$F29),1,"")</f>
        <v/>
      </c>
      <c r="T29" s="12">
        <f>IF(AND(T$4&gt;=$E29,T$4&lt;=$F29),1,"")</f>
        <v/>
      </c>
      <c r="U29" s="12">
        <f>IF(AND(U$4&gt;=$E29,U$4&lt;=$F29),1,"")</f>
        <v/>
      </c>
      <c r="V29" s="12">
        <f>IF(AND(V$4&gt;=$E29,V$4&lt;=$F29),1,"")</f>
        <v/>
      </c>
      <c r="W29" s="12">
        <f>IF(AND(W$4&gt;=$E29,W$4&lt;=$F29),1,"")</f>
        <v/>
      </c>
      <c r="X29" s="12">
        <f>IF(AND(X$4&gt;=$E29,X$4&lt;=$F29),1,"")</f>
        <v/>
      </c>
      <c r="Y29" s="12">
        <f>IF(AND(Y$4&gt;=$E29,Y$4&lt;=$F29),1,"")</f>
        <v/>
      </c>
    </row>
    <row r="30">
      <c r="A30" s="13" t="n">
        <v>26</v>
      </c>
      <c r="B30" s="14" t="inlineStr">
        <is>
          <t>Track 4: Finance &amp; Accounting Engine</t>
        </is>
      </c>
      <c r="C30" s="15" t="inlineStr">
        <is>
          <t>WhatsApp Business API Cloud Integration</t>
        </is>
      </c>
      <c r="D30" s="16" t="inlineStr">
        <is>
          <t>Automated dispatch of fee bills, due reminders with payment links, fee receipts, and attendance absence alerts via WhatsApp.</t>
        </is>
      </c>
      <c r="E30" s="17" t="n">
        <v>46315</v>
      </c>
      <c r="F30" s="17" t="n">
        <v>46316</v>
      </c>
      <c r="G30" s="15" t="inlineStr">
        <is>
          <t>AI WhatsApp Cloud API message template dispatcher | Tracker: Phase 2 | Depends on Sl.No: 24</t>
        </is>
      </c>
      <c r="H30" s="12">
        <f>IF(AND(H$4&gt;=$E30,H$4&lt;=$F30),1,"")</f>
        <v/>
      </c>
      <c r="I30" s="12">
        <f>IF(AND(I$4&gt;=$E30,I$4&lt;=$F30),1,"")</f>
        <v/>
      </c>
      <c r="J30" s="12">
        <f>IF(AND(J$4&gt;=$E30,J$4&lt;=$F30),1,"")</f>
        <v/>
      </c>
      <c r="K30" s="12">
        <f>IF(AND(K$4&gt;=$E30,K$4&lt;=$F30),1,"")</f>
        <v/>
      </c>
      <c r="L30" s="12">
        <f>IF(AND(L$4&gt;=$E30,L$4&lt;=$F30),1,"")</f>
        <v/>
      </c>
      <c r="M30" s="12">
        <f>IF(AND(M$4&gt;=$E30,M$4&lt;=$F30),1,"")</f>
        <v/>
      </c>
      <c r="N30" s="12">
        <f>IF(AND(N$4&gt;=$E30,N$4&lt;=$F30),1,"")</f>
        <v/>
      </c>
      <c r="O30" s="12">
        <f>IF(AND(O$4&gt;=$E30,O$4&lt;=$F30),1,"")</f>
        <v/>
      </c>
      <c r="P30" s="12">
        <f>IF(AND(P$4&gt;=$E30,P$4&lt;=$F30),1,"")</f>
        <v/>
      </c>
      <c r="Q30" s="12">
        <f>IF(AND(Q$4&gt;=$E30,Q$4&lt;=$F30),1,"")</f>
        <v/>
      </c>
      <c r="R30" s="12">
        <f>IF(AND(R$4&gt;=$E30,R$4&lt;=$F30),1,"")</f>
        <v/>
      </c>
      <c r="S30" s="12">
        <f>IF(AND(S$4&gt;=$E30,S$4&lt;=$F30),1,"")</f>
        <v/>
      </c>
      <c r="T30" s="12">
        <f>IF(AND(T$4&gt;=$E30,T$4&lt;=$F30),1,"")</f>
        <v/>
      </c>
      <c r="U30" s="12">
        <f>IF(AND(U$4&gt;=$E30,U$4&lt;=$F30),1,"")</f>
        <v/>
      </c>
      <c r="V30" s="12">
        <f>IF(AND(V$4&gt;=$E30,V$4&lt;=$F30),1,"")</f>
        <v/>
      </c>
      <c r="W30" s="12">
        <f>IF(AND(W$4&gt;=$E30,W$4&lt;=$F30),1,"")</f>
        <v/>
      </c>
      <c r="X30" s="12">
        <f>IF(AND(X$4&gt;=$E30,X$4&lt;=$F30),1,"")</f>
        <v/>
      </c>
      <c r="Y30" s="12">
        <f>IF(AND(Y$4&gt;=$E30,Y$4&lt;=$F30),1,"")</f>
        <v/>
      </c>
    </row>
    <row r="31">
      <c r="A31" s="13" t="n">
        <v>27</v>
      </c>
      <c r="B31" s="14" t="inlineStr">
        <is>
          <t>Track 4: Finance &amp; Accounting Engine</t>
        </is>
      </c>
      <c r="C31" s="15" t="inlineStr">
        <is>
          <t>Departmental Budgets &amp; Role Spending Thresholds</t>
        </is>
      </c>
      <c r="D31" s="16" t="inlineStr">
        <is>
          <t>Annual/monthly budget allocations per department head and school event; automatic re-routing of requests exceeding limits.</t>
        </is>
      </c>
      <c r="E31" s="17" t="n">
        <v>46316</v>
      </c>
      <c r="F31" s="17" t="n">
        <v>46317</v>
      </c>
      <c r="G31" s="15" t="inlineStr">
        <is>
          <t>AI budget ceiling interceptor &amp; approval routing | Tracker: Phase 2 | Depends on Sl.No: 4</t>
        </is>
      </c>
      <c r="H31" s="12">
        <f>IF(AND(H$4&gt;=$E31,H$4&lt;=$F31),1,"")</f>
        <v/>
      </c>
      <c r="I31" s="12">
        <f>IF(AND(I$4&gt;=$E31,I$4&lt;=$F31),1,"")</f>
        <v/>
      </c>
      <c r="J31" s="12">
        <f>IF(AND(J$4&gt;=$E31,J$4&lt;=$F31),1,"")</f>
        <v/>
      </c>
      <c r="K31" s="12">
        <f>IF(AND(K$4&gt;=$E31,K$4&lt;=$F31),1,"")</f>
        <v/>
      </c>
      <c r="L31" s="12">
        <f>IF(AND(L$4&gt;=$E31,L$4&lt;=$F31),1,"")</f>
        <v/>
      </c>
      <c r="M31" s="12">
        <f>IF(AND(M$4&gt;=$E31,M$4&lt;=$F31),1,"")</f>
        <v/>
      </c>
      <c r="N31" s="12">
        <f>IF(AND(N$4&gt;=$E31,N$4&lt;=$F31),1,"")</f>
        <v/>
      </c>
      <c r="O31" s="12">
        <f>IF(AND(O$4&gt;=$E31,O$4&lt;=$F31),1,"")</f>
        <v/>
      </c>
      <c r="P31" s="12">
        <f>IF(AND(P$4&gt;=$E31,P$4&lt;=$F31),1,"")</f>
        <v/>
      </c>
      <c r="Q31" s="12">
        <f>IF(AND(Q$4&gt;=$E31,Q$4&lt;=$F31),1,"")</f>
        <v/>
      </c>
      <c r="R31" s="12">
        <f>IF(AND(R$4&gt;=$E31,R$4&lt;=$F31),1,"")</f>
        <v/>
      </c>
      <c r="S31" s="12">
        <f>IF(AND(S$4&gt;=$E31,S$4&lt;=$F31),1,"")</f>
        <v/>
      </c>
      <c r="T31" s="12">
        <f>IF(AND(T$4&gt;=$E31,T$4&lt;=$F31),1,"")</f>
        <v/>
      </c>
      <c r="U31" s="12">
        <f>IF(AND(U$4&gt;=$E31,U$4&lt;=$F31),1,"")</f>
        <v/>
      </c>
      <c r="V31" s="12">
        <f>IF(AND(V$4&gt;=$E31,V$4&lt;=$F31),1,"")</f>
        <v/>
      </c>
      <c r="W31" s="12">
        <f>IF(AND(W$4&gt;=$E31,W$4&lt;=$F31),1,"")</f>
        <v/>
      </c>
      <c r="X31" s="12">
        <f>IF(AND(X$4&gt;=$E31,X$4&lt;=$F31),1,"")</f>
        <v/>
      </c>
      <c r="Y31" s="12">
        <f>IF(AND(Y$4&gt;=$E31,Y$4&lt;=$F31),1,"")</f>
        <v/>
      </c>
    </row>
    <row r="32">
      <c r="A32" s="13" t="n">
        <v>28</v>
      </c>
      <c r="B32" s="14" t="inlineStr">
        <is>
          <t>Track 4: Finance &amp; Accounting Engine</t>
        </is>
      </c>
      <c r="C32" s="15" t="inlineStr">
        <is>
          <t>Payment Vouchers &amp; General Ledgers</t>
        </is>
      </c>
      <c r="D32" s="16" t="inlineStr">
        <is>
          <t>Maker-checker invoice voucher verification, automated double-entry ledger postings, and bulk bank NEFT transfer export.</t>
        </is>
      </c>
      <c r="E32" s="17" t="n">
        <v>46316</v>
      </c>
      <c r="F32" s="17" t="n">
        <v>46318</v>
      </c>
      <c r="G32" s="15" t="inlineStr">
        <is>
          <t>AI double-entry accounting engine &amp; ledger generator | Tracker: Phase 2 | Depends on Sl.No: 27</t>
        </is>
      </c>
      <c r="H32" s="12">
        <f>IF(AND(H$4&gt;=$E32,H$4&lt;=$F32),1,"")</f>
        <v/>
      </c>
      <c r="I32" s="12">
        <f>IF(AND(I$4&gt;=$E32,I$4&lt;=$F32),1,"")</f>
        <v/>
      </c>
      <c r="J32" s="12">
        <f>IF(AND(J$4&gt;=$E32,J$4&lt;=$F32),1,"")</f>
        <v/>
      </c>
      <c r="K32" s="12">
        <f>IF(AND(K$4&gt;=$E32,K$4&lt;=$F32),1,"")</f>
        <v/>
      </c>
      <c r="L32" s="12">
        <f>IF(AND(L$4&gt;=$E32,L$4&lt;=$F32),1,"")</f>
        <v/>
      </c>
      <c r="M32" s="12">
        <f>IF(AND(M$4&gt;=$E32,M$4&lt;=$F32),1,"")</f>
        <v/>
      </c>
      <c r="N32" s="12">
        <f>IF(AND(N$4&gt;=$E32,N$4&lt;=$F32),1,"")</f>
        <v/>
      </c>
      <c r="O32" s="12">
        <f>IF(AND(O$4&gt;=$E32,O$4&lt;=$F32),1,"")</f>
        <v/>
      </c>
      <c r="P32" s="12">
        <f>IF(AND(P$4&gt;=$E32,P$4&lt;=$F32),1,"")</f>
        <v/>
      </c>
      <c r="Q32" s="12">
        <f>IF(AND(Q$4&gt;=$E32,Q$4&lt;=$F32),1,"")</f>
        <v/>
      </c>
      <c r="R32" s="12">
        <f>IF(AND(R$4&gt;=$E32,R$4&lt;=$F32),1,"")</f>
        <v/>
      </c>
      <c r="S32" s="12">
        <f>IF(AND(S$4&gt;=$E32,S$4&lt;=$F32),1,"")</f>
        <v/>
      </c>
      <c r="T32" s="12">
        <f>IF(AND(T$4&gt;=$E32,T$4&lt;=$F32),1,"")</f>
        <v/>
      </c>
      <c r="U32" s="12">
        <f>IF(AND(U$4&gt;=$E32,U$4&lt;=$F32),1,"")</f>
        <v/>
      </c>
      <c r="V32" s="12">
        <f>IF(AND(V$4&gt;=$E32,V$4&lt;=$F32),1,"")</f>
        <v/>
      </c>
      <c r="W32" s="12">
        <f>IF(AND(W$4&gt;=$E32,W$4&lt;=$F32),1,"")</f>
        <v/>
      </c>
      <c r="X32" s="12">
        <f>IF(AND(X$4&gt;=$E32,X$4&lt;=$F32),1,"")</f>
        <v/>
      </c>
      <c r="Y32" s="12">
        <f>IF(AND(Y$4&gt;=$E32,Y$4&lt;=$F32),1,"")</f>
        <v/>
      </c>
    </row>
    <row r="33">
      <c r="A33" s="13" t="n">
        <v>29</v>
      </c>
      <c r="B33" s="14" t="inlineStr">
        <is>
          <t>Track 4: Finance &amp; Accounting Engine</t>
        </is>
      </c>
      <c r="C33" s="15" t="inlineStr">
        <is>
          <t>Bank Reconciliation Statement Engine</t>
        </is>
      </c>
      <c r="D33" s="16" t="inlineStr">
        <is>
          <t>Bank statement CSV/Excel parser, automated transaction matching against cashbook ledgers, and variance reporting.</t>
        </is>
      </c>
      <c r="E33" s="17" t="n">
        <v>46317</v>
      </c>
      <c r="F33" s="17" t="n">
        <v>46318</v>
      </c>
      <c r="G33" s="15" t="inlineStr">
        <is>
          <t>AI fuzzy matching algorithm for bank reconciliation | Tracker: Phase 2 | Depends on Sl.No: 28</t>
        </is>
      </c>
      <c r="H33" s="12">
        <f>IF(AND(H$4&gt;=$E33,H$4&lt;=$F33),1,"")</f>
        <v/>
      </c>
      <c r="I33" s="12">
        <f>IF(AND(I$4&gt;=$E33,I$4&lt;=$F33),1,"")</f>
        <v/>
      </c>
      <c r="J33" s="12">
        <f>IF(AND(J$4&gt;=$E33,J$4&lt;=$F33),1,"")</f>
        <v/>
      </c>
      <c r="K33" s="12">
        <f>IF(AND(K$4&gt;=$E33,K$4&lt;=$F33),1,"")</f>
        <v/>
      </c>
      <c r="L33" s="12">
        <f>IF(AND(L$4&gt;=$E33,L$4&lt;=$F33),1,"")</f>
        <v/>
      </c>
      <c r="M33" s="12">
        <f>IF(AND(M$4&gt;=$E33,M$4&lt;=$F33),1,"")</f>
        <v/>
      </c>
      <c r="N33" s="12">
        <f>IF(AND(N$4&gt;=$E33,N$4&lt;=$F33),1,"")</f>
        <v/>
      </c>
      <c r="O33" s="12">
        <f>IF(AND(O$4&gt;=$E33,O$4&lt;=$F33),1,"")</f>
        <v/>
      </c>
      <c r="P33" s="12">
        <f>IF(AND(P$4&gt;=$E33,P$4&lt;=$F33),1,"")</f>
        <v/>
      </c>
      <c r="Q33" s="12">
        <f>IF(AND(Q$4&gt;=$E33,Q$4&lt;=$F33),1,"")</f>
        <v/>
      </c>
      <c r="R33" s="12">
        <f>IF(AND(R$4&gt;=$E33,R$4&lt;=$F33),1,"")</f>
        <v/>
      </c>
      <c r="S33" s="12">
        <f>IF(AND(S$4&gt;=$E33,S$4&lt;=$F33),1,"")</f>
        <v/>
      </c>
      <c r="T33" s="12">
        <f>IF(AND(T$4&gt;=$E33,T$4&lt;=$F33),1,"")</f>
        <v/>
      </c>
      <c r="U33" s="12">
        <f>IF(AND(U$4&gt;=$E33,U$4&lt;=$F33),1,"")</f>
        <v/>
      </c>
      <c r="V33" s="12">
        <f>IF(AND(V$4&gt;=$E33,V$4&lt;=$F33),1,"")</f>
        <v/>
      </c>
      <c r="W33" s="12">
        <f>IF(AND(W$4&gt;=$E33,W$4&lt;=$F33),1,"")</f>
        <v/>
      </c>
      <c r="X33" s="12">
        <f>IF(AND(X$4&gt;=$E33,X$4&lt;=$F33),1,"")</f>
        <v/>
      </c>
      <c r="Y33" s="12">
        <f>IF(AND(Y$4&gt;=$E33,Y$4&lt;=$F33),1,"")</f>
        <v/>
      </c>
    </row>
    <row r="34">
      <c r="A34" s="7" t="n">
        <v>30</v>
      </c>
      <c r="B34" s="8" t="inlineStr">
        <is>
          <t>Track 5: Non-Academics &amp; Operations</t>
        </is>
      </c>
      <c r="C34" s="9" t="inlineStr">
        <is>
          <t>Central Stores &amp; Returnable Asset Tracking</t>
        </is>
      </c>
      <c r="D34" s="10" t="inlineStr">
        <is>
          <t>SKU catalogue, inventory master, minimum reorder thresholds, and issue ledgers distinguishing returnable equipment.</t>
        </is>
      </c>
      <c r="E34" s="11" t="n">
        <v>46316</v>
      </c>
      <c r="F34" s="11" t="n">
        <v>46318</v>
      </c>
      <c r="G34" s="9" t="inlineStr">
        <is>
          <t>AI inventory tracker &amp; barcode stock audit UI | Tracker: Phase 3 | Depends on Sl.No: 3</t>
        </is>
      </c>
      <c r="H34" s="12">
        <f>IF(AND(H$4&gt;=$E34,H$4&lt;=$F34),1,"")</f>
        <v/>
      </c>
      <c r="I34" s="12">
        <f>IF(AND(I$4&gt;=$E34,I$4&lt;=$F34),1,"")</f>
        <v/>
      </c>
      <c r="J34" s="12">
        <f>IF(AND(J$4&gt;=$E34,J$4&lt;=$F34),1,"")</f>
        <v/>
      </c>
      <c r="K34" s="12">
        <f>IF(AND(K$4&gt;=$E34,K$4&lt;=$F34),1,"")</f>
        <v/>
      </c>
      <c r="L34" s="12">
        <f>IF(AND(L$4&gt;=$E34,L$4&lt;=$F34),1,"")</f>
        <v/>
      </c>
      <c r="M34" s="12">
        <f>IF(AND(M$4&gt;=$E34,M$4&lt;=$F34),1,"")</f>
        <v/>
      </c>
      <c r="N34" s="12">
        <f>IF(AND(N$4&gt;=$E34,N$4&lt;=$F34),1,"")</f>
        <v/>
      </c>
      <c r="O34" s="12">
        <f>IF(AND(O$4&gt;=$E34,O$4&lt;=$F34),1,"")</f>
        <v/>
      </c>
      <c r="P34" s="12">
        <f>IF(AND(P$4&gt;=$E34,P$4&lt;=$F34),1,"")</f>
        <v/>
      </c>
      <c r="Q34" s="12">
        <f>IF(AND(Q$4&gt;=$E34,Q$4&lt;=$F34),1,"")</f>
        <v/>
      </c>
      <c r="R34" s="12">
        <f>IF(AND(R$4&gt;=$E34,R$4&lt;=$F34),1,"")</f>
        <v/>
      </c>
      <c r="S34" s="12">
        <f>IF(AND(S$4&gt;=$E34,S$4&lt;=$F34),1,"")</f>
        <v/>
      </c>
      <c r="T34" s="12">
        <f>IF(AND(T$4&gt;=$E34,T$4&lt;=$F34),1,"")</f>
        <v/>
      </c>
      <c r="U34" s="12">
        <f>IF(AND(U$4&gt;=$E34,U$4&lt;=$F34),1,"")</f>
        <v/>
      </c>
      <c r="V34" s="12">
        <f>IF(AND(V$4&gt;=$E34,V$4&lt;=$F34),1,"")</f>
        <v/>
      </c>
      <c r="W34" s="12">
        <f>IF(AND(W$4&gt;=$E34,W$4&lt;=$F34),1,"")</f>
        <v/>
      </c>
      <c r="X34" s="12">
        <f>IF(AND(X$4&gt;=$E34,X$4&lt;=$F34),1,"")</f>
        <v/>
      </c>
      <c r="Y34" s="12">
        <f>IF(AND(Y$4&gt;=$E34,Y$4&lt;=$F34),1,"")</f>
        <v/>
      </c>
    </row>
    <row r="35">
      <c r="A35" s="7" t="n">
        <v>31</v>
      </c>
      <c r="B35" s="8" t="inlineStr">
        <is>
          <t>Track 5: Non-Academics &amp; Operations</t>
        </is>
      </c>
      <c r="C35" s="9" t="inlineStr">
        <is>
          <t>3-Vendor Store Procurement Workflow</t>
        </is>
      </c>
      <c r="D35" s="10" t="inlineStr">
        <is>
          <t>Store requisition -&gt; 3 vendor quotations comparison -&gt; JD endorsement -&gt; Finance budget verification -&gt; PO &amp; GRN creation.</t>
        </is>
      </c>
      <c r="E35" s="11" t="n">
        <v>46317</v>
      </c>
      <c r="F35" s="11" t="n">
        <v>46321</v>
      </c>
      <c r="G35" s="9" t="inlineStr">
        <is>
          <t>AI quotation comparator &amp; PO document generator | Tracker: Phase 3 | Depends on Sl.No: 30, 27</t>
        </is>
      </c>
      <c r="H35" s="12">
        <f>IF(AND(H$4&gt;=$E35,H$4&lt;=$F35),1,"")</f>
        <v/>
      </c>
      <c r="I35" s="12">
        <f>IF(AND(I$4&gt;=$E35,I$4&lt;=$F35),1,"")</f>
        <v/>
      </c>
      <c r="J35" s="12">
        <f>IF(AND(J$4&gt;=$E35,J$4&lt;=$F35),1,"")</f>
        <v/>
      </c>
      <c r="K35" s="12">
        <f>IF(AND(K$4&gt;=$E35,K$4&lt;=$F35),1,"")</f>
        <v/>
      </c>
      <c r="L35" s="12">
        <f>IF(AND(L$4&gt;=$E35,L$4&lt;=$F35),1,"")</f>
        <v/>
      </c>
      <c r="M35" s="12">
        <f>IF(AND(M$4&gt;=$E35,M$4&lt;=$F35),1,"")</f>
        <v/>
      </c>
      <c r="N35" s="12">
        <f>IF(AND(N$4&gt;=$E35,N$4&lt;=$F35),1,"")</f>
        <v/>
      </c>
      <c r="O35" s="12">
        <f>IF(AND(O$4&gt;=$E35,O$4&lt;=$F35),1,"")</f>
        <v/>
      </c>
      <c r="P35" s="12">
        <f>IF(AND(P$4&gt;=$E35,P$4&lt;=$F35),1,"")</f>
        <v/>
      </c>
      <c r="Q35" s="12">
        <f>IF(AND(Q$4&gt;=$E35,Q$4&lt;=$F35),1,"")</f>
        <v/>
      </c>
      <c r="R35" s="12">
        <f>IF(AND(R$4&gt;=$E35,R$4&lt;=$F35),1,"")</f>
        <v/>
      </c>
      <c r="S35" s="12">
        <f>IF(AND(S$4&gt;=$E35,S$4&lt;=$F35),1,"")</f>
        <v/>
      </c>
      <c r="T35" s="12">
        <f>IF(AND(T$4&gt;=$E35,T$4&lt;=$F35),1,"")</f>
        <v/>
      </c>
      <c r="U35" s="12">
        <f>IF(AND(U$4&gt;=$E35,U$4&lt;=$F35),1,"")</f>
        <v/>
      </c>
      <c r="V35" s="12">
        <f>IF(AND(V$4&gt;=$E35,V$4&lt;=$F35),1,"")</f>
        <v/>
      </c>
      <c r="W35" s="12">
        <f>IF(AND(W$4&gt;=$E35,W$4&lt;=$F35),1,"")</f>
        <v/>
      </c>
      <c r="X35" s="12">
        <f>IF(AND(X$4&gt;=$E35,X$4&lt;=$F35),1,"")</f>
        <v/>
      </c>
      <c r="Y35" s="12">
        <f>IF(AND(Y$4&gt;=$E35,Y$4&lt;=$F35),1,"")</f>
        <v/>
      </c>
    </row>
    <row r="36">
      <c r="A36" s="7" t="n">
        <v>32</v>
      </c>
      <c r="B36" s="8" t="inlineStr">
        <is>
          <t>Track 5: Non-Academics &amp; Operations</t>
        </is>
      </c>
      <c r="C36" s="9" t="inlineStr">
        <is>
          <t>Operational Helpdesk Ticketing Engine</t>
        </is>
      </c>
      <c r="D36" s="10" t="inlineStr">
        <is>
          <t>Categorised service requests (IT Support, Electrical, Plumbing, Cleaning) with automated 24-hr SLA escalation to JD/MD.</t>
        </is>
      </c>
      <c r="E36" s="11" t="n">
        <v>46317</v>
      </c>
      <c r="F36" s="11" t="n">
        <v>46321</v>
      </c>
      <c r="G36" s="9" t="inlineStr">
        <is>
          <t>AI ticketing workflow &amp; mobile technician dispatch | Tracker: Phase 3 | Depends on Sl.No: 14</t>
        </is>
      </c>
      <c r="H36" s="12">
        <f>IF(AND(H$4&gt;=$E36,H$4&lt;=$F36),1,"")</f>
        <v/>
      </c>
      <c r="I36" s="12">
        <f>IF(AND(I$4&gt;=$E36,I$4&lt;=$F36),1,"")</f>
        <v/>
      </c>
      <c r="J36" s="12">
        <f>IF(AND(J$4&gt;=$E36,J$4&lt;=$F36),1,"")</f>
        <v/>
      </c>
      <c r="K36" s="12">
        <f>IF(AND(K$4&gt;=$E36,K$4&lt;=$F36),1,"")</f>
        <v/>
      </c>
      <c r="L36" s="12">
        <f>IF(AND(L$4&gt;=$E36,L$4&lt;=$F36),1,"")</f>
        <v/>
      </c>
      <c r="M36" s="12">
        <f>IF(AND(M$4&gt;=$E36,M$4&lt;=$F36),1,"")</f>
        <v/>
      </c>
      <c r="N36" s="12">
        <f>IF(AND(N$4&gt;=$E36,N$4&lt;=$F36),1,"")</f>
        <v/>
      </c>
      <c r="O36" s="12">
        <f>IF(AND(O$4&gt;=$E36,O$4&lt;=$F36),1,"")</f>
        <v/>
      </c>
      <c r="P36" s="12">
        <f>IF(AND(P$4&gt;=$E36,P$4&lt;=$F36),1,"")</f>
        <v/>
      </c>
      <c r="Q36" s="12">
        <f>IF(AND(Q$4&gt;=$E36,Q$4&lt;=$F36),1,"")</f>
        <v/>
      </c>
      <c r="R36" s="12">
        <f>IF(AND(R$4&gt;=$E36,R$4&lt;=$F36),1,"")</f>
        <v/>
      </c>
      <c r="S36" s="12">
        <f>IF(AND(S$4&gt;=$E36,S$4&lt;=$F36),1,"")</f>
        <v/>
      </c>
      <c r="T36" s="12">
        <f>IF(AND(T$4&gt;=$E36,T$4&lt;=$F36),1,"")</f>
        <v/>
      </c>
      <c r="U36" s="12">
        <f>IF(AND(U$4&gt;=$E36,U$4&lt;=$F36),1,"")</f>
        <v/>
      </c>
      <c r="V36" s="12">
        <f>IF(AND(V$4&gt;=$E36,V$4&lt;=$F36),1,"")</f>
        <v/>
      </c>
      <c r="W36" s="12">
        <f>IF(AND(W$4&gt;=$E36,W$4&lt;=$F36),1,"")</f>
        <v/>
      </c>
      <c r="X36" s="12">
        <f>IF(AND(X$4&gt;=$E36,X$4&lt;=$F36),1,"")</f>
        <v/>
      </c>
      <c r="Y36" s="12">
        <f>IF(AND(Y$4&gt;=$E36,Y$4&lt;=$F36),1,"")</f>
        <v/>
      </c>
    </row>
    <row r="37">
      <c r="A37" s="7" t="n">
        <v>33</v>
      </c>
      <c r="B37" s="8" t="inlineStr">
        <is>
          <t>Track 5: Non-Academics &amp; Operations</t>
        </is>
      </c>
      <c r="C37" s="9" t="inlineStr">
        <is>
          <t>Transport Fleet, Routes &amp; Bus Allocations</t>
        </is>
      </c>
      <c r="D37" s="10" t="inlineStr">
        <is>
          <t>Bus catalogue, route stops, driver/conductor duty allotment, and student transport roster linked with Finance fee status.</t>
        </is>
      </c>
      <c r="E37" s="11" t="n">
        <v>46318</v>
      </c>
      <c r="F37" s="11" t="n">
        <v>46321</v>
      </c>
      <c r="G37" s="9" t="inlineStr">
        <is>
          <t>AI route clustering &amp; student stop assignment tool | Tracker: Phase 3 | Depends on Sl.No: 23</t>
        </is>
      </c>
      <c r="H37" s="12">
        <f>IF(AND(H$4&gt;=$E37,H$4&lt;=$F37),1,"")</f>
        <v/>
      </c>
      <c r="I37" s="12">
        <f>IF(AND(I$4&gt;=$E37,I$4&lt;=$F37),1,"")</f>
        <v/>
      </c>
      <c r="J37" s="12">
        <f>IF(AND(J$4&gt;=$E37,J$4&lt;=$F37),1,"")</f>
        <v/>
      </c>
      <c r="K37" s="12">
        <f>IF(AND(K$4&gt;=$E37,K$4&lt;=$F37),1,"")</f>
        <v/>
      </c>
      <c r="L37" s="12">
        <f>IF(AND(L$4&gt;=$E37,L$4&lt;=$F37),1,"")</f>
        <v/>
      </c>
      <c r="M37" s="12">
        <f>IF(AND(M$4&gt;=$E37,M$4&lt;=$F37),1,"")</f>
        <v/>
      </c>
      <c r="N37" s="12">
        <f>IF(AND(N$4&gt;=$E37,N$4&lt;=$F37),1,"")</f>
        <v/>
      </c>
      <c r="O37" s="12">
        <f>IF(AND(O$4&gt;=$E37,O$4&lt;=$F37),1,"")</f>
        <v/>
      </c>
      <c r="P37" s="12">
        <f>IF(AND(P$4&gt;=$E37,P$4&lt;=$F37),1,"")</f>
        <v/>
      </c>
      <c r="Q37" s="12">
        <f>IF(AND(Q$4&gt;=$E37,Q$4&lt;=$F37),1,"")</f>
        <v/>
      </c>
      <c r="R37" s="12">
        <f>IF(AND(R$4&gt;=$E37,R$4&lt;=$F37),1,"")</f>
        <v/>
      </c>
      <c r="S37" s="12">
        <f>IF(AND(S$4&gt;=$E37,S$4&lt;=$F37),1,"")</f>
        <v/>
      </c>
      <c r="T37" s="12">
        <f>IF(AND(T$4&gt;=$E37,T$4&lt;=$F37),1,"")</f>
        <v/>
      </c>
      <c r="U37" s="12">
        <f>IF(AND(U$4&gt;=$E37,U$4&lt;=$F37),1,"")</f>
        <v/>
      </c>
      <c r="V37" s="12">
        <f>IF(AND(V$4&gt;=$E37,V$4&lt;=$F37),1,"")</f>
        <v/>
      </c>
      <c r="W37" s="12">
        <f>IF(AND(W$4&gt;=$E37,W$4&lt;=$F37),1,"")</f>
        <v/>
      </c>
      <c r="X37" s="12">
        <f>IF(AND(X$4&gt;=$E37,X$4&lt;=$F37),1,"")</f>
        <v/>
      </c>
      <c r="Y37" s="12">
        <f>IF(AND(Y$4&gt;=$E37,Y$4&lt;=$F37),1,"")</f>
        <v/>
      </c>
    </row>
    <row r="38">
      <c r="A38" s="7" t="n">
        <v>34</v>
      </c>
      <c r="B38" s="8" t="inlineStr">
        <is>
          <t>Track 5: Non-Academics &amp; Operations</t>
        </is>
      </c>
      <c r="C38" s="9" t="inlineStr">
        <is>
          <t>Driver / Conductor Mobile Trip Portal</t>
        </is>
      </c>
      <c r="D38" s="10" t="inlineStr">
        <is>
          <t>Simplified mobile PWA for drivers/conductors: Home pickup and School drop trips with 1-tap student boarding/drop check.</t>
        </is>
      </c>
      <c r="E38" s="11" t="n">
        <v>46318</v>
      </c>
      <c r="F38" s="11" t="n">
        <v>46322</v>
      </c>
      <c r="G38" s="9" t="inlineStr">
        <is>
          <t>AI mobile PWA UI scaffold optimized for low-end phones | Tracker: Phase 3 | Depends on Sl.No: 33</t>
        </is>
      </c>
      <c r="H38" s="12">
        <f>IF(AND(H$4&gt;=$E38,H$4&lt;=$F38),1,"")</f>
        <v/>
      </c>
      <c r="I38" s="12">
        <f>IF(AND(I$4&gt;=$E38,I$4&lt;=$F38),1,"")</f>
        <v/>
      </c>
      <c r="J38" s="12">
        <f>IF(AND(J$4&gt;=$E38,J$4&lt;=$F38),1,"")</f>
        <v/>
      </c>
      <c r="K38" s="12">
        <f>IF(AND(K$4&gt;=$E38,K$4&lt;=$F38),1,"")</f>
        <v/>
      </c>
      <c r="L38" s="12">
        <f>IF(AND(L$4&gt;=$E38,L$4&lt;=$F38),1,"")</f>
        <v/>
      </c>
      <c r="M38" s="12">
        <f>IF(AND(M$4&gt;=$E38,M$4&lt;=$F38),1,"")</f>
        <v/>
      </c>
      <c r="N38" s="12">
        <f>IF(AND(N$4&gt;=$E38,N$4&lt;=$F38),1,"")</f>
        <v/>
      </c>
      <c r="O38" s="12">
        <f>IF(AND(O$4&gt;=$E38,O$4&lt;=$F38),1,"")</f>
        <v/>
      </c>
      <c r="P38" s="12">
        <f>IF(AND(P$4&gt;=$E38,P$4&lt;=$F38),1,"")</f>
        <v/>
      </c>
      <c r="Q38" s="12">
        <f>IF(AND(Q$4&gt;=$E38,Q$4&lt;=$F38),1,"")</f>
        <v/>
      </c>
      <c r="R38" s="12">
        <f>IF(AND(R$4&gt;=$E38,R$4&lt;=$F38),1,"")</f>
        <v/>
      </c>
      <c r="S38" s="12">
        <f>IF(AND(S$4&gt;=$E38,S$4&lt;=$F38),1,"")</f>
        <v/>
      </c>
      <c r="T38" s="12">
        <f>IF(AND(T$4&gt;=$E38,T$4&lt;=$F38),1,"")</f>
        <v/>
      </c>
      <c r="U38" s="12">
        <f>IF(AND(U$4&gt;=$E38,U$4&lt;=$F38),1,"")</f>
        <v/>
      </c>
      <c r="V38" s="12">
        <f>IF(AND(V$4&gt;=$E38,V$4&lt;=$F38),1,"")</f>
        <v/>
      </c>
      <c r="W38" s="12">
        <f>IF(AND(W$4&gt;=$E38,W$4&lt;=$F38),1,"")</f>
        <v/>
      </c>
      <c r="X38" s="12">
        <f>IF(AND(X$4&gt;=$E38,X$4&lt;=$F38),1,"")</f>
        <v/>
      </c>
      <c r="Y38" s="12">
        <f>IF(AND(Y$4&gt;=$E38,Y$4&lt;=$F38),1,"")</f>
        <v/>
      </c>
    </row>
    <row r="39">
      <c r="A39" s="7" t="n">
        <v>35</v>
      </c>
      <c r="B39" s="8" t="inlineStr">
        <is>
          <t>Track 5: Non-Academics &amp; Operations</t>
        </is>
      </c>
      <c r="C39" s="9" t="inlineStr">
        <is>
          <t>Live School Bus GPS Tracking Integration</t>
        </is>
      </c>
      <c r="D39" s="10" t="inlineStr">
        <is>
          <t>Vendor telematics ingestion mapping live bus coordinates onto map overlays for parents' student profile and Transport Mgr.</t>
        </is>
      </c>
      <c r="E39" s="11" t="n">
        <v>46321</v>
      </c>
      <c r="F39" s="11" t="n">
        <v>46322</v>
      </c>
      <c r="G39" s="9" t="inlineStr">
        <is>
          <t>AI Mapbox/Leaflet live telemetry map renderer | Tracker: Phase 3 | Depends on Sl.No: 33</t>
        </is>
      </c>
      <c r="H39" s="12">
        <f>IF(AND(H$4&gt;=$E39,H$4&lt;=$F39),1,"")</f>
        <v/>
      </c>
      <c r="I39" s="12">
        <f>IF(AND(I$4&gt;=$E39,I$4&lt;=$F39),1,"")</f>
        <v/>
      </c>
      <c r="J39" s="12">
        <f>IF(AND(J$4&gt;=$E39,J$4&lt;=$F39),1,"")</f>
        <v/>
      </c>
      <c r="K39" s="12">
        <f>IF(AND(K$4&gt;=$E39,K$4&lt;=$F39),1,"")</f>
        <v/>
      </c>
      <c r="L39" s="12">
        <f>IF(AND(L$4&gt;=$E39,L$4&lt;=$F39),1,"")</f>
        <v/>
      </c>
      <c r="M39" s="12">
        <f>IF(AND(M$4&gt;=$E39,M$4&lt;=$F39),1,"")</f>
        <v/>
      </c>
      <c r="N39" s="12">
        <f>IF(AND(N$4&gt;=$E39,N$4&lt;=$F39),1,"")</f>
        <v/>
      </c>
      <c r="O39" s="12">
        <f>IF(AND(O$4&gt;=$E39,O$4&lt;=$F39),1,"")</f>
        <v/>
      </c>
      <c r="P39" s="12">
        <f>IF(AND(P$4&gt;=$E39,P$4&lt;=$F39),1,"")</f>
        <v/>
      </c>
      <c r="Q39" s="12">
        <f>IF(AND(Q$4&gt;=$E39,Q$4&lt;=$F39),1,"")</f>
        <v/>
      </c>
      <c r="R39" s="12">
        <f>IF(AND(R$4&gt;=$E39,R$4&lt;=$F39),1,"")</f>
        <v/>
      </c>
      <c r="S39" s="12">
        <f>IF(AND(S$4&gt;=$E39,S$4&lt;=$F39),1,"")</f>
        <v/>
      </c>
      <c r="T39" s="12">
        <f>IF(AND(T$4&gt;=$E39,T$4&lt;=$F39),1,"")</f>
        <v/>
      </c>
      <c r="U39" s="12">
        <f>IF(AND(U$4&gt;=$E39,U$4&lt;=$F39),1,"")</f>
        <v/>
      </c>
      <c r="V39" s="12">
        <f>IF(AND(V$4&gt;=$E39,V$4&lt;=$F39),1,"")</f>
        <v/>
      </c>
      <c r="W39" s="12">
        <f>IF(AND(W$4&gt;=$E39,W$4&lt;=$F39),1,"")</f>
        <v/>
      </c>
      <c r="X39" s="12">
        <f>IF(AND(X$4&gt;=$E39,X$4&lt;=$F39),1,"")</f>
        <v/>
      </c>
      <c r="Y39" s="12">
        <f>IF(AND(Y$4&gt;=$E39,Y$4&lt;=$F39),1,"")</f>
        <v/>
      </c>
    </row>
    <row r="40">
      <c r="A40" s="7" t="n">
        <v>36</v>
      </c>
      <c r="B40" s="8" t="inlineStr">
        <is>
          <t>Track 5: Non-Academics &amp; Operations</t>
        </is>
      </c>
      <c r="C40" s="9" t="inlineStr">
        <is>
          <t>Security Visitor Management with Photo Badges</t>
        </is>
      </c>
      <c r="D40" s="10" t="inlineStr">
        <is>
          <t>Visitor check-in (name, mobile, photo, host), automatic PRM host notification, and barcode visitor badge printing.</t>
        </is>
      </c>
      <c r="E40" s="11" t="n">
        <v>46321</v>
      </c>
      <c r="F40" s="11" t="n">
        <v>46322</v>
      </c>
      <c r="G40" s="9" t="inlineStr">
        <is>
          <t>AI webcam photo capture component &amp; badge printer | Tracker: Phase 3 | Depends on Sl.No: 13</t>
        </is>
      </c>
      <c r="H40" s="12">
        <f>IF(AND(H$4&gt;=$E40,H$4&lt;=$F40),1,"")</f>
        <v/>
      </c>
      <c r="I40" s="12">
        <f>IF(AND(I$4&gt;=$E40,I$4&lt;=$F40),1,"")</f>
        <v/>
      </c>
      <c r="J40" s="12">
        <f>IF(AND(J$4&gt;=$E40,J$4&lt;=$F40),1,"")</f>
        <v/>
      </c>
      <c r="K40" s="12">
        <f>IF(AND(K$4&gt;=$E40,K$4&lt;=$F40),1,"")</f>
        <v/>
      </c>
      <c r="L40" s="12">
        <f>IF(AND(L$4&gt;=$E40,L$4&lt;=$F40),1,"")</f>
        <v/>
      </c>
      <c r="M40" s="12">
        <f>IF(AND(M$4&gt;=$E40,M$4&lt;=$F40),1,"")</f>
        <v/>
      </c>
      <c r="N40" s="12">
        <f>IF(AND(N$4&gt;=$E40,N$4&lt;=$F40),1,"")</f>
        <v/>
      </c>
      <c r="O40" s="12">
        <f>IF(AND(O$4&gt;=$E40,O$4&lt;=$F40),1,"")</f>
        <v/>
      </c>
      <c r="P40" s="12">
        <f>IF(AND(P$4&gt;=$E40,P$4&lt;=$F40),1,"")</f>
        <v/>
      </c>
      <c r="Q40" s="12">
        <f>IF(AND(Q$4&gt;=$E40,Q$4&lt;=$F40),1,"")</f>
        <v/>
      </c>
      <c r="R40" s="12">
        <f>IF(AND(R$4&gt;=$E40,R$4&lt;=$F40),1,"")</f>
        <v/>
      </c>
      <c r="S40" s="12">
        <f>IF(AND(S$4&gt;=$E40,S$4&lt;=$F40),1,"")</f>
        <v/>
      </c>
      <c r="T40" s="12">
        <f>IF(AND(T$4&gt;=$E40,T$4&lt;=$F40),1,"")</f>
        <v/>
      </c>
      <c r="U40" s="12">
        <f>IF(AND(U$4&gt;=$E40,U$4&lt;=$F40),1,"")</f>
        <v/>
      </c>
      <c r="V40" s="12">
        <f>IF(AND(V$4&gt;=$E40,V$4&lt;=$F40),1,"")</f>
        <v/>
      </c>
      <c r="W40" s="12">
        <f>IF(AND(W$4&gt;=$E40,W$4&lt;=$F40),1,"")</f>
        <v/>
      </c>
      <c r="X40" s="12">
        <f>IF(AND(X$4&gt;=$E40,X$4&lt;=$F40),1,"")</f>
        <v/>
      </c>
      <c r="Y40" s="12">
        <f>IF(AND(Y$4&gt;=$E40,Y$4&lt;=$F40),1,"")</f>
        <v/>
      </c>
    </row>
    <row r="41">
      <c r="A41" s="7" t="n">
        <v>37</v>
      </c>
      <c r="B41" s="8" t="inlineStr">
        <is>
          <t>Track 5: Non-Academics &amp; Operations</t>
        </is>
      </c>
      <c r="C41" s="9" t="inlineStr">
        <is>
          <t>Camera Room CCTV &amp; File Room Vault</t>
        </is>
      </c>
      <c r="D41" s="10" t="inlineStr">
        <is>
          <t>CCTV incident footage marking &amp; chain-of-custody request workflow; File Room physical archive with granular confidentiality tags.</t>
        </is>
      </c>
      <c r="E41" s="11" t="n">
        <v>46321</v>
      </c>
      <c r="F41" s="11" t="n">
        <v>46323</v>
      </c>
      <c r="G41" s="9" t="inlineStr">
        <is>
          <t>AI video metadata indexing &amp; document security tags | Tracker: Phase 3 | Depends on Sl.No: 4</t>
        </is>
      </c>
      <c r="H41" s="12">
        <f>IF(AND(H$4&gt;=$E41,H$4&lt;=$F41),1,"")</f>
        <v/>
      </c>
      <c r="I41" s="12">
        <f>IF(AND(I$4&gt;=$E41,I$4&lt;=$F41),1,"")</f>
        <v/>
      </c>
      <c r="J41" s="12">
        <f>IF(AND(J$4&gt;=$E41,J$4&lt;=$F41),1,"")</f>
        <v/>
      </c>
      <c r="K41" s="12">
        <f>IF(AND(K$4&gt;=$E41,K$4&lt;=$F41),1,"")</f>
        <v/>
      </c>
      <c r="L41" s="12">
        <f>IF(AND(L$4&gt;=$E41,L$4&lt;=$F41),1,"")</f>
        <v/>
      </c>
      <c r="M41" s="12">
        <f>IF(AND(M$4&gt;=$E41,M$4&lt;=$F41),1,"")</f>
        <v/>
      </c>
      <c r="N41" s="12">
        <f>IF(AND(N$4&gt;=$E41,N$4&lt;=$F41),1,"")</f>
        <v/>
      </c>
      <c r="O41" s="12">
        <f>IF(AND(O$4&gt;=$E41,O$4&lt;=$F41),1,"")</f>
        <v/>
      </c>
      <c r="P41" s="12">
        <f>IF(AND(P$4&gt;=$E41,P$4&lt;=$F41),1,"")</f>
        <v/>
      </c>
      <c r="Q41" s="12">
        <f>IF(AND(Q$4&gt;=$E41,Q$4&lt;=$F41),1,"")</f>
        <v/>
      </c>
      <c r="R41" s="12">
        <f>IF(AND(R$4&gt;=$E41,R$4&lt;=$F41),1,"")</f>
        <v/>
      </c>
      <c r="S41" s="12">
        <f>IF(AND(S$4&gt;=$E41,S$4&lt;=$F41),1,"")</f>
        <v/>
      </c>
      <c r="T41" s="12">
        <f>IF(AND(T$4&gt;=$E41,T$4&lt;=$F41),1,"")</f>
        <v/>
      </c>
      <c r="U41" s="12">
        <f>IF(AND(U$4&gt;=$E41,U$4&lt;=$F41),1,"")</f>
        <v/>
      </c>
      <c r="V41" s="12">
        <f>IF(AND(V$4&gt;=$E41,V$4&lt;=$F41),1,"")</f>
        <v/>
      </c>
      <c r="W41" s="12">
        <f>IF(AND(W$4&gt;=$E41,W$4&lt;=$F41),1,"")</f>
        <v/>
      </c>
      <c r="X41" s="12">
        <f>IF(AND(X$4&gt;=$E41,X$4&lt;=$F41),1,"")</f>
        <v/>
      </c>
      <c r="Y41" s="12">
        <f>IF(AND(Y$4&gt;=$E41,Y$4&lt;=$F41),1,"")</f>
        <v/>
      </c>
    </row>
    <row r="42">
      <c r="A42" s="7" t="n">
        <v>38</v>
      </c>
      <c r="B42" s="8" t="inlineStr">
        <is>
          <t>Track 5: Non-Academics &amp; Operations</t>
        </is>
      </c>
      <c r="C42" s="9" t="inlineStr">
        <is>
          <t>PRO Government Liaison &amp; CBSE Compliance</t>
        </is>
      </c>
      <c r="D42" s="10" t="inlineStr">
        <is>
          <t>Tracker for statutory licenses, CBSE affiliation inspections, fire safety renewals, building permits, and challan payments.</t>
        </is>
      </c>
      <c r="E42" s="11" t="n">
        <v>46321</v>
      </c>
      <c r="F42" s="11" t="n">
        <v>46323</v>
      </c>
      <c r="G42" s="9" t="inlineStr">
        <is>
          <t>AI statutory compliance calendar &amp; deadline alert engine | Tracker: Phase 3 | Depends on Sl.No: 3</t>
        </is>
      </c>
      <c r="H42" s="12">
        <f>IF(AND(H$4&gt;=$E42,H$4&lt;=$F42),1,"")</f>
        <v/>
      </c>
      <c r="I42" s="12">
        <f>IF(AND(I$4&gt;=$E42,I$4&lt;=$F42),1,"")</f>
        <v/>
      </c>
      <c r="J42" s="12">
        <f>IF(AND(J$4&gt;=$E42,J$4&lt;=$F42),1,"")</f>
        <v/>
      </c>
      <c r="K42" s="12">
        <f>IF(AND(K$4&gt;=$E42,K$4&lt;=$F42),1,"")</f>
        <v/>
      </c>
      <c r="L42" s="12">
        <f>IF(AND(L$4&gt;=$E42,L$4&lt;=$F42),1,"")</f>
        <v/>
      </c>
      <c r="M42" s="12">
        <f>IF(AND(M$4&gt;=$E42,M$4&lt;=$F42),1,"")</f>
        <v/>
      </c>
      <c r="N42" s="12">
        <f>IF(AND(N$4&gt;=$E42,N$4&lt;=$F42),1,"")</f>
        <v/>
      </c>
      <c r="O42" s="12">
        <f>IF(AND(O$4&gt;=$E42,O$4&lt;=$F42),1,"")</f>
        <v/>
      </c>
      <c r="P42" s="12">
        <f>IF(AND(P$4&gt;=$E42,P$4&lt;=$F42),1,"")</f>
        <v/>
      </c>
      <c r="Q42" s="12">
        <f>IF(AND(Q$4&gt;=$E42,Q$4&lt;=$F42),1,"")</f>
        <v/>
      </c>
      <c r="R42" s="12">
        <f>IF(AND(R$4&gt;=$E42,R$4&lt;=$F42),1,"")</f>
        <v/>
      </c>
      <c r="S42" s="12">
        <f>IF(AND(S$4&gt;=$E42,S$4&lt;=$F42),1,"")</f>
        <v/>
      </c>
      <c r="T42" s="12">
        <f>IF(AND(T$4&gt;=$E42,T$4&lt;=$F42),1,"")</f>
        <v/>
      </c>
      <c r="U42" s="12">
        <f>IF(AND(U$4&gt;=$E42,U$4&lt;=$F42),1,"")</f>
        <v/>
      </c>
      <c r="V42" s="12">
        <f>IF(AND(V$4&gt;=$E42,V$4&lt;=$F42),1,"")</f>
        <v/>
      </c>
      <c r="W42" s="12">
        <f>IF(AND(W$4&gt;=$E42,W$4&lt;=$F42),1,"")</f>
        <v/>
      </c>
      <c r="X42" s="12">
        <f>IF(AND(X$4&gt;=$E42,X$4&lt;=$F42),1,"")</f>
        <v/>
      </c>
      <c r="Y42" s="12">
        <f>IF(AND(Y$4&gt;=$E42,Y$4&lt;=$F42),1,"")</f>
        <v/>
      </c>
    </row>
    <row r="43">
      <c r="A43" s="13" t="n">
        <v>39</v>
      </c>
      <c r="B43" s="14" t="inlineStr">
        <is>
          <t>Track 6: Audit Automation &amp; Compliance</t>
        </is>
      </c>
      <c r="C43" s="15" t="inlineStr">
        <is>
          <t>Automated Audit Scheduler Engine</t>
        </is>
      </c>
      <c r="D43" s="16" t="inlineStr">
        <is>
          <t>Replaces all 20+ legacy Google Sheets: auto-generates recurring daily, weekly, monthly audit tasks per master annual plan.</t>
        </is>
      </c>
      <c r="E43" s="17" t="n">
        <v>46321</v>
      </c>
      <c r="F43" s="17" t="n">
        <v>46322</v>
      </c>
      <c r="G43" s="15" t="inlineStr">
        <is>
          <t>AI scheduler migrating Annual Plan and checkpoints.xlsx | Tracker: Phase 4 | Depends on Sl.No: 4</t>
        </is>
      </c>
      <c r="H43" s="12">
        <f>IF(AND(H$4&gt;=$E43,H$4&lt;=$F43),1,"")</f>
        <v/>
      </c>
      <c r="I43" s="12">
        <f>IF(AND(I$4&gt;=$E43,I$4&lt;=$F43),1,"")</f>
        <v/>
      </c>
      <c r="J43" s="12">
        <f>IF(AND(J$4&gt;=$E43,J$4&lt;=$F43),1,"")</f>
        <v/>
      </c>
      <c r="K43" s="12">
        <f>IF(AND(K$4&gt;=$E43,K$4&lt;=$F43),1,"")</f>
        <v/>
      </c>
      <c r="L43" s="12">
        <f>IF(AND(L$4&gt;=$E43,L$4&lt;=$F43),1,"")</f>
        <v/>
      </c>
      <c r="M43" s="12">
        <f>IF(AND(M$4&gt;=$E43,M$4&lt;=$F43),1,"")</f>
        <v/>
      </c>
      <c r="N43" s="12">
        <f>IF(AND(N$4&gt;=$E43,N$4&lt;=$F43),1,"")</f>
        <v/>
      </c>
      <c r="O43" s="12">
        <f>IF(AND(O$4&gt;=$E43,O$4&lt;=$F43),1,"")</f>
        <v/>
      </c>
      <c r="P43" s="12">
        <f>IF(AND(P$4&gt;=$E43,P$4&lt;=$F43),1,"")</f>
        <v/>
      </c>
      <c r="Q43" s="12">
        <f>IF(AND(Q$4&gt;=$E43,Q$4&lt;=$F43),1,"")</f>
        <v/>
      </c>
      <c r="R43" s="12">
        <f>IF(AND(R$4&gt;=$E43,R$4&lt;=$F43),1,"")</f>
        <v/>
      </c>
      <c r="S43" s="12">
        <f>IF(AND(S$4&gt;=$E43,S$4&lt;=$F43),1,"")</f>
        <v/>
      </c>
      <c r="T43" s="12">
        <f>IF(AND(T$4&gt;=$E43,T$4&lt;=$F43),1,"")</f>
        <v/>
      </c>
      <c r="U43" s="12">
        <f>IF(AND(U$4&gt;=$E43,U$4&lt;=$F43),1,"")</f>
        <v/>
      </c>
      <c r="V43" s="12">
        <f>IF(AND(V$4&gt;=$E43,V$4&lt;=$F43),1,"")</f>
        <v/>
      </c>
      <c r="W43" s="12">
        <f>IF(AND(W$4&gt;=$E43,W$4&lt;=$F43),1,"")</f>
        <v/>
      </c>
      <c r="X43" s="12">
        <f>IF(AND(X$4&gt;=$E43,X$4&lt;=$F43),1,"")</f>
        <v/>
      </c>
      <c r="Y43" s="12">
        <f>IF(AND(Y$4&gt;=$E43,Y$4&lt;=$F43),1,"")</f>
        <v/>
      </c>
    </row>
    <row r="44">
      <c r="A44" s="13" t="n">
        <v>40</v>
      </c>
      <c r="B44" s="14" t="inlineStr">
        <is>
          <t>Track 6: Audit Automation &amp; Compliance</t>
        </is>
      </c>
      <c r="C44" s="15" t="inlineStr">
        <is>
          <t>38 Daily Process Audit Inspection Checklists</t>
        </is>
      </c>
      <c r="D44" s="16" t="inlineStr">
        <is>
          <t>Digital inspection forms: roll call audit, biometric sync checks, DSR entries, GPS tracking, washroom rounds, sickbay checks.</t>
        </is>
      </c>
      <c r="E44" s="17" t="n">
        <v>46321</v>
      </c>
      <c r="F44" s="17" t="n">
        <v>46323</v>
      </c>
      <c r="G44" s="15" t="inlineStr">
        <is>
          <t>AI digital checklist builder from Process Audit 2025-26.xlsx | Tracker: Phase 4 | Depends on Sl.No: 39</t>
        </is>
      </c>
      <c r="H44" s="12">
        <f>IF(AND(H$4&gt;=$E44,H$4&lt;=$F44),1,"")</f>
        <v/>
      </c>
      <c r="I44" s="12">
        <f>IF(AND(I$4&gt;=$E44,I$4&lt;=$F44),1,"")</f>
        <v/>
      </c>
      <c r="J44" s="12">
        <f>IF(AND(J$4&gt;=$E44,J$4&lt;=$F44),1,"")</f>
        <v/>
      </c>
      <c r="K44" s="12">
        <f>IF(AND(K$4&gt;=$E44,K$4&lt;=$F44),1,"")</f>
        <v/>
      </c>
      <c r="L44" s="12">
        <f>IF(AND(L$4&gt;=$E44,L$4&lt;=$F44),1,"")</f>
        <v/>
      </c>
      <c r="M44" s="12">
        <f>IF(AND(M$4&gt;=$E44,M$4&lt;=$F44),1,"")</f>
        <v/>
      </c>
      <c r="N44" s="12">
        <f>IF(AND(N$4&gt;=$E44,N$4&lt;=$F44),1,"")</f>
        <v/>
      </c>
      <c r="O44" s="12">
        <f>IF(AND(O$4&gt;=$E44,O$4&lt;=$F44),1,"")</f>
        <v/>
      </c>
      <c r="P44" s="12">
        <f>IF(AND(P$4&gt;=$E44,P$4&lt;=$F44),1,"")</f>
        <v/>
      </c>
      <c r="Q44" s="12">
        <f>IF(AND(Q$4&gt;=$E44,Q$4&lt;=$F44),1,"")</f>
        <v/>
      </c>
      <c r="R44" s="12">
        <f>IF(AND(R$4&gt;=$E44,R$4&lt;=$F44),1,"")</f>
        <v/>
      </c>
      <c r="S44" s="12">
        <f>IF(AND(S$4&gt;=$E44,S$4&lt;=$F44),1,"")</f>
        <v/>
      </c>
      <c r="T44" s="12">
        <f>IF(AND(T$4&gt;=$E44,T$4&lt;=$F44),1,"")</f>
        <v/>
      </c>
      <c r="U44" s="12">
        <f>IF(AND(U$4&gt;=$E44,U$4&lt;=$F44),1,"")</f>
        <v/>
      </c>
      <c r="V44" s="12">
        <f>IF(AND(V$4&gt;=$E44,V$4&lt;=$F44),1,"")</f>
        <v/>
      </c>
      <c r="W44" s="12">
        <f>IF(AND(W$4&gt;=$E44,W$4&lt;=$F44),1,"")</f>
        <v/>
      </c>
      <c r="X44" s="12">
        <f>IF(AND(X$4&gt;=$E44,X$4&lt;=$F44),1,"")</f>
        <v/>
      </c>
      <c r="Y44" s="12">
        <f>IF(AND(Y$4&gt;=$E44,Y$4&lt;=$F44),1,"")</f>
        <v/>
      </c>
    </row>
    <row r="45">
      <c r="A45" s="13" t="n">
        <v>41</v>
      </c>
      <c r="B45" s="14" t="inlineStr">
        <is>
          <t>Track 6: Audit Automation &amp; Compliance</t>
        </is>
      </c>
      <c r="C45" s="15" t="inlineStr">
        <is>
          <t>Academic Quality Audits (SPQA / PQA)</t>
        </is>
      </c>
      <c r="D45" s="16" t="inlineStr">
        <is>
          <t>Classroom teaching observations, lesson plan adherence, student notebook correction audits, and exam paper evaluations.</t>
        </is>
      </c>
      <c r="E45" s="17" t="n">
        <v>46322</v>
      </c>
      <c r="F45" s="17" t="n">
        <v>46323</v>
      </c>
      <c r="G45" s="15" t="inlineStr">
        <is>
          <t>AI rubric scoring forms from Quality Audit 2025-26.xlsx | Tracker: Phase 4 | Depends on Sl.No: 39</t>
        </is>
      </c>
      <c r="H45" s="12">
        <f>IF(AND(H$4&gt;=$E45,H$4&lt;=$F45),1,"")</f>
        <v/>
      </c>
      <c r="I45" s="12">
        <f>IF(AND(I$4&gt;=$E45,I$4&lt;=$F45),1,"")</f>
        <v/>
      </c>
      <c r="J45" s="12">
        <f>IF(AND(J$4&gt;=$E45,J$4&lt;=$F45),1,"")</f>
        <v/>
      </c>
      <c r="K45" s="12">
        <f>IF(AND(K$4&gt;=$E45,K$4&lt;=$F45),1,"")</f>
        <v/>
      </c>
      <c r="L45" s="12">
        <f>IF(AND(L$4&gt;=$E45,L$4&lt;=$F45),1,"")</f>
        <v/>
      </c>
      <c r="M45" s="12">
        <f>IF(AND(M$4&gt;=$E45,M$4&lt;=$F45),1,"")</f>
        <v/>
      </c>
      <c r="N45" s="12">
        <f>IF(AND(N$4&gt;=$E45,N$4&lt;=$F45),1,"")</f>
        <v/>
      </c>
      <c r="O45" s="12">
        <f>IF(AND(O$4&gt;=$E45,O$4&lt;=$F45),1,"")</f>
        <v/>
      </c>
      <c r="P45" s="12">
        <f>IF(AND(P$4&gt;=$E45,P$4&lt;=$F45),1,"")</f>
        <v/>
      </c>
      <c r="Q45" s="12">
        <f>IF(AND(Q$4&gt;=$E45,Q$4&lt;=$F45),1,"")</f>
        <v/>
      </c>
      <c r="R45" s="12">
        <f>IF(AND(R$4&gt;=$E45,R$4&lt;=$F45),1,"")</f>
        <v/>
      </c>
      <c r="S45" s="12">
        <f>IF(AND(S$4&gt;=$E45,S$4&lt;=$F45),1,"")</f>
        <v/>
      </c>
      <c r="T45" s="12">
        <f>IF(AND(T$4&gt;=$E45,T$4&lt;=$F45),1,"")</f>
        <v/>
      </c>
      <c r="U45" s="12">
        <f>IF(AND(U$4&gt;=$E45,U$4&lt;=$F45),1,"")</f>
        <v/>
      </c>
      <c r="V45" s="12">
        <f>IF(AND(V$4&gt;=$E45,V$4&lt;=$F45),1,"")</f>
        <v/>
      </c>
      <c r="W45" s="12">
        <f>IF(AND(W$4&gt;=$E45,W$4&lt;=$F45),1,"")</f>
        <v/>
      </c>
      <c r="X45" s="12">
        <f>IF(AND(X$4&gt;=$E45,X$4&lt;=$F45),1,"")</f>
        <v/>
      </c>
      <c r="Y45" s="12">
        <f>IF(AND(Y$4&gt;=$E45,Y$4&lt;=$F45),1,"")</f>
        <v/>
      </c>
    </row>
    <row r="46">
      <c r="A46" s="13" t="n">
        <v>42</v>
      </c>
      <c r="B46" s="14" t="inlineStr">
        <is>
          <t>Track 6: Audit Automation &amp; Compliance</t>
        </is>
      </c>
      <c r="C46" s="15" t="inlineStr">
        <is>
          <t>CAPA Resolution &amp; ATR Evidence Engine</t>
        </is>
      </c>
      <c r="D46" s="16" t="inlineStr">
        <is>
          <t>Non-conformance risk classification (Critical, Major, Minor), CAPA assignment with deadlines, and Action Taken Reports (ATR).</t>
        </is>
      </c>
      <c r="E46" s="17" t="n">
        <v>46322</v>
      </c>
      <c r="F46" s="17" t="n">
        <v>46324</v>
      </c>
      <c r="G46" s="15" t="inlineStr">
        <is>
          <t>AI CAPA remediation workflow &amp; photo evidence verification | Tracker: Phase 4 | Depends on Sl.No: 40</t>
        </is>
      </c>
      <c r="H46" s="12">
        <f>IF(AND(H$4&gt;=$E46,H$4&lt;=$F46),1,"")</f>
        <v/>
      </c>
      <c r="I46" s="12">
        <f>IF(AND(I$4&gt;=$E46,I$4&lt;=$F46),1,"")</f>
        <v/>
      </c>
      <c r="J46" s="12">
        <f>IF(AND(J$4&gt;=$E46,J$4&lt;=$F46),1,"")</f>
        <v/>
      </c>
      <c r="K46" s="12">
        <f>IF(AND(K$4&gt;=$E46,K$4&lt;=$F46),1,"")</f>
        <v/>
      </c>
      <c r="L46" s="12">
        <f>IF(AND(L$4&gt;=$E46,L$4&lt;=$F46),1,"")</f>
        <v/>
      </c>
      <c r="M46" s="12">
        <f>IF(AND(M$4&gt;=$E46,M$4&lt;=$F46),1,"")</f>
        <v/>
      </c>
      <c r="N46" s="12">
        <f>IF(AND(N$4&gt;=$E46,N$4&lt;=$F46),1,"")</f>
        <v/>
      </c>
      <c r="O46" s="12">
        <f>IF(AND(O$4&gt;=$E46,O$4&lt;=$F46),1,"")</f>
        <v/>
      </c>
      <c r="P46" s="12">
        <f>IF(AND(P$4&gt;=$E46,P$4&lt;=$F46),1,"")</f>
        <v/>
      </c>
      <c r="Q46" s="12">
        <f>IF(AND(Q$4&gt;=$E46,Q$4&lt;=$F46),1,"")</f>
        <v/>
      </c>
      <c r="R46" s="12">
        <f>IF(AND(R$4&gt;=$E46,R$4&lt;=$F46),1,"")</f>
        <v/>
      </c>
      <c r="S46" s="12">
        <f>IF(AND(S$4&gt;=$E46,S$4&lt;=$F46),1,"")</f>
        <v/>
      </c>
      <c r="T46" s="12">
        <f>IF(AND(T$4&gt;=$E46,T$4&lt;=$F46),1,"")</f>
        <v/>
      </c>
      <c r="U46" s="12">
        <f>IF(AND(U$4&gt;=$E46,U$4&lt;=$F46),1,"")</f>
        <v/>
      </c>
      <c r="V46" s="12">
        <f>IF(AND(V$4&gt;=$E46,V$4&lt;=$F46),1,"")</f>
        <v/>
      </c>
      <c r="W46" s="12">
        <f>IF(AND(W$4&gt;=$E46,W$4&lt;=$F46),1,"")</f>
        <v/>
      </c>
      <c r="X46" s="12">
        <f>IF(AND(X$4&gt;=$E46,X$4&lt;=$F46),1,"")</f>
        <v/>
      </c>
      <c r="Y46" s="12">
        <f>IF(AND(Y$4&gt;=$E46,Y$4&lt;=$F46),1,"")</f>
        <v/>
      </c>
    </row>
    <row r="47">
      <c r="A47" s="13" t="n">
        <v>43</v>
      </c>
      <c r="B47" s="14" t="inlineStr">
        <is>
          <t>Track 6: Audit Automation &amp; Compliance</t>
        </is>
      </c>
      <c r="C47" s="15" t="inlineStr">
        <is>
          <t>Balanced Scorecard (BSC) Scoring Engine</t>
        </is>
      </c>
      <c r="D47" s="16" t="inlineStr">
        <is>
          <t>Automated scoring combining operational compliance, audit results, and HOD evaluations; exported directly to HR appraisals.</t>
        </is>
      </c>
      <c r="E47" s="17" t="n">
        <v>46322</v>
      </c>
      <c r="F47" s="17" t="n">
        <v>46324</v>
      </c>
      <c r="G47" s="15" t="inlineStr">
        <is>
          <t>AI BSC KPI calculation engine | Tracker: Phase 4 | Depends on Sl.No: 41, 20</t>
        </is>
      </c>
      <c r="H47" s="12">
        <f>IF(AND(H$4&gt;=$E47,H$4&lt;=$F47),1,"")</f>
        <v/>
      </c>
      <c r="I47" s="12">
        <f>IF(AND(I$4&gt;=$E47,I$4&lt;=$F47),1,"")</f>
        <v/>
      </c>
      <c r="J47" s="12">
        <f>IF(AND(J$4&gt;=$E47,J$4&lt;=$F47),1,"")</f>
        <v/>
      </c>
      <c r="K47" s="12">
        <f>IF(AND(K$4&gt;=$E47,K$4&lt;=$F47),1,"")</f>
        <v/>
      </c>
      <c r="L47" s="12">
        <f>IF(AND(L$4&gt;=$E47,L$4&lt;=$F47),1,"")</f>
        <v/>
      </c>
      <c r="M47" s="12">
        <f>IF(AND(M$4&gt;=$E47,M$4&lt;=$F47),1,"")</f>
        <v/>
      </c>
      <c r="N47" s="12">
        <f>IF(AND(N$4&gt;=$E47,N$4&lt;=$F47),1,"")</f>
        <v/>
      </c>
      <c r="O47" s="12">
        <f>IF(AND(O$4&gt;=$E47,O$4&lt;=$F47),1,"")</f>
        <v/>
      </c>
      <c r="P47" s="12">
        <f>IF(AND(P$4&gt;=$E47,P$4&lt;=$F47),1,"")</f>
        <v/>
      </c>
      <c r="Q47" s="12">
        <f>IF(AND(Q$4&gt;=$E47,Q$4&lt;=$F47),1,"")</f>
        <v/>
      </c>
      <c r="R47" s="12">
        <f>IF(AND(R$4&gt;=$E47,R$4&lt;=$F47),1,"")</f>
        <v/>
      </c>
      <c r="S47" s="12">
        <f>IF(AND(S$4&gt;=$E47,S$4&lt;=$F47),1,"")</f>
        <v/>
      </c>
      <c r="T47" s="12">
        <f>IF(AND(T$4&gt;=$E47,T$4&lt;=$F47),1,"")</f>
        <v/>
      </c>
      <c r="U47" s="12">
        <f>IF(AND(U$4&gt;=$E47,U$4&lt;=$F47),1,"")</f>
        <v/>
      </c>
      <c r="V47" s="12">
        <f>IF(AND(V$4&gt;=$E47,V$4&lt;=$F47),1,"")</f>
        <v/>
      </c>
      <c r="W47" s="12">
        <f>IF(AND(W$4&gt;=$E47,W$4&lt;=$F47),1,"")</f>
        <v/>
      </c>
      <c r="X47" s="12">
        <f>IF(AND(X$4&gt;=$E47,X$4&lt;=$F47),1,"")</f>
        <v/>
      </c>
      <c r="Y47" s="12">
        <f>IF(AND(Y$4&gt;=$E47,Y$4&lt;=$F47),1,"")</f>
        <v/>
      </c>
    </row>
    <row r="48">
      <c r="A48" s="7" t="n">
        <v>44</v>
      </c>
      <c r="B48" s="8" t="inlineStr">
        <is>
          <t>Track 7: MD Executive Cockpit</t>
        </is>
      </c>
      <c r="C48" s="9" t="inlineStr">
        <is>
          <t>MD Panoramic Executive Dashboard</t>
        </is>
      </c>
      <c r="D48" s="10" t="inlineStr">
        <is>
          <t>Cross-department executive cockpit: live enrollment, daily attendance %, fee collections vs targets, open tickets, audit score.</t>
        </is>
      </c>
      <c r="E48" s="11" t="n">
        <v>46323</v>
      </c>
      <c r="F48" s="11" t="n">
        <v>46324</v>
      </c>
      <c r="G48" s="9" t="inlineStr">
        <is>
          <t>AI executive KPI data aggregator &amp; interactive charts | Tracker: Phase 4 | Depends on Sl.No: 10, 20, 24, 40</t>
        </is>
      </c>
      <c r="H48" s="12">
        <f>IF(AND(H$4&gt;=$E48,H$4&lt;=$F48),1,"")</f>
        <v/>
      </c>
      <c r="I48" s="12">
        <f>IF(AND(I$4&gt;=$E48,I$4&lt;=$F48),1,"")</f>
        <v/>
      </c>
      <c r="J48" s="12">
        <f>IF(AND(J$4&gt;=$E48,J$4&lt;=$F48),1,"")</f>
        <v/>
      </c>
      <c r="K48" s="12">
        <f>IF(AND(K$4&gt;=$E48,K$4&lt;=$F48),1,"")</f>
        <v/>
      </c>
      <c r="L48" s="12">
        <f>IF(AND(L$4&gt;=$E48,L$4&lt;=$F48),1,"")</f>
        <v/>
      </c>
      <c r="M48" s="12">
        <f>IF(AND(M$4&gt;=$E48,M$4&lt;=$F48),1,"")</f>
        <v/>
      </c>
      <c r="N48" s="12">
        <f>IF(AND(N$4&gt;=$E48,N$4&lt;=$F48),1,"")</f>
        <v/>
      </c>
      <c r="O48" s="12">
        <f>IF(AND(O$4&gt;=$E48,O$4&lt;=$F48),1,"")</f>
        <v/>
      </c>
      <c r="P48" s="12">
        <f>IF(AND(P$4&gt;=$E48,P$4&lt;=$F48),1,"")</f>
        <v/>
      </c>
      <c r="Q48" s="12">
        <f>IF(AND(Q$4&gt;=$E48,Q$4&lt;=$F48),1,"")</f>
        <v/>
      </c>
      <c r="R48" s="12">
        <f>IF(AND(R$4&gt;=$E48,R$4&lt;=$F48),1,"")</f>
        <v/>
      </c>
      <c r="S48" s="12">
        <f>IF(AND(S$4&gt;=$E48,S$4&lt;=$F48),1,"")</f>
        <v/>
      </c>
      <c r="T48" s="12">
        <f>IF(AND(T$4&gt;=$E48,T$4&lt;=$F48),1,"")</f>
        <v/>
      </c>
      <c r="U48" s="12">
        <f>IF(AND(U$4&gt;=$E48,U$4&lt;=$F48),1,"")</f>
        <v/>
      </c>
      <c r="V48" s="12">
        <f>IF(AND(V$4&gt;=$E48,V$4&lt;=$F48),1,"")</f>
        <v/>
      </c>
      <c r="W48" s="12">
        <f>IF(AND(W$4&gt;=$E48,W$4&lt;=$F48),1,"")</f>
        <v/>
      </c>
      <c r="X48" s="12">
        <f>IF(AND(X$4&gt;=$E48,X$4&lt;=$F48),1,"")</f>
        <v/>
      </c>
      <c r="Y48" s="12">
        <f>IF(AND(Y$4&gt;=$E48,Y$4&lt;=$F48),1,"")</f>
        <v/>
      </c>
    </row>
    <row r="49">
      <c r="A49" s="7" t="n">
        <v>45</v>
      </c>
      <c r="B49" s="8" t="inlineStr">
        <is>
          <t>Track 7: MD Executive Cockpit</t>
        </is>
      </c>
      <c r="C49" s="9" t="inlineStr">
        <is>
          <t>MD Unified Final Approvals Centre</t>
        </is>
      </c>
      <c r="D49" s="10" t="inlineStr">
        <is>
          <t>Centralised single approval queue for high-value purchase orders, staff loans, terminations, student TCs, and CCTV footage.</t>
        </is>
      </c>
      <c r="E49" s="11" t="n">
        <v>46323</v>
      </c>
      <c r="F49" s="11" t="n">
        <v>46324</v>
      </c>
      <c r="G49" s="9" t="inlineStr">
        <is>
          <t>AI consolidated approval widget with mobile authorization | Tracker: Phase 4 | Depends on Sl.No: 4, 31</t>
        </is>
      </c>
      <c r="H49" s="12">
        <f>IF(AND(H$4&gt;=$E49,H$4&lt;=$F49),1,"")</f>
        <v/>
      </c>
      <c r="I49" s="12">
        <f>IF(AND(I$4&gt;=$E49,I$4&lt;=$F49),1,"")</f>
        <v/>
      </c>
      <c r="J49" s="12">
        <f>IF(AND(J$4&gt;=$E49,J$4&lt;=$F49),1,"")</f>
        <v/>
      </c>
      <c r="K49" s="12">
        <f>IF(AND(K$4&gt;=$E49,K$4&lt;=$F49),1,"")</f>
        <v/>
      </c>
      <c r="L49" s="12">
        <f>IF(AND(L$4&gt;=$E49,L$4&lt;=$F49),1,"")</f>
        <v/>
      </c>
      <c r="M49" s="12">
        <f>IF(AND(M$4&gt;=$E49,M$4&lt;=$F49),1,"")</f>
        <v/>
      </c>
      <c r="N49" s="12">
        <f>IF(AND(N$4&gt;=$E49,N$4&lt;=$F49),1,"")</f>
        <v/>
      </c>
      <c r="O49" s="12">
        <f>IF(AND(O$4&gt;=$E49,O$4&lt;=$F49),1,"")</f>
        <v/>
      </c>
      <c r="P49" s="12">
        <f>IF(AND(P$4&gt;=$E49,P$4&lt;=$F49),1,"")</f>
        <v/>
      </c>
      <c r="Q49" s="12">
        <f>IF(AND(Q$4&gt;=$E49,Q$4&lt;=$F49),1,"")</f>
        <v/>
      </c>
      <c r="R49" s="12">
        <f>IF(AND(R$4&gt;=$E49,R$4&lt;=$F49),1,"")</f>
        <v/>
      </c>
      <c r="S49" s="12">
        <f>IF(AND(S$4&gt;=$E49,S$4&lt;=$F49),1,"")</f>
        <v/>
      </c>
      <c r="T49" s="12">
        <f>IF(AND(T$4&gt;=$E49,T$4&lt;=$F49),1,"")</f>
        <v/>
      </c>
      <c r="U49" s="12">
        <f>IF(AND(U$4&gt;=$E49,U$4&lt;=$F49),1,"")</f>
        <v/>
      </c>
      <c r="V49" s="12">
        <f>IF(AND(V$4&gt;=$E49,V$4&lt;=$F49),1,"")</f>
        <v/>
      </c>
      <c r="W49" s="12">
        <f>IF(AND(W$4&gt;=$E49,W$4&lt;=$F49),1,"")</f>
        <v/>
      </c>
      <c r="X49" s="12">
        <f>IF(AND(X$4&gt;=$E49,X$4&lt;=$F49),1,"")</f>
        <v/>
      </c>
      <c r="Y49" s="12">
        <f>IF(AND(Y$4&gt;=$E49,Y$4&lt;=$F49),1,"")</f>
        <v/>
      </c>
    </row>
    <row r="50">
      <c r="A50" s="7" t="n">
        <v>46</v>
      </c>
      <c r="B50" s="8" t="inlineStr">
        <is>
          <t>Track 7: MD Executive Cockpit</t>
        </is>
      </c>
      <c r="C50" s="9" t="inlineStr">
        <is>
          <t>MD Message Oversight &amp; Audit Logging</t>
        </is>
      </c>
      <c r="D50" s="10" t="inlineStr">
        <is>
          <t>Authorized executive oversight of internal user-to-user messaging with mandatory logging of viewing events in the audit trail.</t>
        </is>
      </c>
      <c r="E50" s="11" t="n">
        <v>46323</v>
      </c>
      <c r="F50" s="11" t="n">
        <v>46324</v>
      </c>
      <c r="G50" s="9" t="inlineStr">
        <is>
          <t>AI secure conversation viewer with immutable access log | Tracker: Phase 4 | Depends on Sl.No: 13, 5</t>
        </is>
      </c>
      <c r="H50" s="12">
        <f>IF(AND(H$4&gt;=$E50,H$4&lt;=$F50),1,"")</f>
        <v/>
      </c>
      <c r="I50" s="12">
        <f>IF(AND(I$4&gt;=$E50,I$4&lt;=$F50),1,"")</f>
        <v/>
      </c>
      <c r="J50" s="12">
        <f>IF(AND(J$4&gt;=$E50,J$4&lt;=$F50),1,"")</f>
        <v/>
      </c>
      <c r="K50" s="12">
        <f>IF(AND(K$4&gt;=$E50,K$4&lt;=$F50),1,"")</f>
        <v/>
      </c>
      <c r="L50" s="12">
        <f>IF(AND(L$4&gt;=$E50,L$4&lt;=$F50),1,"")</f>
        <v/>
      </c>
      <c r="M50" s="12">
        <f>IF(AND(M$4&gt;=$E50,M$4&lt;=$F50),1,"")</f>
        <v/>
      </c>
      <c r="N50" s="12">
        <f>IF(AND(N$4&gt;=$E50,N$4&lt;=$F50),1,"")</f>
        <v/>
      </c>
      <c r="O50" s="12">
        <f>IF(AND(O$4&gt;=$E50,O$4&lt;=$F50),1,"")</f>
        <v/>
      </c>
      <c r="P50" s="12">
        <f>IF(AND(P$4&gt;=$E50,P$4&lt;=$F50),1,"")</f>
        <v/>
      </c>
      <c r="Q50" s="12">
        <f>IF(AND(Q$4&gt;=$E50,Q$4&lt;=$F50),1,"")</f>
        <v/>
      </c>
      <c r="R50" s="12">
        <f>IF(AND(R$4&gt;=$E50,R$4&lt;=$F50),1,"")</f>
        <v/>
      </c>
      <c r="S50" s="12">
        <f>IF(AND(S$4&gt;=$E50,S$4&lt;=$F50),1,"")</f>
        <v/>
      </c>
      <c r="T50" s="12">
        <f>IF(AND(T$4&gt;=$E50,T$4&lt;=$F50),1,"")</f>
        <v/>
      </c>
      <c r="U50" s="12">
        <f>IF(AND(U$4&gt;=$E50,U$4&lt;=$F50),1,"")</f>
        <v/>
      </c>
      <c r="V50" s="12">
        <f>IF(AND(V$4&gt;=$E50,V$4&lt;=$F50),1,"")</f>
        <v/>
      </c>
      <c r="W50" s="12">
        <f>IF(AND(W$4&gt;=$E50,W$4&lt;=$F50),1,"")</f>
        <v/>
      </c>
      <c r="X50" s="12">
        <f>IF(AND(X$4&gt;=$E50,X$4&lt;=$F50),1,"")</f>
        <v/>
      </c>
      <c r="Y50" s="12">
        <f>IF(AND(Y$4&gt;=$E50,Y$4&lt;=$F50),1,"")</f>
        <v/>
      </c>
    </row>
    <row r="51">
      <c r="A51" s="7" t="n">
        <v>47</v>
      </c>
      <c r="B51" s="8" t="inlineStr">
        <is>
          <t>Track 7: MD Executive Cockpit</t>
        </is>
      </c>
      <c r="C51" s="9" t="inlineStr">
        <is>
          <t>8:00 AM Automated Executive Daily Digest</t>
        </is>
      </c>
      <c r="D51" s="10" t="inlineStr">
        <is>
          <t>Automated daily morning summary email and push notification delivering critical institutional vitals to MD at 8:00 AM.</t>
        </is>
      </c>
      <c r="E51" s="11" t="n">
        <v>46323</v>
      </c>
      <c r="F51" s="11" t="n">
        <v>46324</v>
      </c>
      <c r="G51" s="9" t="inlineStr">
        <is>
          <t>AI scheduled cron report generator &amp; HTML email digest | Tracker: Phase 4 | Depends on Sl.No: 44</t>
        </is>
      </c>
      <c r="H51" s="12">
        <f>IF(AND(H$4&gt;=$E51,H$4&lt;=$F51),1,"")</f>
        <v/>
      </c>
      <c r="I51" s="12">
        <f>IF(AND(I$4&gt;=$E51,I$4&lt;=$F51),1,"")</f>
        <v/>
      </c>
      <c r="J51" s="12">
        <f>IF(AND(J$4&gt;=$E51,J$4&lt;=$F51),1,"")</f>
        <v/>
      </c>
      <c r="K51" s="12">
        <f>IF(AND(K$4&gt;=$E51,K$4&lt;=$F51),1,"")</f>
        <v/>
      </c>
      <c r="L51" s="12">
        <f>IF(AND(L$4&gt;=$E51,L$4&lt;=$F51),1,"")</f>
        <v/>
      </c>
      <c r="M51" s="12">
        <f>IF(AND(M$4&gt;=$E51,M$4&lt;=$F51),1,"")</f>
        <v/>
      </c>
      <c r="N51" s="12">
        <f>IF(AND(N$4&gt;=$E51,N$4&lt;=$F51),1,"")</f>
        <v/>
      </c>
      <c r="O51" s="12">
        <f>IF(AND(O$4&gt;=$E51,O$4&lt;=$F51),1,"")</f>
        <v/>
      </c>
      <c r="P51" s="12">
        <f>IF(AND(P$4&gt;=$E51,P$4&lt;=$F51),1,"")</f>
        <v/>
      </c>
      <c r="Q51" s="12">
        <f>IF(AND(Q$4&gt;=$E51,Q$4&lt;=$F51),1,"")</f>
        <v/>
      </c>
      <c r="R51" s="12">
        <f>IF(AND(R$4&gt;=$E51,R$4&lt;=$F51),1,"")</f>
        <v/>
      </c>
      <c r="S51" s="12">
        <f>IF(AND(S$4&gt;=$E51,S$4&lt;=$F51),1,"")</f>
        <v/>
      </c>
      <c r="T51" s="12">
        <f>IF(AND(T$4&gt;=$E51,T$4&lt;=$F51),1,"")</f>
        <v/>
      </c>
      <c r="U51" s="12">
        <f>IF(AND(U$4&gt;=$E51,U$4&lt;=$F51),1,"")</f>
        <v/>
      </c>
      <c r="V51" s="12">
        <f>IF(AND(V$4&gt;=$E51,V$4&lt;=$F51),1,"")</f>
        <v/>
      </c>
      <c r="W51" s="12">
        <f>IF(AND(W$4&gt;=$E51,W$4&lt;=$F51),1,"")</f>
        <v/>
      </c>
      <c r="X51" s="12">
        <f>IF(AND(X$4&gt;=$E51,X$4&lt;=$F51),1,"")</f>
        <v/>
      </c>
      <c r="Y51" s="12">
        <f>IF(AND(Y$4&gt;=$E51,Y$4&lt;=$F51),1,"")</f>
        <v/>
      </c>
    </row>
    <row r="52">
      <c r="A52" s="13" t="n">
        <v>48</v>
      </c>
      <c r="B52" s="14" t="inlineStr">
        <is>
          <t>Track 8: Polish, Migration &amp; Go-Live</t>
        </is>
      </c>
      <c r="C52" s="15" t="inlineStr">
        <is>
          <t>Star of the Month (SOM) &amp; Gamification</t>
        </is>
      </c>
      <c r="D52" s="16" t="inlineStr">
        <is>
          <t>Holistic rubric scoring (academics, behaviour, values) based on Grade 2A/2B and KG SOM models; peer star rating system.</t>
        </is>
      </c>
      <c r="E52" s="17" t="n">
        <v>46323</v>
      </c>
      <c r="F52" s="17" t="n">
        <v>46324</v>
      </c>
      <c r="G52" s="15" t="inlineStr">
        <is>
          <t>AI SOM scoring algorithm from SOM Excel sheets | Tracker: Phase 5 | Depends on Sl.No: 10</t>
        </is>
      </c>
      <c r="H52" s="12">
        <f>IF(AND(H$4&gt;=$E52,H$4&lt;=$F52),1,"")</f>
        <v/>
      </c>
      <c r="I52" s="12">
        <f>IF(AND(I$4&gt;=$E52,I$4&lt;=$F52),1,"")</f>
        <v/>
      </c>
      <c r="J52" s="12">
        <f>IF(AND(J$4&gt;=$E52,J$4&lt;=$F52),1,"")</f>
        <v/>
      </c>
      <c r="K52" s="12">
        <f>IF(AND(K$4&gt;=$E52,K$4&lt;=$F52),1,"")</f>
        <v/>
      </c>
      <c r="L52" s="12">
        <f>IF(AND(L$4&gt;=$E52,L$4&lt;=$F52),1,"")</f>
        <v/>
      </c>
      <c r="M52" s="12">
        <f>IF(AND(M$4&gt;=$E52,M$4&lt;=$F52),1,"")</f>
        <v/>
      </c>
      <c r="N52" s="12">
        <f>IF(AND(N$4&gt;=$E52,N$4&lt;=$F52),1,"")</f>
        <v/>
      </c>
      <c r="O52" s="12">
        <f>IF(AND(O$4&gt;=$E52,O$4&lt;=$F52),1,"")</f>
        <v/>
      </c>
      <c r="P52" s="12">
        <f>IF(AND(P$4&gt;=$E52,P$4&lt;=$F52),1,"")</f>
        <v/>
      </c>
      <c r="Q52" s="12">
        <f>IF(AND(Q$4&gt;=$E52,Q$4&lt;=$F52),1,"")</f>
        <v/>
      </c>
      <c r="R52" s="12">
        <f>IF(AND(R$4&gt;=$E52,R$4&lt;=$F52),1,"")</f>
        <v/>
      </c>
      <c r="S52" s="12">
        <f>IF(AND(S$4&gt;=$E52,S$4&lt;=$F52),1,"")</f>
        <v/>
      </c>
      <c r="T52" s="12">
        <f>IF(AND(T$4&gt;=$E52,T$4&lt;=$F52),1,"")</f>
        <v/>
      </c>
      <c r="U52" s="12">
        <f>IF(AND(U$4&gt;=$E52,U$4&lt;=$F52),1,"")</f>
        <v/>
      </c>
      <c r="V52" s="12">
        <f>IF(AND(V$4&gt;=$E52,V$4&lt;=$F52),1,"")</f>
        <v/>
      </c>
      <c r="W52" s="12">
        <f>IF(AND(W$4&gt;=$E52,W$4&lt;=$F52),1,"")</f>
        <v/>
      </c>
      <c r="X52" s="12">
        <f>IF(AND(X$4&gt;=$E52,X$4&lt;=$F52),1,"")</f>
        <v/>
      </c>
      <c r="Y52" s="12">
        <f>IF(AND(Y$4&gt;=$E52,Y$4&lt;=$F52),1,"")</f>
        <v/>
      </c>
    </row>
    <row r="53">
      <c r="A53" s="13" t="n">
        <v>49</v>
      </c>
      <c r="B53" s="14" t="inlineStr">
        <is>
          <t>Track 8: Polish, Migration &amp; Go-Live</t>
        </is>
      </c>
      <c r="C53" s="15" t="inlineStr">
        <is>
          <t>Legacy Excel Data Migration &amp; Ingestion</t>
        </is>
      </c>
      <c r="D53" s="16" t="inlineStr">
        <is>
          <t>Automated ETL pipelines importing historical student records, staff rosters, attendance logs, and fee balances from legacy files.</t>
        </is>
      </c>
      <c r="E53" s="17" t="n">
        <v>46323</v>
      </c>
      <c r="F53" s="17" t="n">
        <v>46324</v>
      </c>
      <c r="G53" s="15" t="inlineStr">
        <is>
          <t>AI data transformation scripts parsing legacy spreadsheets | Tracker: Phase 5 | Depends on Sl.No: 1, 16</t>
        </is>
      </c>
      <c r="H53" s="12">
        <f>IF(AND(H$4&gt;=$E53,H$4&lt;=$F53),1,"")</f>
        <v/>
      </c>
      <c r="I53" s="12">
        <f>IF(AND(I$4&gt;=$E53,I$4&lt;=$F53),1,"")</f>
        <v/>
      </c>
      <c r="J53" s="12">
        <f>IF(AND(J$4&gt;=$E53,J$4&lt;=$F53),1,"")</f>
        <v/>
      </c>
      <c r="K53" s="12">
        <f>IF(AND(K$4&gt;=$E53,K$4&lt;=$F53),1,"")</f>
        <v/>
      </c>
      <c r="L53" s="12">
        <f>IF(AND(L$4&gt;=$E53,L$4&lt;=$F53),1,"")</f>
        <v/>
      </c>
      <c r="M53" s="12">
        <f>IF(AND(M$4&gt;=$E53,M$4&lt;=$F53),1,"")</f>
        <v/>
      </c>
      <c r="N53" s="12">
        <f>IF(AND(N$4&gt;=$E53,N$4&lt;=$F53),1,"")</f>
        <v/>
      </c>
      <c r="O53" s="12">
        <f>IF(AND(O$4&gt;=$E53,O$4&lt;=$F53),1,"")</f>
        <v/>
      </c>
      <c r="P53" s="12">
        <f>IF(AND(P$4&gt;=$E53,P$4&lt;=$F53),1,"")</f>
        <v/>
      </c>
      <c r="Q53" s="12">
        <f>IF(AND(Q$4&gt;=$E53,Q$4&lt;=$F53),1,"")</f>
        <v/>
      </c>
      <c r="R53" s="12">
        <f>IF(AND(R$4&gt;=$E53,R$4&lt;=$F53),1,"")</f>
        <v/>
      </c>
      <c r="S53" s="12">
        <f>IF(AND(S$4&gt;=$E53,S$4&lt;=$F53),1,"")</f>
        <v/>
      </c>
      <c r="T53" s="12">
        <f>IF(AND(T$4&gt;=$E53,T$4&lt;=$F53),1,"")</f>
        <v/>
      </c>
      <c r="U53" s="12">
        <f>IF(AND(U$4&gt;=$E53,U$4&lt;=$F53),1,"")</f>
        <v/>
      </c>
      <c r="V53" s="12">
        <f>IF(AND(V$4&gt;=$E53,V$4&lt;=$F53),1,"")</f>
        <v/>
      </c>
      <c r="W53" s="12">
        <f>IF(AND(W$4&gt;=$E53,W$4&lt;=$F53),1,"")</f>
        <v/>
      </c>
      <c r="X53" s="12">
        <f>IF(AND(X$4&gt;=$E53,X$4&lt;=$F53),1,"")</f>
        <v/>
      </c>
      <c r="Y53" s="12">
        <f>IF(AND(Y$4&gt;=$E53,Y$4&lt;=$F53),1,"")</f>
        <v/>
      </c>
    </row>
    <row r="54">
      <c r="A54" s="13" t="n">
        <v>50</v>
      </c>
      <c r="B54" s="14" t="inlineStr">
        <is>
          <t>Track 8: Polish, Migration &amp; Go-Live</t>
        </is>
      </c>
      <c r="C54" s="15" t="inlineStr">
        <is>
          <t>End-to-End Automated Testing &amp; Security Audit</t>
        </is>
      </c>
      <c r="D54" s="16" t="inlineStr">
        <is>
          <t>Automated regression suites covering role permissions, financial approvals, biometric syncs, and 24-hr escalation triggers.</t>
        </is>
      </c>
      <c r="E54" s="17" t="n">
        <v>46324</v>
      </c>
      <c r="F54" s="17" t="n">
        <v>46325</v>
      </c>
      <c r="G54" s="15" t="inlineStr">
        <is>
          <t>AI Playwright/Jest test generation &amp; OWASP security scan | Tracker: Phase 5 | Depends on Sl.No: 44, 49</t>
        </is>
      </c>
      <c r="H54" s="12">
        <f>IF(AND(H$4&gt;=$E54,H$4&lt;=$F54),1,"")</f>
        <v/>
      </c>
      <c r="I54" s="12">
        <f>IF(AND(I$4&gt;=$E54,I$4&lt;=$F54),1,"")</f>
        <v/>
      </c>
      <c r="J54" s="12">
        <f>IF(AND(J$4&gt;=$E54,J$4&lt;=$F54),1,"")</f>
        <v/>
      </c>
      <c r="K54" s="12">
        <f>IF(AND(K$4&gt;=$E54,K$4&lt;=$F54),1,"")</f>
        <v/>
      </c>
      <c r="L54" s="12">
        <f>IF(AND(L$4&gt;=$E54,L$4&lt;=$F54),1,"")</f>
        <v/>
      </c>
      <c r="M54" s="12">
        <f>IF(AND(M$4&gt;=$E54,M$4&lt;=$F54),1,"")</f>
        <v/>
      </c>
      <c r="N54" s="12">
        <f>IF(AND(N$4&gt;=$E54,N$4&lt;=$F54),1,"")</f>
        <v/>
      </c>
      <c r="O54" s="12">
        <f>IF(AND(O$4&gt;=$E54,O$4&lt;=$F54),1,"")</f>
        <v/>
      </c>
      <c r="P54" s="12">
        <f>IF(AND(P$4&gt;=$E54,P$4&lt;=$F54),1,"")</f>
        <v/>
      </c>
      <c r="Q54" s="12">
        <f>IF(AND(Q$4&gt;=$E54,Q$4&lt;=$F54),1,"")</f>
        <v/>
      </c>
      <c r="R54" s="12">
        <f>IF(AND(R$4&gt;=$E54,R$4&lt;=$F54),1,"")</f>
        <v/>
      </c>
      <c r="S54" s="12">
        <f>IF(AND(S$4&gt;=$E54,S$4&lt;=$F54),1,"")</f>
        <v/>
      </c>
      <c r="T54" s="12">
        <f>IF(AND(T$4&gt;=$E54,T$4&lt;=$F54),1,"")</f>
        <v/>
      </c>
      <c r="U54" s="12">
        <f>IF(AND(U$4&gt;=$E54,U$4&lt;=$F54),1,"")</f>
        <v/>
      </c>
      <c r="V54" s="12">
        <f>IF(AND(V$4&gt;=$E54,V$4&lt;=$F54),1,"")</f>
        <v/>
      </c>
      <c r="W54" s="12">
        <f>IF(AND(W$4&gt;=$E54,W$4&lt;=$F54),1,"")</f>
        <v/>
      </c>
      <c r="X54" s="12">
        <f>IF(AND(X$4&gt;=$E54,X$4&lt;=$F54),1,"")</f>
        <v/>
      </c>
      <c r="Y54" s="12">
        <f>IF(AND(Y$4&gt;=$E54,Y$4&lt;=$F54),1,"")</f>
        <v/>
      </c>
    </row>
    <row r="55">
      <c r="A55" s="13" t="n">
        <v>51</v>
      </c>
      <c r="B55" s="14" t="inlineStr">
        <is>
          <t>Track 8: Polish, Migration &amp; Go-Live</t>
        </is>
      </c>
      <c r="C55" s="15" t="inlineStr">
        <is>
          <t>Staging UAT &amp; Key Stakeholder Pilot Demo</t>
        </is>
      </c>
      <c r="D55" s="16" t="inlineStr">
        <is>
          <t>Deployment to staging environment; walkthroughs with Director of Academics, Joint Director, HR, Finance Head, and JD Audit.</t>
        </is>
      </c>
      <c r="E55" s="17" t="n">
        <v>46324</v>
      </c>
      <c r="F55" s="17" t="n">
        <v>46325</v>
      </c>
      <c r="G55" s="15" t="inlineStr">
        <is>
          <t>Live stakeholder validation across pilot classes | Tracker: Phase 5 | Depends on Sl.No: 50</t>
        </is>
      </c>
      <c r="H55" s="12">
        <f>IF(AND(H$4&gt;=$E55,H$4&lt;=$F55),1,"")</f>
        <v/>
      </c>
      <c r="I55" s="12">
        <f>IF(AND(I$4&gt;=$E55,I$4&lt;=$F55),1,"")</f>
        <v/>
      </c>
      <c r="J55" s="12">
        <f>IF(AND(J$4&gt;=$E55,J$4&lt;=$F55),1,"")</f>
        <v/>
      </c>
      <c r="K55" s="12">
        <f>IF(AND(K$4&gt;=$E55,K$4&lt;=$F55),1,"")</f>
        <v/>
      </c>
      <c r="L55" s="12">
        <f>IF(AND(L$4&gt;=$E55,L$4&lt;=$F55),1,"")</f>
        <v/>
      </c>
      <c r="M55" s="12">
        <f>IF(AND(M$4&gt;=$E55,M$4&lt;=$F55),1,"")</f>
        <v/>
      </c>
      <c r="N55" s="12">
        <f>IF(AND(N$4&gt;=$E55,N$4&lt;=$F55),1,"")</f>
        <v/>
      </c>
      <c r="O55" s="12">
        <f>IF(AND(O$4&gt;=$E55,O$4&lt;=$F55),1,"")</f>
        <v/>
      </c>
      <c r="P55" s="12">
        <f>IF(AND(P$4&gt;=$E55,P$4&lt;=$F55),1,"")</f>
        <v/>
      </c>
      <c r="Q55" s="12">
        <f>IF(AND(Q$4&gt;=$E55,Q$4&lt;=$F55),1,"")</f>
        <v/>
      </c>
      <c r="R55" s="12">
        <f>IF(AND(R$4&gt;=$E55,R$4&lt;=$F55),1,"")</f>
        <v/>
      </c>
      <c r="S55" s="12">
        <f>IF(AND(S$4&gt;=$E55,S$4&lt;=$F55),1,"")</f>
        <v/>
      </c>
      <c r="T55" s="12">
        <f>IF(AND(T$4&gt;=$E55,T$4&lt;=$F55),1,"")</f>
        <v/>
      </c>
      <c r="U55" s="12">
        <f>IF(AND(U$4&gt;=$E55,U$4&lt;=$F55),1,"")</f>
        <v/>
      </c>
      <c r="V55" s="12">
        <f>IF(AND(V$4&gt;=$E55,V$4&lt;=$F55),1,"")</f>
        <v/>
      </c>
      <c r="W55" s="12">
        <f>IF(AND(W$4&gt;=$E55,W$4&lt;=$F55),1,"")</f>
        <v/>
      </c>
      <c r="X55" s="12">
        <f>IF(AND(X$4&gt;=$E55,X$4&lt;=$F55),1,"")</f>
        <v/>
      </c>
      <c r="Y55" s="12">
        <f>IF(AND(Y$4&gt;=$E55,Y$4&lt;=$F55),1,"")</f>
        <v/>
      </c>
    </row>
    <row r="56">
      <c r="A56" s="13" t="n">
        <v>52</v>
      </c>
      <c r="B56" s="14" t="inlineStr">
        <is>
          <t>Track 8: Polish, Migration &amp; Go-Live</t>
        </is>
      </c>
      <c r="C56" s="15" t="inlineStr">
        <is>
          <t>Production Deployment &amp; Disaster Recovery Test</t>
        </is>
      </c>
      <c r="D56" s="16" t="inlineStr">
        <is>
          <t>Production infrastructure provisioning, SSL/domain setup, automated backup test restore, and database indexing.</t>
        </is>
      </c>
      <c r="E56" s="17" t="n">
        <v>46325</v>
      </c>
      <c r="F56" s="17" t="n">
        <v>46325</v>
      </c>
      <c r="G56" s="15" t="inlineStr">
        <is>
          <t>Automated Terraform/Docker deployment &amp; backup drill | Tracker: Phase 5 | Depends on Sl.No: 51</t>
        </is>
      </c>
      <c r="H56" s="12">
        <f>IF(AND(H$4&gt;=$E56,H$4&lt;=$F56),1,"")</f>
        <v/>
      </c>
      <c r="I56" s="12">
        <f>IF(AND(I$4&gt;=$E56,I$4&lt;=$F56),1,"")</f>
        <v/>
      </c>
      <c r="J56" s="12">
        <f>IF(AND(J$4&gt;=$E56,J$4&lt;=$F56),1,"")</f>
        <v/>
      </c>
      <c r="K56" s="12">
        <f>IF(AND(K$4&gt;=$E56,K$4&lt;=$F56),1,"")</f>
        <v/>
      </c>
      <c r="L56" s="12">
        <f>IF(AND(L$4&gt;=$E56,L$4&lt;=$F56),1,"")</f>
        <v/>
      </c>
      <c r="M56" s="12">
        <f>IF(AND(M$4&gt;=$E56,M$4&lt;=$F56),1,"")</f>
        <v/>
      </c>
      <c r="N56" s="12">
        <f>IF(AND(N$4&gt;=$E56,N$4&lt;=$F56),1,"")</f>
        <v/>
      </c>
      <c r="O56" s="12">
        <f>IF(AND(O$4&gt;=$E56,O$4&lt;=$F56),1,"")</f>
        <v/>
      </c>
      <c r="P56" s="12">
        <f>IF(AND(P$4&gt;=$E56,P$4&lt;=$F56),1,"")</f>
        <v/>
      </c>
      <c r="Q56" s="12">
        <f>IF(AND(Q$4&gt;=$E56,Q$4&lt;=$F56),1,"")</f>
        <v/>
      </c>
      <c r="R56" s="12">
        <f>IF(AND(R$4&gt;=$E56,R$4&lt;=$F56),1,"")</f>
        <v/>
      </c>
      <c r="S56" s="12">
        <f>IF(AND(S$4&gt;=$E56,S$4&lt;=$F56),1,"")</f>
        <v/>
      </c>
      <c r="T56" s="12">
        <f>IF(AND(T$4&gt;=$E56,T$4&lt;=$F56),1,"")</f>
        <v/>
      </c>
      <c r="U56" s="12">
        <f>IF(AND(U$4&gt;=$E56,U$4&lt;=$F56),1,"")</f>
        <v/>
      </c>
      <c r="V56" s="12">
        <f>IF(AND(V$4&gt;=$E56,V$4&lt;=$F56),1,"")</f>
        <v/>
      </c>
      <c r="W56" s="12">
        <f>IF(AND(W$4&gt;=$E56,W$4&lt;=$F56),1,"")</f>
        <v/>
      </c>
      <c r="X56" s="12">
        <f>IF(AND(X$4&gt;=$E56,X$4&lt;=$F56),1,"")</f>
        <v/>
      </c>
      <c r="Y56" s="12">
        <f>IF(AND(Y$4&gt;=$E56,Y$4&lt;=$F56),1,"")</f>
        <v/>
      </c>
    </row>
    <row r="57">
      <c r="A57" s="13" t="n">
        <v>53</v>
      </c>
      <c r="B57" s="14" t="inlineStr">
        <is>
          <t>Track 8: Polish, Migration &amp; Go-Live</t>
        </is>
      </c>
      <c r="C57" s="15" t="inlineStr">
        <is>
          <t>Production Go-Live &amp; Official Cutover</t>
        </is>
      </c>
      <c r="D57" s="16" t="inlineStr">
        <is>
          <t>Live cutover from legacy Google Sheets / Edumerge; official operational handover to Queen Mira International School.</t>
        </is>
      </c>
      <c r="E57" s="17" t="n">
        <v>46325</v>
      </c>
      <c r="F57" s="17" t="n">
        <v>46325</v>
      </c>
      <c r="G57" s="15" t="inlineStr">
        <is>
          <t>Official institutional launch &amp; live system sign-off by Month-End | Tracker: Phase 5 | Depends on Sl.No: 52</t>
        </is>
      </c>
      <c r="H57" s="12">
        <f>IF(AND(H$4&gt;=$E57,H$4&lt;=$F57),1,"")</f>
        <v/>
      </c>
      <c r="I57" s="12">
        <f>IF(AND(I$4&gt;=$E57,I$4&lt;=$F57),1,"")</f>
        <v/>
      </c>
      <c r="J57" s="12">
        <f>IF(AND(J$4&gt;=$E57,J$4&lt;=$F57),1,"")</f>
        <v/>
      </c>
      <c r="K57" s="12">
        <f>IF(AND(K$4&gt;=$E57,K$4&lt;=$F57),1,"")</f>
        <v/>
      </c>
      <c r="L57" s="12">
        <f>IF(AND(L$4&gt;=$E57,L$4&lt;=$F57),1,"")</f>
        <v/>
      </c>
      <c r="M57" s="12">
        <f>IF(AND(M$4&gt;=$E57,M$4&lt;=$F57),1,"")</f>
        <v/>
      </c>
      <c r="N57" s="12">
        <f>IF(AND(N$4&gt;=$E57,N$4&lt;=$F57),1,"")</f>
        <v/>
      </c>
      <c r="O57" s="12">
        <f>IF(AND(O$4&gt;=$E57,O$4&lt;=$F57),1,"")</f>
        <v/>
      </c>
      <c r="P57" s="12">
        <f>IF(AND(P$4&gt;=$E57,P$4&lt;=$F57),1,"")</f>
        <v/>
      </c>
      <c r="Q57" s="12">
        <f>IF(AND(Q$4&gt;=$E57,Q$4&lt;=$F57),1,"")</f>
        <v/>
      </c>
      <c r="R57" s="12">
        <f>IF(AND(R$4&gt;=$E57,R$4&lt;=$F57),1,"")</f>
        <v/>
      </c>
      <c r="S57" s="12">
        <f>IF(AND(S$4&gt;=$E57,S$4&lt;=$F57),1,"")</f>
        <v/>
      </c>
      <c r="T57" s="12">
        <f>IF(AND(T$4&gt;=$E57,T$4&lt;=$F57),1,"")</f>
        <v/>
      </c>
      <c r="U57" s="12">
        <f>IF(AND(U$4&gt;=$E57,U$4&lt;=$F57),1,"")</f>
        <v/>
      </c>
      <c r="V57" s="12">
        <f>IF(AND(V$4&gt;=$E57,V$4&lt;=$F57),1,"")</f>
        <v/>
      </c>
      <c r="W57" s="12">
        <f>IF(AND(W$4&gt;=$E57,W$4&lt;=$F57),1,"")</f>
        <v/>
      </c>
      <c r="X57" s="12">
        <f>IF(AND(X$4&gt;=$E57,X$4&lt;=$F57),1,"")</f>
        <v/>
      </c>
      <c r="Y57" s="12">
        <f>IF(AND(Y$4&gt;=$E57,Y$4&lt;=$F57),1,"")</f>
        <v/>
      </c>
    </row>
    <row r="59">
      <c r="B59" s="18" t="inlineStr">
        <is>
          <t>Summary</t>
        </is>
      </c>
    </row>
    <row r="60">
      <c r="B60" s="19" t="inlineStr">
        <is>
          <t>Total sub-tasks</t>
        </is>
      </c>
      <c r="C60" s="19">
        <f>COUNTA(C5:C57)</f>
        <v/>
      </c>
    </row>
    <row r="61">
      <c r="B61" s="19" t="inlineStr">
        <is>
          <t>AI Accelerated Build</t>
        </is>
      </c>
      <c r="C61" s="19">
        <f>COUNTIF(G5:G57,"AI*")</f>
        <v/>
      </c>
    </row>
    <row r="62">
      <c r="B62" s="19" t="inlineStr">
        <is>
          <t>Track 1: Foundation &amp; Core Engines</t>
        </is>
      </c>
      <c r="C62" s="19" t="n">
        <v>5</v>
      </c>
    </row>
    <row r="63">
      <c r="B63" s="19" t="inlineStr">
        <is>
          <t>Track 2: Core Academics &amp; Attendance</t>
        </is>
      </c>
      <c r="C63" s="19" t="n">
        <v>10</v>
      </c>
    </row>
    <row r="64">
      <c r="B64" s="19" t="inlineStr">
        <is>
          <t>Track 3: HR &amp; Payroll Engine</t>
        </is>
      </c>
      <c r="C64" s="19" t="n">
        <v>7</v>
      </c>
    </row>
    <row r="65">
      <c r="B65" s="19" t="inlineStr">
        <is>
          <t>Track 4: Finance &amp; Accounting Engine</t>
        </is>
      </c>
      <c r="C65" s="19" t="n">
        <v>7</v>
      </c>
    </row>
    <row r="66">
      <c r="B66" s="19" t="inlineStr">
        <is>
          <t>Track 5: Non-Academics &amp; Operations</t>
        </is>
      </c>
      <c r="C66" s="19" t="n">
        <v>9</v>
      </c>
    </row>
    <row r="67">
      <c r="B67" s="19" t="inlineStr">
        <is>
          <t>Track 6: Audit Automation &amp; Compliance</t>
        </is>
      </c>
      <c r="C67" s="19" t="n">
        <v>5</v>
      </c>
    </row>
    <row r="68">
      <c r="B68" s="19" t="inlineStr">
        <is>
          <t>Track 7: MD Executive Cockpit</t>
        </is>
      </c>
      <c r="C68" s="19" t="n">
        <v>4</v>
      </c>
    </row>
    <row r="69">
      <c r="B69" s="19" t="inlineStr">
        <is>
          <t>Track 8: Polish, Migration &amp; Go-Live</t>
        </is>
      </c>
      <c r="C69" s="19" t="n">
        <v>6</v>
      </c>
    </row>
    <row r="70">
      <c r="B70" s="20" t="inlineStr">
        <is>
          <t>Programme start</t>
        </is>
      </c>
      <c r="C70" s="21">
        <f>MIN(E5:E57)</f>
        <v/>
      </c>
    </row>
    <row r="71">
      <c r="B71" s="20" t="inlineStr">
        <is>
          <t>Final delivery (Go-Live by Month-End)</t>
        </is>
      </c>
      <c r="C71" s="21">
        <f>MAX(F5:F57)</f>
        <v/>
      </c>
    </row>
    <row r="72">
      <c r="B72" s="20" t="inlineStr">
        <is>
          <t>Working days</t>
        </is>
      </c>
      <c r="C72" s="20">
        <f>NETWORKDAYS(C70,C71)</f>
        <v/>
      </c>
    </row>
  </sheetData>
  <conditionalFormatting sqref="H5:Y57">
    <cfRule type="expression" priority="1" dxfId="0">
      <formula>H5=1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2026-10-06T14:56:06Z</dcterms:created>
  <dcterms:modified xmlns:dcterms="http://purl.org/dc/terms/" xmlns:xsi="http://www.w3.org/2001/XMLSchema-instance" xsi:type="dcterms:W3CDTF">2026-10-06T14:56:06Z</dcterms:modified>
</cp:coreProperties>
</file>