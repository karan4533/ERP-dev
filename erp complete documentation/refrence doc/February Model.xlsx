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QMIS\payroll\Salary\2026\"/>
    </mc:Choice>
  </mc:AlternateContent>
  <xr:revisionPtr revIDLastSave="0" documentId="13_ncr:1_{7CEF7E98-AD46-4F35-8CD8-3158F5F27FB7}" xr6:coauthVersionLast="47" xr6:coauthVersionMax="47" xr10:uidLastSave="{00000000-0000-0000-0000-000000000000}"/>
  <bookViews>
    <workbookView xWindow="-110" yWindow="-110" windowWidth="19420" windowHeight="10300" tabRatio="934" activeTab="8" xr2:uid="{00000000-000D-0000-FFFF-FFFF00000000}"/>
  </bookViews>
  <sheets>
    <sheet name="Overall - Top sheet" sheetId="1" r:id="rId1"/>
    <sheet name="Academics" sheetId="2" r:id="rId2"/>
    <sheet name="Relieved Academics" sheetId="18" r:id="rId3"/>
    <sheet name="Admin" sheetId="3" r:id="rId4"/>
    <sheet name="Relieved Admin" sheetId="19" r:id="rId5"/>
    <sheet name="Drivers" sheetId="4" r:id="rId6"/>
    <sheet name="Conductors" sheetId="5" r:id="rId7"/>
    <sheet name="Securities" sheetId="6" r:id="rId8"/>
    <sheet name="House Keeping" sheetId="7" r:id="rId9"/>
    <sheet name="Hostel" sheetId="20" r:id="rId10"/>
    <sheet name="ECA - Regular" sheetId="8" r:id="rId11"/>
    <sheet name=" Part Time - Academics" sheetId="9" r:id="rId12"/>
    <sheet name="Aca +ECA = Spl" sheetId="10" r:id="rId13"/>
    <sheet name="Theni - Upparpatti" sheetId="12" r:id="rId14"/>
    <sheet name="AEP" sheetId="11" r:id="rId15"/>
    <sheet name="Rifle" sheetId="13" r:id="rId16"/>
    <sheet name="Part Time - Admin" sheetId="25" r:id="rId17"/>
  </sheets>
  <definedNames>
    <definedName name="_xlnm._FilterDatabase" localSheetId="1" hidden="1">Academics!$A$4:$AR$11</definedName>
    <definedName name="_xlnm._FilterDatabase" localSheetId="3" hidden="1">Admin!$A$4:$AS$12</definedName>
    <definedName name="_xlnm._FilterDatabase" localSheetId="14" hidden="1">AEP!$AE$3:$AF$90</definedName>
    <definedName name="_xlnm._FilterDatabase" localSheetId="6" hidden="1">Conductors!$A$4:$AT$11</definedName>
    <definedName name="_xlnm._FilterDatabase" localSheetId="5" hidden="1">Drivers!$A$4:$AU$10</definedName>
    <definedName name="_xlnm._FilterDatabase" localSheetId="8" hidden="1">'House Keeping'!$A$4:$AS$10</definedName>
    <definedName name="_xlnm._FilterDatabase" localSheetId="2" hidden="1">'Relieved Academics'!$AG$4:$AH$20</definedName>
    <definedName name="_xlnm._FilterDatabase" localSheetId="4" hidden="1">'Relieved Admin'!$AG$4:$AH$27</definedName>
    <definedName name="_xlnm._FilterDatabase" localSheetId="7" hidden="1">Securities!$AB$4:$AI$8</definedName>
    <definedName name="_xlnm._FilterDatabase" localSheetId="13" hidden="1">'Theni - Upparpatti'!$AG$4:$AH$25</definedName>
    <definedName name="_xlnm.Print_Area" localSheetId="11">' Part Time - Academics'!$A$1:$P$10</definedName>
    <definedName name="_xlnm.Print_Area" localSheetId="12">'Aca +ECA = Spl'!$A$1:$K$10</definedName>
    <definedName name="_xlnm.Print_Area" localSheetId="1">Academics!$A$1:$AM$11</definedName>
    <definedName name="_xlnm.Print_Area" localSheetId="3">Admin!$A$1:$AM$12</definedName>
    <definedName name="_xlnm.Print_Area" localSheetId="14">AEP!$A$1:$J$11</definedName>
    <definedName name="_xlnm.Print_Area" localSheetId="6">Conductors!$A$1:$AM$11</definedName>
    <definedName name="_xlnm.Print_Area" localSheetId="5">Drivers!$A$1:$AM$10</definedName>
    <definedName name="_xlnm.Print_Area" localSheetId="10">'ECA - Regular'!$A$1:$N$10</definedName>
    <definedName name="_xlnm.Print_Area" localSheetId="8">'House Keeping'!$A$1:$AM$10</definedName>
    <definedName name="_xlnm.Print_Area" localSheetId="0">'Overall - Top sheet'!$A$1:$O$23</definedName>
    <definedName name="_xlnm.Print_Area" localSheetId="2">'Relieved Academics'!$A$1:$AM$8</definedName>
    <definedName name="_xlnm.Print_Area" localSheetId="7">Securities!$A$1:$AM$9</definedName>
    <definedName name="_xlnm.Print_Area" localSheetId="13">'Theni - Upparpatti'!$A$1:$AM$10</definedName>
    <definedName name="_xlnm.Print_Titles" localSheetId="11">' Part Time - Academics'!$1:$3</definedName>
    <definedName name="_xlnm.Print_Titles" localSheetId="12">'Aca +ECA = Spl'!$1:$3</definedName>
    <definedName name="_xlnm.Print_Titles" localSheetId="1">Academics!$1:$4</definedName>
    <definedName name="_xlnm.Print_Titles" localSheetId="3">Admin!$1:$4</definedName>
    <definedName name="_xlnm.Print_Titles" localSheetId="14">AEP!$1:$3</definedName>
    <definedName name="_xlnm.Print_Titles" localSheetId="6">Conductors!$1:$4</definedName>
    <definedName name="_xlnm.Print_Titles" localSheetId="5">Drivers!$1:$4</definedName>
    <definedName name="_xlnm.Print_Titles" localSheetId="10">'ECA - Regular'!$1:$4</definedName>
    <definedName name="_xlnm.Print_Titles" localSheetId="8">'House Keeping'!$1:$4</definedName>
    <definedName name="_xlnm.Print_Titles" localSheetId="16">'Part Time - Admin'!#REF!</definedName>
    <definedName name="_xlnm.Print_Titles" localSheetId="2">'Relieved Academics'!$1:$4</definedName>
    <definedName name="_xlnm.Print_Titles" localSheetId="4">'Relieved Admin'!$1:$4</definedName>
    <definedName name="_xlnm.Print_Titles" localSheetId="15">Rifle!$1:$3</definedName>
    <definedName name="_xlnm.Print_Titles" localSheetId="7">Securities!$1:$4</definedName>
    <definedName name="_xlnm.Print_Titles" localSheetId="13">'Theni - Upparpatti'!$1:$4</definedName>
  </definedNames>
  <calcPr calcId="191029"/>
</workbook>
</file>

<file path=xl/calcChain.xml><?xml version="1.0" encoding="utf-8"?>
<calcChain xmlns="http://schemas.openxmlformats.org/spreadsheetml/2006/main">
  <c r="E11" i="1" l="1"/>
  <c r="E13" i="1"/>
  <c r="E15" i="1"/>
  <c r="E16" i="1"/>
  <c r="E17" i="1"/>
  <c r="E18" i="1"/>
  <c r="K5" i="8"/>
  <c r="D7" i="9"/>
  <c r="AJ13" i="19"/>
  <c r="AI7" i="19"/>
  <c r="E6" i="25" l="1"/>
  <c r="F6" i="25"/>
  <c r="G6" i="25"/>
  <c r="H6" i="25"/>
  <c r="I6" i="25"/>
  <c r="J6" i="25"/>
  <c r="K6" i="25"/>
  <c r="L6" i="25"/>
  <c r="M6" i="25"/>
  <c r="N6" i="25"/>
  <c r="I5" i="11"/>
  <c r="I6" i="11"/>
  <c r="I7" i="11"/>
  <c r="I8" i="11"/>
  <c r="I9" i="11"/>
  <c r="AJ6" i="12"/>
  <c r="AJ7" i="12"/>
  <c r="AJ8" i="12"/>
  <c r="AI6" i="12"/>
  <c r="AI7" i="12"/>
  <c r="AI8" i="12"/>
  <c r="AB6" i="12"/>
  <c r="AB7" i="12"/>
  <c r="AB8" i="12"/>
  <c r="AA6" i="12"/>
  <c r="AA7" i="12"/>
  <c r="AA8" i="12"/>
  <c r="Z6" i="12"/>
  <c r="Z7" i="12"/>
  <c r="Z8" i="12"/>
  <c r="E9" i="10"/>
  <c r="G9" i="10"/>
  <c r="H9" i="10"/>
  <c r="N5" i="9"/>
  <c r="O5" i="9" s="1"/>
  <c r="N6" i="9"/>
  <c r="O6" i="9" s="1"/>
  <c r="N7" i="9"/>
  <c r="O7" i="9" s="1"/>
  <c r="N8" i="9"/>
  <c r="O8" i="9"/>
  <c r="E9" i="9"/>
  <c r="F9" i="9"/>
  <c r="G9" i="9"/>
  <c r="H9" i="9"/>
  <c r="I9" i="9"/>
  <c r="J9" i="9"/>
  <c r="K9" i="9"/>
  <c r="L9" i="9"/>
  <c r="M9" i="9"/>
  <c r="N9" i="9"/>
  <c r="AJ6" i="20"/>
  <c r="AJ7" i="20"/>
  <c r="AI6" i="20"/>
  <c r="AI7" i="20"/>
  <c r="AE6" i="20"/>
  <c r="AE7" i="20"/>
  <c r="AB6" i="20"/>
  <c r="AB7" i="20"/>
  <c r="AA6" i="20"/>
  <c r="AA7" i="20"/>
  <c r="Z7" i="20"/>
  <c r="Z6" i="20"/>
  <c r="Z5" i="20"/>
  <c r="AE6" i="7"/>
  <c r="AE7" i="7"/>
  <c r="AE8" i="7"/>
  <c r="Z6" i="7"/>
  <c r="Z7" i="7"/>
  <c r="Z8" i="7"/>
  <c r="T9" i="7" l="1"/>
  <c r="V9" i="7"/>
  <c r="X9" i="7"/>
  <c r="AC9" i="7"/>
  <c r="AF9" i="7"/>
  <c r="R9" i="7"/>
  <c r="AE6" i="6"/>
  <c r="AE7" i="6"/>
  <c r="T8" i="6"/>
  <c r="V8" i="6"/>
  <c r="X8" i="6"/>
  <c r="AC8" i="6"/>
  <c r="AF8" i="6"/>
  <c r="AG8" i="6"/>
  <c r="AH8" i="6"/>
  <c r="AK8" i="6"/>
  <c r="AL8" i="6"/>
  <c r="S10" i="5"/>
  <c r="T10" i="5"/>
  <c r="V10" i="5"/>
  <c r="X10" i="5"/>
  <c r="AC10" i="5"/>
  <c r="AF10" i="5"/>
  <c r="AE6" i="5" l="1"/>
  <c r="AE7" i="5"/>
  <c r="AE8" i="5"/>
  <c r="AE9" i="5"/>
  <c r="R10" i="5"/>
  <c r="AE6" i="4" l="1"/>
  <c r="AE7" i="4"/>
  <c r="AE8" i="4"/>
  <c r="S9" i="4"/>
  <c r="T9" i="4"/>
  <c r="V9" i="4"/>
  <c r="X9" i="4"/>
  <c r="AC9" i="4"/>
  <c r="AF9" i="4"/>
  <c r="R9" i="4"/>
  <c r="AJ6" i="19"/>
  <c r="AJ7" i="19"/>
  <c r="AI6" i="19"/>
  <c r="AI8" i="19"/>
  <c r="AI9" i="19"/>
  <c r="AI10" i="19"/>
  <c r="AI11" i="19"/>
  <c r="AB6" i="19"/>
  <c r="AB7" i="19"/>
  <c r="Y7" i="19" s="1"/>
  <c r="AB8" i="19"/>
  <c r="AB9" i="19"/>
  <c r="AB10" i="19"/>
  <c r="AB11" i="19"/>
  <c r="Y11" i="19" s="1"/>
  <c r="AA6" i="19"/>
  <c r="AA7" i="19"/>
  <c r="AA8" i="19"/>
  <c r="AA9" i="19"/>
  <c r="AA10" i="19"/>
  <c r="AA11" i="19"/>
  <c r="Z5" i="19"/>
  <c r="Y6" i="19"/>
  <c r="Y8" i="19"/>
  <c r="Y9" i="19"/>
  <c r="Y10" i="19"/>
  <c r="W6" i="19"/>
  <c r="W12" i="19"/>
  <c r="W7" i="19"/>
  <c r="W8" i="19"/>
  <c r="W9" i="19"/>
  <c r="W10" i="19"/>
  <c r="W11" i="19"/>
  <c r="S12" i="19"/>
  <c r="T12" i="19"/>
  <c r="U12" i="19"/>
  <c r="V12" i="19"/>
  <c r="X12" i="19"/>
  <c r="AC12" i="19"/>
  <c r="AE12" i="19"/>
  <c r="AF12" i="19"/>
  <c r="AG12" i="19"/>
  <c r="AH12" i="19"/>
  <c r="AK12" i="19"/>
  <c r="AL12" i="19"/>
  <c r="R12" i="19"/>
  <c r="AE6" i="3"/>
  <c r="AE7" i="3"/>
  <c r="AE8" i="3"/>
  <c r="AE9" i="3"/>
  <c r="AE10" i="3"/>
  <c r="Z6" i="3"/>
  <c r="Z7" i="3"/>
  <c r="Z8" i="3"/>
  <c r="Z9" i="3"/>
  <c r="Z10" i="3"/>
  <c r="C19" i="1"/>
  <c r="AG5" i="2"/>
  <c r="AE6" i="2"/>
  <c r="AE7" i="2"/>
  <c r="AE8" i="2"/>
  <c r="AE9" i="2"/>
  <c r="Z6" i="2"/>
  <c r="Z7" i="2"/>
  <c r="Z8" i="2"/>
  <c r="Z9" i="2"/>
  <c r="Z5" i="2"/>
  <c r="AL10" i="2"/>
  <c r="O11" i="1"/>
  <c r="O15" i="1"/>
  <c r="O17" i="1"/>
  <c r="O19" i="1"/>
  <c r="H7" i="11" l="1"/>
  <c r="H4" i="11"/>
  <c r="O4" i="9"/>
  <c r="O9" i="9" s="1"/>
  <c r="K8" i="8"/>
  <c r="M8" i="8" s="1"/>
  <c r="S6" i="18"/>
  <c r="T6" i="18"/>
  <c r="U6" i="18"/>
  <c r="V6" i="18"/>
  <c r="W6" i="18"/>
  <c r="X6" i="18"/>
  <c r="Z6" i="18"/>
  <c r="AA6" i="18"/>
  <c r="AC6" i="18"/>
  <c r="AD6" i="18"/>
  <c r="AE6" i="18"/>
  <c r="AF6" i="18"/>
  <c r="AG6" i="18"/>
  <c r="AH6" i="18"/>
  <c r="AK6" i="18"/>
  <c r="AL6" i="18"/>
  <c r="R6" i="18"/>
  <c r="G5" i="25"/>
  <c r="G4" i="25"/>
  <c r="D4" i="25"/>
  <c r="P8" i="12"/>
  <c r="K8" i="12"/>
  <c r="I8" i="12"/>
  <c r="J8" i="12" s="1"/>
  <c r="F8" i="12"/>
  <c r="P7" i="12"/>
  <c r="K7" i="12"/>
  <c r="I7" i="12"/>
  <c r="J7" i="12" s="1"/>
  <c r="F7" i="12"/>
  <c r="P6" i="12"/>
  <c r="K6" i="12"/>
  <c r="I6" i="12"/>
  <c r="J6" i="12" s="1"/>
  <c r="F6" i="12"/>
  <c r="P5" i="12"/>
  <c r="K5" i="12"/>
  <c r="I5" i="12"/>
  <c r="J5" i="12" s="1"/>
  <c r="F5" i="12"/>
  <c r="F7" i="10"/>
  <c r="I7" i="10" s="1"/>
  <c r="J7" i="10" s="1"/>
  <c r="F4" i="10"/>
  <c r="I4" i="10" s="1"/>
  <c r="M4" i="9"/>
  <c r="G5" i="9"/>
  <c r="G6" i="9"/>
  <c r="G4" i="9"/>
  <c r="AE10" i="19"/>
  <c r="Z10" i="19"/>
  <c r="AD10" i="19" s="1"/>
  <c r="U10" i="19"/>
  <c r="P10" i="19"/>
  <c r="K10" i="19"/>
  <c r="I10" i="19"/>
  <c r="J10" i="19" s="1"/>
  <c r="F10" i="19"/>
  <c r="AE11" i="19"/>
  <c r="U11" i="19"/>
  <c r="P11" i="19"/>
  <c r="K11" i="19"/>
  <c r="I11" i="19"/>
  <c r="J11" i="19" s="1"/>
  <c r="F11" i="19"/>
  <c r="AE9" i="19"/>
  <c r="U9" i="19"/>
  <c r="P9" i="19"/>
  <c r="K9" i="19"/>
  <c r="I9" i="19"/>
  <c r="J9" i="19" s="1"/>
  <c r="F9" i="19"/>
  <c r="AE8" i="19"/>
  <c r="U8" i="19"/>
  <c r="P8" i="19"/>
  <c r="K8" i="19"/>
  <c r="I8" i="19"/>
  <c r="J8" i="19" s="1"/>
  <c r="F8" i="19"/>
  <c r="AE7" i="19"/>
  <c r="U7" i="19"/>
  <c r="P7" i="19"/>
  <c r="K7" i="19"/>
  <c r="I7" i="19"/>
  <c r="J7" i="19" s="1"/>
  <c r="F7" i="19"/>
  <c r="AE6" i="19"/>
  <c r="Z6" i="19"/>
  <c r="AD6" i="19" s="1"/>
  <c r="P6" i="19"/>
  <c r="K6" i="19"/>
  <c r="I6" i="19"/>
  <c r="J6" i="19" s="1"/>
  <c r="F6" i="19"/>
  <c r="AE5" i="19"/>
  <c r="AD5" i="19"/>
  <c r="W5" i="19"/>
  <c r="U5" i="19"/>
  <c r="P5" i="19"/>
  <c r="K5" i="19"/>
  <c r="I5" i="19"/>
  <c r="J5" i="19" s="1"/>
  <c r="F5" i="19"/>
  <c r="AE5" i="18"/>
  <c r="Z5" i="18"/>
  <c r="AD5" i="18" s="1"/>
  <c r="W5" i="18"/>
  <c r="U5" i="18"/>
  <c r="P5" i="18"/>
  <c r="I5" i="18"/>
  <c r="J5" i="18" s="1"/>
  <c r="F5" i="18"/>
  <c r="C6" i="1"/>
  <c r="C5" i="1"/>
  <c r="P7" i="20"/>
  <c r="K7" i="20"/>
  <c r="I7" i="20"/>
  <c r="J7" i="20" s="1"/>
  <c r="F7" i="20"/>
  <c r="S7" i="7"/>
  <c r="S6" i="7"/>
  <c r="S9" i="7" s="1"/>
  <c r="S5" i="6"/>
  <c r="S8" i="6" s="1"/>
  <c r="S5" i="3"/>
  <c r="S11" i="3" s="1"/>
  <c r="G18" i="3"/>
  <c r="P6" i="7"/>
  <c r="P7" i="7"/>
  <c r="P8" i="7"/>
  <c r="K8" i="7"/>
  <c r="K5" i="7"/>
  <c r="K9" i="5"/>
  <c r="K8" i="5"/>
  <c r="K7" i="5"/>
  <c r="K6" i="5"/>
  <c r="K5" i="5"/>
  <c r="AC11" i="3"/>
  <c r="T11" i="3"/>
  <c r="V11" i="3"/>
  <c r="R11" i="3"/>
  <c r="X11" i="3"/>
  <c r="K8" i="4"/>
  <c r="K5" i="4"/>
  <c r="AC10" i="2"/>
  <c r="AH10" i="2"/>
  <c r="S10" i="2"/>
  <c r="P6" i="3"/>
  <c r="P7" i="3"/>
  <c r="P8" i="3"/>
  <c r="P9" i="3"/>
  <c r="P10" i="3"/>
  <c r="K10" i="3"/>
  <c r="P6" i="2"/>
  <c r="P7" i="2"/>
  <c r="P8" i="2"/>
  <c r="P9" i="2"/>
  <c r="P5" i="2"/>
  <c r="K9" i="2"/>
  <c r="K7" i="2"/>
  <c r="Q8" i="12" l="1"/>
  <c r="G8" i="12"/>
  <c r="Q7" i="12"/>
  <c r="G7" i="12"/>
  <c r="Q6" i="12"/>
  <c r="G6" i="12"/>
  <c r="Q5" i="12"/>
  <c r="G5" i="12"/>
  <c r="Q10" i="19"/>
  <c r="G10" i="19"/>
  <c r="Q6" i="19"/>
  <c r="G6" i="19"/>
  <c r="Z11" i="19"/>
  <c r="AD11" i="19" s="1"/>
  <c r="Q11" i="19"/>
  <c r="G11" i="19"/>
  <c r="Z9" i="19"/>
  <c r="AD9" i="19" s="1"/>
  <c r="Q9" i="19"/>
  <c r="G9" i="19"/>
  <c r="Z8" i="19"/>
  <c r="AD8" i="19" s="1"/>
  <c r="Q8" i="19"/>
  <c r="G8" i="19"/>
  <c r="Z7" i="19"/>
  <c r="Q7" i="19"/>
  <c r="G7" i="19"/>
  <c r="AA12" i="19"/>
  <c r="AA5" i="19"/>
  <c r="Q5" i="19"/>
  <c r="AB5" i="19" s="1"/>
  <c r="G5" i="19"/>
  <c r="V10" i="2"/>
  <c r="AA5" i="18"/>
  <c r="Q5" i="18"/>
  <c r="AB5" i="18" s="1"/>
  <c r="AB6" i="18" s="1"/>
  <c r="G5" i="18"/>
  <c r="G7" i="20"/>
  <c r="Q7" i="20"/>
  <c r="X9" i="12"/>
  <c r="AC9" i="12"/>
  <c r="AF9" i="12"/>
  <c r="AG9" i="12"/>
  <c r="AH9" i="12"/>
  <c r="AK9" i="12"/>
  <c r="AL9" i="12"/>
  <c r="AD7" i="19" l="1"/>
  <c r="AD12" i="19" s="1"/>
  <c r="Z12" i="19"/>
  <c r="AI5" i="19"/>
  <c r="AJ5" i="19" s="1"/>
  <c r="Y5" i="19"/>
  <c r="AI5" i="18"/>
  <c r="Y5" i="18"/>
  <c r="Y6" i="18" s="1"/>
  <c r="X8" i="20"/>
  <c r="AC8" i="20"/>
  <c r="AF8" i="20"/>
  <c r="AG8" i="20"/>
  <c r="AH8" i="20"/>
  <c r="AK8" i="20"/>
  <c r="AL8" i="20"/>
  <c r="U6" i="2"/>
  <c r="U7" i="2"/>
  <c r="U8" i="2"/>
  <c r="U9" i="2"/>
  <c r="C16" i="1"/>
  <c r="C15" i="1"/>
  <c r="C14" i="1"/>
  <c r="C13" i="1"/>
  <c r="C12" i="1"/>
  <c r="C11" i="1"/>
  <c r="C9" i="1"/>
  <c r="C8" i="1"/>
  <c r="AJ12" i="19" l="1"/>
  <c r="AB12" i="19"/>
  <c r="AJ5" i="18"/>
  <c r="AJ6" i="18" s="1"/>
  <c r="AI6" i="18"/>
  <c r="AI12" i="19"/>
  <c r="F9" i="8"/>
  <c r="X10" i="2"/>
  <c r="T10" i="2"/>
  <c r="AE10" i="2" s="1"/>
  <c r="Y12" i="19" l="1"/>
  <c r="K5" i="2"/>
  <c r="K7" i="7" l="1"/>
  <c r="K6" i="7"/>
  <c r="P6" i="5"/>
  <c r="P7" i="5"/>
  <c r="P8" i="5"/>
  <c r="P9" i="5"/>
  <c r="P6" i="4"/>
  <c r="P7" i="4"/>
  <c r="P8" i="4"/>
  <c r="K7" i="4"/>
  <c r="K6" i="4"/>
  <c r="K7" i="6"/>
  <c r="K6" i="6"/>
  <c r="K5" i="6"/>
  <c r="K9" i="3"/>
  <c r="K8" i="3"/>
  <c r="K5" i="3"/>
  <c r="K8" i="2"/>
  <c r="K6" i="2"/>
  <c r="Z8" i="20" l="1"/>
  <c r="C21" i="1" l="1"/>
  <c r="V9" i="12" l="1"/>
  <c r="I5" i="7"/>
  <c r="I8" i="5"/>
  <c r="I8" i="4"/>
  <c r="K6" i="20" l="1"/>
  <c r="K5" i="20"/>
  <c r="P6" i="6"/>
  <c r="P7" i="6"/>
  <c r="AF6" i="2"/>
  <c r="AF10" i="2" s="1"/>
  <c r="D9" i="8"/>
  <c r="L9" i="8"/>
  <c r="J9" i="8"/>
  <c r="G9" i="8"/>
  <c r="E9" i="8"/>
  <c r="M5" i="8"/>
  <c r="K6" i="8"/>
  <c r="M6" i="8" s="1"/>
  <c r="I9" i="8"/>
  <c r="AA5" i="20"/>
  <c r="AA8" i="20" s="1"/>
  <c r="Z5" i="7"/>
  <c r="Z9" i="7" s="1"/>
  <c r="AK5" i="3"/>
  <c r="AG5" i="3"/>
  <c r="Z5" i="3"/>
  <c r="Z11" i="3" s="1"/>
  <c r="H9" i="8" l="1"/>
  <c r="J4" i="10"/>
  <c r="AK5" i="2"/>
  <c r="Z10" i="2"/>
  <c r="K7" i="8"/>
  <c r="M7" i="8" s="1"/>
  <c r="P6" i="20"/>
  <c r="I6" i="20"/>
  <c r="J6" i="20" s="1"/>
  <c r="F6" i="20"/>
  <c r="P5" i="20"/>
  <c r="I5" i="20"/>
  <c r="J5" i="20" s="1"/>
  <c r="F5" i="20"/>
  <c r="U6" i="7"/>
  <c r="AM8" i="6"/>
  <c r="I7" i="6"/>
  <c r="I8" i="3"/>
  <c r="D5" i="25"/>
  <c r="E10" i="11"/>
  <c r="F10" i="11"/>
  <c r="G10" i="11"/>
  <c r="H10" i="11"/>
  <c r="D7" i="11"/>
  <c r="D6" i="11"/>
  <c r="D4" i="11"/>
  <c r="I5" i="3"/>
  <c r="I4" i="11" l="1"/>
  <c r="K9" i="8"/>
  <c r="R15" i="20"/>
  <c r="Q6" i="20"/>
  <c r="G6" i="20"/>
  <c r="Q5" i="20"/>
  <c r="AB5" i="20" s="1"/>
  <c r="G5" i="20"/>
  <c r="Y5" i="20" l="1"/>
  <c r="M9" i="8"/>
  <c r="W5" i="7"/>
  <c r="W8" i="4"/>
  <c r="W7" i="4"/>
  <c r="W6" i="4"/>
  <c r="W5" i="4"/>
  <c r="W5" i="3"/>
  <c r="AA7" i="4" l="1"/>
  <c r="Z7" i="4"/>
  <c r="AA6" i="4"/>
  <c r="Z6" i="4"/>
  <c r="AA8" i="4"/>
  <c r="Z8" i="4"/>
  <c r="AA5" i="7"/>
  <c r="Z5" i="4"/>
  <c r="AA5" i="4"/>
  <c r="L20" i="1"/>
  <c r="I6" i="4"/>
  <c r="I7" i="7"/>
  <c r="AF8" i="3"/>
  <c r="AF11" i="3" s="1"/>
  <c r="W6" i="20"/>
  <c r="W5" i="20"/>
  <c r="AG6" i="4" l="1"/>
  <c r="AK6" i="4"/>
  <c r="AG5" i="4"/>
  <c r="AK5" i="4"/>
  <c r="AK5" i="7"/>
  <c r="AG5" i="7"/>
  <c r="I20" i="1" l="1"/>
  <c r="AA5" i="12" l="1"/>
  <c r="AA9" i="12" s="1"/>
  <c r="Z5" i="12"/>
  <c r="Z9" i="12" s="1"/>
  <c r="W5" i="12"/>
  <c r="V8" i="20"/>
  <c r="W7" i="20"/>
  <c r="W8" i="20" s="1"/>
  <c r="W5" i="6"/>
  <c r="U6" i="20"/>
  <c r="H20" i="1"/>
  <c r="AE5" i="20"/>
  <c r="AD5" i="20"/>
  <c r="U5" i="20"/>
  <c r="Z5" i="6" l="1"/>
  <c r="AA5" i="6"/>
  <c r="W6" i="12"/>
  <c r="W9" i="12" s="1"/>
  <c r="W7" i="12"/>
  <c r="W8" i="12"/>
  <c r="U7" i="7"/>
  <c r="AI5" i="20" l="1"/>
  <c r="AJ5" i="20" l="1"/>
  <c r="C18" i="1"/>
  <c r="C17" i="1"/>
  <c r="K8" i="9"/>
  <c r="K7" i="9"/>
  <c r="D8" i="9"/>
  <c r="G8" i="9" s="1"/>
  <c r="G7" i="9"/>
  <c r="N4" i="9"/>
  <c r="Y8" i="12"/>
  <c r="D19" i="1"/>
  <c r="I6" i="7"/>
  <c r="U5" i="3"/>
  <c r="R10" i="2"/>
  <c r="M8" i="9" l="1"/>
  <c r="D9" i="9"/>
  <c r="M7" i="9"/>
  <c r="I7" i="5"/>
  <c r="AM10" i="2"/>
  <c r="H12" i="1"/>
  <c r="T9" i="12"/>
  <c r="S9" i="12"/>
  <c r="R9" i="12"/>
  <c r="T8" i="20"/>
  <c r="S8" i="20"/>
  <c r="R8" i="20"/>
  <c r="D10" i="1"/>
  <c r="E10" i="1" s="1"/>
  <c r="D7" i="1"/>
  <c r="E7" i="1" s="1"/>
  <c r="D5" i="13"/>
  <c r="I16" i="1"/>
  <c r="D5" i="1" l="1"/>
  <c r="AB5" i="12"/>
  <c r="D20" i="1"/>
  <c r="D5" i="10"/>
  <c r="F5" i="10" s="1"/>
  <c r="D5" i="11"/>
  <c r="D8" i="10"/>
  <c r="D6" i="10"/>
  <c r="F6" i="10" s="1"/>
  <c r="W6" i="7"/>
  <c r="W7" i="7"/>
  <c r="W8" i="7"/>
  <c r="F8" i="10" l="1"/>
  <c r="AA8" i="7"/>
  <c r="AA7" i="7"/>
  <c r="AG7" i="7" s="1"/>
  <c r="AA6" i="7"/>
  <c r="AA9" i="7" s="1"/>
  <c r="W9" i="7"/>
  <c r="AA9" i="4"/>
  <c r="Z9" i="4"/>
  <c r="W9" i="4"/>
  <c r="E5" i="1"/>
  <c r="D9" i="10"/>
  <c r="I14" i="1"/>
  <c r="Y5" i="12"/>
  <c r="W6" i="6"/>
  <c r="W7" i="6"/>
  <c r="W6" i="5"/>
  <c r="W7" i="5"/>
  <c r="W8" i="5"/>
  <c r="W9" i="5"/>
  <c r="W5" i="5"/>
  <c r="W6" i="3"/>
  <c r="W7" i="3"/>
  <c r="W8" i="3"/>
  <c r="W9" i="3"/>
  <c r="W10" i="3"/>
  <c r="W6" i="2"/>
  <c r="W7" i="2"/>
  <c r="AA7" i="2" s="1"/>
  <c r="W8" i="2"/>
  <c r="W9" i="2"/>
  <c r="W5" i="2"/>
  <c r="I13" i="1"/>
  <c r="AM10" i="5"/>
  <c r="AO10" i="5"/>
  <c r="Y7" i="12"/>
  <c r="Y6" i="12"/>
  <c r="Z7" i="6" l="1"/>
  <c r="AA7" i="6"/>
  <c r="AA6" i="6"/>
  <c r="AA8" i="6" s="1"/>
  <c r="Z6" i="6"/>
  <c r="W8" i="6"/>
  <c r="W10" i="5"/>
  <c r="F9" i="10"/>
  <c r="I8" i="10"/>
  <c r="AA8" i="3"/>
  <c r="AA9" i="3"/>
  <c r="AA7" i="3"/>
  <c r="AA10" i="3"/>
  <c r="AG10" i="3" s="1"/>
  <c r="AA7" i="5"/>
  <c r="Z7" i="5"/>
  <c r="AA6" i="5"/>
  <c r="Z6" i="5"/>
  <c r="AA9" i="5"/>
  <c r="Z9" i="5"/>
  <c r="AA8" i="5"/>
  <c r="Z8" i="5"/>
  <c r="AA8" i="2"/>
  <c r="AG8" i="2" s="1"/>
  <c r="AA9" i="2"/>
  <c r="AG9" i="2" s="1"/>
  <c r="W10" i="2"/>
  <c r="W11" i="3"/>
  <c r="Y9" i="12"/>
  <c r="AB9" i="12"/>
  <c r="AK7" i="7"/>
  <c r="AA6" i="2"/>
  <c r="AG8" i="4"/>
  <c r="AG9" i="4" s="1"/>
  <c r="AK8" i="4"/>
  <c r="AK9" i="4" s="1"/>
  <c r="Z5" i="5"/>
  <c r="AA5" i="5"/>
  <c r="AK6" i="7"/>
  <c r="AG6" i="7"/>
  <c r="AG9" i="7" s="1"/>
  <c r="AA6" i="3"/>
  <c r="D6" i="1"/>
  <c r="E6" i="1" s="1"/>
  <c r="Z8" i="6" l="1"/>
  <c r="AA10" i="5"/>
  <c r="Z10" i="5"/>
  <c r="AA10" i="2"/>
  <c r="J8" i="10"/>
  <c r="AA11" i="3"/>
  <c r="AK9" i="7"/>
  <c r="AG10" i="2"/>
  <c r="AK10" i="3"/>
  <c r="AK7" i="5"/>
  <c r="AG7" i="5"/>
  <c r="AG6" i="5"/>
  <c r="AG10" i="5" s="1"/>
  <c r="AK6" i="5"/>
  <c r="AK8" i="5"/>
  <c r="AG8" i="5"/>
  <c r="AK8" i="2"/>
  <c r="AK9" i="2"/>
  <c r="AK10" i="5" l="1"/>
  <c r="AK10" i="2"/>
  <c r="AG11" i="3"/>
  <c r="AK11" i="3"/>
  <c r="D9" i="1"/>
  <c r="E9" i="1" s="1"/>
  <c r="D6" i="25"/>
  <c r="AE5" i="3" l="1"/>
  <c r="AE5" i="2"/>
  <c r="AE11" i="3" l="1"/>
  <c r="L5" i="25"/>
  <c r="M5" i="25" s="1"/>
  <c r="N5" i="25" s="1"/>
  <c r="L4" i="25"/>
  <c r="M4" i="25" s="1"/>
  <c r="N4" i="25" s="1"/>
  <c r="I6" i="5"/>
  <c r="I5" i="5"/>
  <c r="I10" i="3"/>
  <c r="D8" i="11"/>
  <c r="I7" i="4"/>
  <c r="D10" i="11" l="1"/>
  <c r="Y7" i="20"/>
  <c r="AD5" i="5"/>
  <c r="I6" i="2"/>
  <c r="J6" i="2" s="1"/>
  <c r="I7" i="2"/>
  <c r="J7" i="2" s="1"/>
  <c r="I8" i="2"/>
  <c r="J8" i="2" s="1"/>
  <c r="I9" i="2"/>
  <c r="J9" i="2" s="1"/>
  <c r="I10" i="11" l="1"/>
  <c r="J20" i="1"/>
  <c r="L19" i="1"/>
  <c r="D16" i="1" l="1"/>
  <c r="O16" i="1" s="1"/>
  <c r="I18" i="1"/>
  <c r="G19" i="1"/>
  <c r="M19" i="1"/>
  <c r="K19" i="1"/>
  <c r="N19" i="1"/>
  <c r="F19" i="1"/>
  <c r="J5" i="13"/>
  <c r="F17" i="1" s="1"/>
  <c r="I5" i="13"/>
  <c r="H5" i="13"/>
  <c r="H17" i="1" s="1"/>
  <c r="G5" i="13"/>
  <c r="F5" i="13"/>
  <c r="I17" i="1" s="1"/>
  <c r="E5" i="13"/>
  <c r="K4" i="13"/>
  <c r="M6" i="9"/>
  <c r="K6" i="9"/>
  <c r="I15" i="1"/>
  <c r="AE8" i="12"/>
  <c r="U8" i="12"/>
  <c r="AE7" i="12"/>
  <c r="AD7" i="12"/>
  <c r="U7" i="12"/>
  <c r="AE6" i="12"/>
  <c r="AD6" i="12"/>
  <c r="U6" i="12"/>
  <c r="AE5" i="12"/>
  <c r="AE9" i="12" s="1"/>
  <c r="AD5" i="12"/>
  <c r="U5" i="12"/>
  <c r="I11" i="1"/>
  <c r="AE8" i="20"/>
  <c r="AD7" i="20"/>
  <c r="U7" i="20"/>
  <c r="AM9" i="7"/>
  <c r="U8" i="7"/>
  <c r="I8" i="7"/>
  <c r="F8" i="7"/>
  <c r="J7" i="7"/>
  <c r="F7" i="7"/>
  <c r="F6" i="7"/>
  <c r="AE5" i="7"/>
  <c r="AE9" i="7" s="1"/>
  <c r="U5" i="7"/>
  <c r="P5" i="7"/>
  <c r="J5" i="7"/>
  <c r="F5" i="7"/>
  <c r="U7" i="6"/>
  <c r="F7" i="6"/>
  <c r="U6" i="6"/>
  <c r="I6" i="6"/>
  <c r="J6" i="6" s="1"/>
  <c r="F6" i="6"/>
  <c r="AE5" i="6"/>
  <c r="AE8" i="6" s="1"/>
  <c r="R5" i="6"/>
  <c r="R8" i="6" s="1"/>
  <c r="P5" i="6"/>
  <c r="I5" i="6"/>
  <c r="J5" i="6" s="1"/>
  <c r="F5" i="6"/>
  <c r="I9" i="5"/>
  <c r="F9" i="5"/>
  <c r="F8" i="5"/>
  <c r="J7" i="5"/>
  <c r="F7" i="5"/>
  <c r="U6" i="5"/>
  <c r="J6" i="5"/>
  <c r="F6" i="5"/>
  <c r="Q6" i="5" s="1"/>
  <c r="AB6" i="5" s="1"/>
  <c r="AE5" i="5"/>
  <c r="AE10" i="5" s="1"/>
  <c r="U5" i="5"/>
  <c r="U10" i="5" s="1"/>
  <c r="P5" i="5"/>
  <c r="J5" i="5"/>
  <c r="F5" i="5"/>
  <c r="G5" i="5" s="1"/>
  <c r="U8" i="4"/>
  <c r="J8" i="4"/>
  <c r="F8" i="4"/>
  <c r="Q8" i="4" s="1"/>
  <c r="AB8" i="4" s="1"/>
  <c r="U7" i="4"/>
  <c r="F7" i="4"/>
  <c r="J6" i="4"/>
  <c r="F6" i="4"/>
  <c r="Q6" i="4" s="1"/>
  <c r="AB6" i="4" s="1"/>
  <c r="AE5" i="4"/>
  <c r="AE9" i="4" s="1"/>
  <c r="U5" i="4"/>
  <c r="P5" i="4"/>
  <c r="I5" i="4"/>
  <c r="J5" i="4" s="1"/>
  <c r="F5" i="4"/>
  <c r="U10" i="3"/>
  <c r="J10" i="3"/>
  <c r="F10" i="3"/>
  <c r="Q10" i="3" s="1"/>
  <c r="U9" i="3"/>
  <c r="I9" i="3"/>
  <c r="J9" i="3" s="1"/>
  <c r="F9" i="3"/>
  <c r="AD8" i="3"/>
  <c r="J8" i="3"/>
  <c r="F8" i="3"/>
  <c r="Q8" i="3" s="1"/>
  <c r="AB8" i="3" s="1"/>
  <c r="U7" i="3"/>
  <c r="I7" i="3"/>
  <c r="J7" i="3" s="1"/>
  <c r="F7" i="3"/>
  <c r="Q7" i="3" s="1"/>
  <c r="U6" i="3"/>
  <c r="I6" i="3"/>
  <c r="J6" i="3" s="1"/>
  <c r="F6" i="3"/>
  <c r="P5" i="3"/>
  <c r="J5" i="3"/>
  <c r="F5" i="3"/>
  <c r="G5" i="3" s="1"/>
  <c r="F9" i="2"/>
  <c r="Q9" i="2" s="1"/>
  <c r="AB9" i="2" s="1"/>
  <c r="F8" i="2"/>
  <c r="Q8" i="2" s="1"/>
  <c r="AB8" i="2" s="1"/>
  <c r="F7" i="2"/>
  <c r="Q7" i="2" s="1"/>
  <c r="AB7" i="2" s="1"/>
  <c r="F6" i="2"/>
  <c r="Q6" i="2" s="1"/>
  <c r="AB6" i="2" s="1"/>
  <c r="U5" i="2"/>
  <c r="U10" i="2" s="1"/>
  <c r="I5" i="2"/>
  <c r="F5" i="2"/>
  <c r="G5" i="2" s="1"/>
  <c r="M20" i="1"/>
  <c r="G20" i="1"/>
  <c r="J19" i="1"/>
  <c r="I19" i="1"/>
  <c r="H19" i="1"/>
  <c r="D17" i="1"/>
  <c r="F16" i="1"/>
  <c r="N15" i="1"/>
  <c r="M15" i="1"/>
  <c r="K15" i="1"/>
  <c r="J15" i="1"/>
  <c r="D15" i="1"/>
  <c r="H13" i="1"/>
  <c r="I12" i="1"/>
  <c r="D12" i="1"/>
  <c r="N11" i="1"/>
  <c r="M11" i="1"/>
  <c r="K11" i="1"/>
  <c r="J11" i="1"/>
  <c r="D11" i="1"/>
  <c r="I10" i="1"/>
  <c r="N9" i="1"/>
  <c r="M9" i="1"/>
  <c r="O9" i="1" s="1"/>
  <c r="K9" i="1"/>
  <c r="J9" i="1"/>
  <c r="I8" i="1"/>
  <c r="I7" i="1"/>
  <c r="E12" i="1" l="1"/>
  <c r="O12" i="1"/>
  <c r="AI8" i="3"/>
  <c r="AJ8" i="3" s="1"/>
  <c r="U9" i="7"/>
  <c r="Y6" i="5"/>
  <c r="U9" i="4"/>
  <c r="Y6" i="4"/>
  <c r="AH6" i="4" s="1"/>
  <c r="U11" i="3"/>
  <c r="AB10" i="3"/>
  <c r="AB7" i="3"/>
  <c r="Y8" i="3"/>
  <c r="H10" i="1"/>
  <c r="H8" i="1"/>
  <c r="Y8" i="4"/>
  <c r="Y7" i="2"/>
  <c r="Y8" i="2"/>
  <c r="Q8" i="7"/>
  <c r="AB8" i="7" s="1"/>
  <c r="Q6" i="3"/>
  <c r="AB6" i="3" s="1"/>
  <c r="H9" i="1"/>
  <c r="Q9" i="5"/>
  <c r="AB9" i="5" s="1"/>
  <c r="Q6" i="7"/>
  <c r="AB6" i="7" s="1"/>
  <c r="Q7" i="7"/>
  <c r="AB7" i="7" s="1"/>
  <c r="Q9" i="3"/>
  <c r="AB9" i="3" s="1"/>
  <c r="Q8" i="5"/>
  <c r="AB8" i="5" s="1"/>
  <c r="Q7" i="5"/>
  <c r="AB7" i="5" s="1"/>
  <c r="G9" i="2"/>
  <c r="G6" i="2"/>
  <c r="D14" i="1"/>
  <c r="G8" i="5"/>
  <c r="G9" i="5"/>
  <c r="G6" i="5"/>
  <c r="G5" i="7"/>
  <c r="Q5" i="7"/>
  <c r="AB5" i="7" s="1"/>
  <c r="G8" i="7"/>
  <c r="U9" i="12"/>
  <c r="AI5" i="12"/>
  <c r="H15" i="1"/>
  <c r="H11" i="1"/>
  <c r="U8" i="20"/>
  <c r="G7" i="6"/>
  <c r="Q7" i="6"/>
  <c r="Q5" i="6"/>
  <c r="AB5" i="6" s="1"/>
  <c r="G6" i="6"/>
  <c r="Q6" i="6"/>
  <c r="AB6" i="6" s="1"/>
  <c r="G7" i="7"/>
  <c r="G7" i="5"/>
  <c r="J9" i="5"/>
  <c r="J8" i="5"/>
  <c r="G8" i="4"/>
  <c r="G7" i="4"/>
  <c r="Q7" i="4"/>
  <c r="AB7" i="4" s="1"/>
  <c r="G7" i="3"/>
  <c r="G6" i="3"/>
  <c r="G10" i="3"/>
  <c r="J8" i="7"/>
  <c r="J6" i="7"/>
  <c r="K5" i="13"/>
  <c r="L4" i="13"/>
  <c r="L5" i="13" s="1"/>
  <c r="D8" i="1"/>
  <c r="E8" i="1" s="1"/>
  <c r="AD8" i="5"/>
  <c r="AD7" i="5"/>
  <c r="AD9" i="5"/>
  <c r="N20" i="1"/>
  <c r="O20" i="1" s="1"/>
  <c r="D13" i="1"/>
  <c r="O13" i="1" s="1"/>
  <c r="AD7" i="2"/>
  <c r="AD9" i="2"/>
  <c r="AD6" i="2"/>
  <c r="AD8" i="2"/>
  <c r="H5" i="1"/>
  <c r="AD7" i="7"/>
  <c r="AD8" i="7"/>
  <c r="AD7" i="4"/>
  <c r="AD8" i="4"/>
  <c r="AD9" i="3"/>
  <c r="AD6" i="3"/>
  <c r="AD8" i="12"/>
  <c r="AD9" i="12" s="1"/>
  <c r="AD5" i="7"/>
  <c r="U5" i="6"/>
  <c r="U8" i="6" s="1"/>
  <c r="I9" i="1"/>
  <c r="G5" i="6"/>
  <c r="AD10" i="3"/>
  <c r="Q5" i="3"/>
  <c r="AB5" i="3" s="1"/>
  <c r="Y5" i="3" s="1"/>
  <c r="F12" i="1"/>
  <c r="G6" i="7"/>
  <c r="J7" i="6"/>
  <c r="Q5" i="5"/>
  <c r="AB5" i="5" s="1"/>
  <c r="AD5" i="4"/>
  <c r="J7" i="4"/>
  <c r="Q5" i="4"/>
  <c r="AB5" i="4" s="1"/>
  <c r="G6" i="4"/>
  <c r="G5" i="4"/>
  <c r="G8" i="3"/>
  <c r="G9" i="3"/>
  <c r="Q5" i="2"/>
  <c r="AB5" i="2" s="1"/>
  <c r="J5" i="2"/>
  <c r="G8" i="2"/>
  <c r="G7" i="2"/>
  <c r="AD5" i="2"/>
  <c r="O14" i="1" l="1"/>
  <c r="E14" i="1"/>
  <c r="AB7" i="6"/>
  <c r="AI7" i="6" s="1"/>
  <c r="AJ7" i="6" s="1"/>
  <c r="AB10" i="5"/>
  <c r="AI6" i="3"/>
  <c r="AJ6" i="3" s="1"/>
  <c r="AI9" i="3"/>
  <c r="AJ9" i="3" s="1"/>
  <c r="Y7" i="3"/>
  <c r="Y10" i="3"/>
  <c r="AH10" i="3" s="1"/>
  <c r="AI10" i="3" s="1"/>
  <c r="AJ10" i="3" s="1"/>
  <c r="Y6" i="7"/>
  <c r="AB8" i="6"/>
  <c r="Y6" i="6"/>
  <c r="AI9" i="5"/>
  <c r="AJ9" i="5" s="1"/>
  <c r="AI7" i="4"/>
  <c r="AJ7" i="4" s="1"/>
  <c r="Y6" i="3"/>
  <c r="AI7" i="2"/>
  <c r="AI8" i="2"/>
  <c r="Y7" i="7"/>
  <c r="Y8" i="7"/>
  <c r="Y8" i="5"/>
  <c r="Y9" i="3"/>
  <c r="Y9" i="2"/>
  <c r="Y5" i="2"/>
  <c r="Y5" i="6"/>
  <c r="Y5" i="5"/>
  <c r="AI5" i="5"/>
  <c r="Y5" i="7"/>
  <c r="AL6" i="5"/>
  <c r="AH6" i="5"/>
  <c r="AI5" i="4"/>
  <c r="Y5" i="4"/>
  <c r="AI5" i="2"/>
  <c r="AJ5" i="12"/>
  <c r="L17" i="1"/>
  <c r="G15" i="1"/>
  <c r="AD6" i="7"/>
  <c r="AD9" i="7" s="1"/>
  <c r="AD6" i="6"/>
  <c r="AI6" i="6" s="1"/>
  <c r="AJ6" i="6" s="1"/>
  <c r="AD7" i="6"/>
  <c r="M5" i="9"/>
  <c r="AD6" i="5"/>
  <c r="AD10" i="5" s="1"/>
  <c r="K20" i="1"/>
  <c r="AD5" i="3"/>
  <c r="AD5" i="6"/>
  <c r="AD6" i="4"/>
  <c r="AI6" i="4" s="1"/>
  <c r="AJ6" i="4" s="1"/>
  <c r="H6" i="1"/>
  <c r="I5" i="10"/>
  <c r="H7" i="1"/>
  <c r="AD7" i="3"/>
  <c r="AI7" i="3" s="1"/>
  <c r="AJ7" i="3" s="1"/>
  <c r="I6" i="10"/>
  <c r="J6" i="10" s="1"/>
  <c r="L16" i="1"/>
  <c r="F15" i="1"/>
  <c r="J5" i="10" l="1"/>
  <c r="J9" i="10" s="1"/>
  <c r="I9" i="10"/>
  <c r="Y7" i="6"/>
  <c r="Y8" i="6"/>
  <c r="AJ5" i="5"/>
  <c r="AJ8" i="2"/>
  <c r="AJ7" i="2"/>
  <c r="AB9" i="7"/>
  <c r="F10" i="1" s="1"/>
  <c r="AD8" i="6"/>
  <c r="AI6" i="5"/>
  <c r="AJ6" i="5" s="1"/>
  <c r="Y9" i="5"/>
  <c r="Y7" i="5"/>
  <c r="Y10" i="5" s="1"/>
  <c r="F8" i="1"/>
  <c r="Y7" i="4"/>
  <c r="Y9" i="4" s="1"/>
  <c r="AB9" i="4"/>
  <c r="F7" i="1" s="1"/>
  <c r="AD9" i="4"/>
  <c r="G7" i="1" s="1"/>
  <c r="AI6" i="2"/>
  <c r="Y6" i="2"/>
  <c r="AD10" i="2"/>
  <c r="G5" i="1" s="1"/>
  <c r="AB11" i="3"/>
  <c r="F6" i="1" s="1"/>
  <c r="AD11" i="3"/>
  <c r="G6" i="1" s="1"/>
  <c r="AB10" i="2"/>
  <c r="F5" i="1" s="1"/>
  <c r="AI9" i="2"/>
  <c r="AI9" i="12"/>
  <c r="AJ9" i="12"/>
  <c r="AH6" i="7"/>
  <c r="AI6" i="7" s="1"/>
  <c r="AJ6" i="7" s="1"/>
  <c r="G9" i="1"/>
  <c r="G8" i="1"/>
  <c r="AH8" i="5"/>
  <c r="AI8" i="5" s="1"/>
  <c r="AJ8" i="5" s="1"/>
  <c r="AL6" i="7"/>
  <c r="G10" i="1"/>
  <c r="F9" i="1"/>
  <c r="AJ5" i="4"/>
  <c r="AH8" i="7"/>
  <c r="AI8" i="7" s="1"/>
  <c r="AJ8" i="7" s="1"/>
  <c r="AL8" i="7"/>
  <c r="AL5" i="7"/>
  <c r="AH5" i="7"/>
  <c r="AI5" i="6"/>
  <c r="AL10" i="3"/>
  <c r="AI5" i="3"/>
  <c r="AJ5" i="3" s="1"/>
  <c r="AJ5" i="2"/>
  <c r="H21" i="1"/>
  <c r="F14" i="1"/>
  <c r="M10" i="1"/>
  <c r="J10" i="1"/>
  <c r="M7" i="1"/>
  <c r="J6" i="1"/>
  <c r="M6" i="1"/>
  <c r="M5" i="1"/>
  <c r="J5" i="1"/>
  <c r="J8" i="1"/>
  <c r="M8" i="1"/>
  <c r="F13" i="1"/>
  <c r="J7" i="1"/>
  <c r="I5" i="1"/>
  <c r="F20" i="1"/>
  <c r="I6" i="1"/>
  <c r="L12" i="1"/>
  <c r="AL7" i="5" l="1"/>
  <c r="AL10" i="5" s="1"/>
  <c r="AJ9" i="2"/>
  <c r="AJ6" i="2"/>
  <c r="Y9" i="7"/>
  <c r="AI8" i="6"/>
  <c r="Y11" i="3"/>
  <c r="Y10" i="2"/>
  <c r="AI10" i="2"/>
  <c r="AH7" i="7"/>
  <c r="AL7" i="7"/>
  <c r="AL9" i="7" s="1"/>
  <c r="AH7" i="5"/>
  <c r="AL8" i="5"/>
  <c r="AI5" i="7"/>
  <c r="AJ5" i="6"/>
  <c r="AL6" i="4"/>
  <c r="AL8" i="4"/>
  <c r="AH8" i="4"/>
  <c r="AI8" i="4" s="1"/>
  <c r="AJ8" i="4" s="1"/>
  <c r="I21" i="1"/>
  <c r="J21" i="1"/>
  <c r="M21" i="1"/>
  <c r="AI7" i="5" l="1"/>
  <c r="AH10" i="5"/>
  <c r="AH9" i="7"/>
  <c r="K10" i="1" s="1"/>
  <c r="AI7" i="7"/>
  <c r="AJ7" i="7" s="1"/>
  <c r="AJ8" i="6"/>
  <c r="K8" i="1"/>
  <c r="AL9" i="4"/>
  <c r="N7" i="1" s="1"/>
  <c r="O7" i="1" s="1"/>
  <c r="AH9" i="4"/>
  <c r="K7" i="1" s="1"/>
  <c r="AL11" i="3"/>
  <c r="N6" i="1" s="1"/>
  <c r="O6" i="1" s="1"/>
  <c r="AJ10" i="2"/>
  <c r="AH11" i="3"/>
  <c r="K6" i="1" s="1"/>
  <c r="AJ5" i="7"/>
  <c r="L14" i="1"/>
  <c r="N10" i="1"/>
  <c r="O10" i="1" s="1"/>
  <c r="N8" i="1"/>
  <c r="O8" i="1" s="1"/>
  <c r="N5" i="1"/>
  <c r="K5" i="1"/>
  <c r="L15" i="1"/>
  <c r="AI9" i="7" l="1"/>
  <c r="AJ7" i="5"/>
  <c r="AJ10" i="5" s="1"/>
  <c r="AI10" i="5"/>
  <c r="AJ9" i="7"/>
  <c r="AI9" i="4"/>
  <c r="AI11" i="3"/>
  <c r="K21" i="1"/>
  <c r="N21" i="1"/>
  <c r="L9" i="1"/>
  <c r="O5" i="1"/>
  <c r="L13" i="1"/>
  <c r="AJ9" i="4" l="1"/>
  <c r="AJ11" i="3"/>
  <c r="L5" i="1"/>
  <c r="L7" i="1" l="1"/>
  <c r="L8" i="1"/>
  <c r="L10" i="1"/>
  <c r="L6" i="1"/>
  <c r="L18" i="1" l="1"/>
  <c r="D18" i="1"/>
  <c r="F18" i="1"/>
  <c r="D21" i="1" l="1"/>
  <c r="O18" i="1"/>
  <c r="O21" i="1" s="1"/>
  <c r="E21" i="1"/>
  <c r="AD6" i="20" l="1"/>
  <c r="AD8" i="20" s="1"/>
  <c r="G11" i="1" s="1"/>
  <c r="G21" i="1" s="1"/>
  <c r="AB8" i="20" l="1"/>
  <c r="Y6" i="20"/>
  <c r="Y8" i="20" s="1"/>
  <c r="AI8" i="20"/>
  <c r="F11" i="1"/>
  <c r="F21" i="1" s="1"/>
  <c r="AJ8" i="20" l="1"/>
  <c r="L11" i="1" l="1"/>
  <c r="L21" i="1" s="1"/>
  <c r="O23" i="1" s="1"/>
</calcChain>
</file>

<file path=xl/sharedStrings.xml><?xml version="1.0" encoding="utf-8"?>
<sst xmlns="http://schemas.openxmlformats.org/spreadsheetml/2006/main" count="872" uniqueCount="333">
  <si>
    <t>QUEEN MIRA INTERNATIONAL SCHOOL</t>
  </si>
  <si>
    <t>S. No</t>
  </si>
  <si>
    <t>Particulars</t>
  </si>
  <si>
    <t>No of Employees</t>
  </si>
  <si>
    <t>Gross Salary
( A )</t>
  </si>
  <si>
    <t xml:space="preserve">Average Salary </t>
  </si>
  <si>
    <t>Deductions</t>
  </si>
  <si>
    <t>Net Salary
[D]</t>
  </si>
  <si>
    <t>Employer Contribution</t>
  </si>
  <si>
    <t>Total
[A+E+F]</t>
  </si>
  <si>
    <t xml:space="preserve">Late / Permission / Leave / Absent LOP </t>
  </si>
  <si>
    <t>Not Punched LOP</t>
  </si>
  <si>
    <t>Salary Advance / Loan</t>
  </si>
  <si>
    <t>Special Deductions [Telephone Bill + Laptop + Uniform + Trainings etc]</t>
  </si>
  <si>
    <t>PF 12%
[B]</t>
  </si>
  <si>
    <t>ESI 0.75% [C]</t>
  </si>
  <si>
    <t>PF 13.01%
[E]</t>
  </si>
  <si>
    <t>ESI 3.25%
[F]</t>
  </si>
  <si>
    <t>Admin Staff</t>
  </si>
  <si>
    <t>Drivers</t>
  </si>
  <si>
    <t>Conductors</t>
  </si>
  <si>
    <t>Securities</t>
  </si>
  <si>
    <t>Housekeeping</t>
  </si>
  <si>
    <t>Hostel</t>
  </si>
  <si>
    <t>ECA - Regular</t>
  </si>
  <si>
    <t>Academics + ECA = Special</t>
  </si>
  <si>
    <t>Theni Upparpatti</t>
  </si>
  <si>
    <t>Academic Enrichment Program</t>
  </si>
  <si>
    <t>Rifle Shooting</t>
  </si>
  <si>
    <t>Total</t>
  </si>
  <si>
    <t>Payable Total (B+C+D+E+F)</t>
  </si>
  <si>
    <t>HR Manager</t>
  </si>
  <si>
    <t>Joint Director Admin</t>
  </si>
  <si>
    <t>Director Academics</t>
  </si>
  <si>
    <t>Managing Director</t>
  </si>
  <si>
    <t>S.No</t>
  </si>
  <si>
    <t>Name</t>
  </si>
  <si>
    <t>Department</t>
  </si>
  <si>
    <t>Attendance</t>
  </si>
  <si>
    <t>Salary Advance / Loan Details</t>
  </si>
  <si>
    <t>Gross Salary</t>
  </si>
  <si>
    <t>Other Allownace</t>
  </si>
  <si>
    <t>Salary.Actuals
[Gross Salary - Leave Deduction]</t>
  </si>
  <si>
    <t>Salary per day [Gross salary / no of days that month]</t>
  </si>
  <si>
    <t>Basic [45% of Gross Salary]</t>
  </si>
  <si>
    <t>Net Salary</t>
  </si>
  <si>
    <t>QMIS Contribution</t>
  </si>
  <si>
    <t>Remarks</t>
  </si>
  <si>
    <t>Total working days</t>
  </si>
  <si>
    <t>Lates. Actuals</t>
  </si>
  <si>
    <t>Lates. Leave [Exceeding lates conversions count]</t>
  </si>
  <si>
    <t>Final Lates after deducting exceeding  Late leaves</t>
  </si>
  <si>
    <t>Permissions.Actuals</t>
  </si>
  <si>
    <t>Exceeding Permissions taken
for this month</t>
  </si>
  <si>
    <t xml:space="preserve">Proper Permissions </t>
  </si>
  <si>
    <t>Proper Casual Leave already
taken for this term</t>
  </si>
  <si>
    <t>Proper Casual Leave taken
for this month</t>
  </si>
  <si>
    <t>Exceeding Casual Leave taken
for this month</t>
  </si>
  <si>
    <t>Absent / Suspension.Actuals</t>
  </si>
  <si>
    <t>Gardening / Other Leave</t>
  </si>
  <si>
    <t>Total Leave days.Actuals</t>
  </si>
  <si>
    <t>Loss of Pay Days</t>
  </si>
  <si>
    <t>Total Loan Amount</t>
  </si>
  <si>
    <t>Amount already paid</t>
  </si>
  <si>
    <t>Amount to be paid for this month</t>
  </si>
  <si>
    <t>Remaining Loan Amount</t>
  </si>
  <si>
    <t>Leave / Absent / Permission Leave / Late Leave</t>
  </si>
  <si>
    <t>Not Punched Days</t>
  </si>
  <si>
    <t>PF 
[12% of Basic Salary]</t>
  </si>
  <si>
    <t>ESI 
[0.75% of Salary.Actuals]</t>
  </si>
  <si>
    <t>PF 
[13.01% of Basic Salary]</t>
  </si>
  <si>
    <t>ESI 
[3.25% of Salary.Actuals]</t>
  </si>
  <si>
    <t>SUJATHA D/O SUBBURAM</t>
  </si>
  <si>
    <t>Director - Academics</t>
  </si>
  <si>
    <t>A JAINCOL FATHIMA</t>
  </si>
  <si>
    <t>GAYATHRI MURUGAN</t>
  </si>
  <si>
    <t>GOWSALYA DEVI BALAMURUGAN</t>
  </si>
  <si>
    <t>P JAGATHESWARI</t>
  </si>
  <si>
    <t>PRT-Science</t>
  </si>
  <si>
    <t xml:space="preserve"> </t>
  </si>
  <si>
    <t>School Counsellor</t>
  </si>
  <si>
    <t>Finance Manager</t>
  </si>
  <si>
    <t>JOSEPHINE ANNE SHEEBHA ARULDASS</t>
  </si>
  <si>
    <t>Joint Director- Admin</t>
  </si>
  <si>
    <t>Jeya Dharini Abinath</t>
  </si>
  <si>
    <t>GM - Finance</t>
  </si>
  <si>
    <t>Ashrafa</t>
  </si>
  <si>
    <t>Joint Director - Audit</t>
  </si>
  <si>
    <t>SHALINI NAGENDRA BABU</t>
  </si>
  <si>
    <t>G VAIYAPURI</t>
  </si>
  <si>
    <t>Public Relations Officer</t>
  </si>
  <si>
    <t>R SIVARANJANI</t>
  </si>
  <si>
    <t>Senior Accountant</t>
  </si>
  <si>
    <t>AARTHY SELVAM</t>
  </si>
  <si>
    <t>K.SANGAMITRA</t>
  </si>
  <si>
    <t>Principal-Audit</t>
  </si>
  <si>
    <t>Meena</t>
  </si>
  <si>
    <t>Transport Manager</t>
  </si>
  <si>
    <t>Joint Director - Admin</t>
  </si>
  <si>
    <t>KUMARAVEL MOOKKAIAH</t>
  </si>
  <si>
    <t>Transport Driver</t>
  </si>
  <si>
    <t>DURAIMURUGAN NAGARAJAN</t>
  </si>
  <si>
    <t>JEYASELAN P</t>
  </si>
  <si>
    <t>BALAMURUGAN AYYADURAI</t>
  </si>
  <si>
    <t xml:space="preserve">Car Driver </t>
  </si>
  <si>
    <t>TOTAL</t>
  </si>
  <si>
    <t>SUNDARI JEYARAM</t>
  </si>
  <si>
    <t>Conductor</t>
  </si>
  <si>
    <t>S CHITRA</t>
  </si>
  <si>
    <t>GNANAMANI SANKARALINGAM</t>
  </si>
  <si>
    <t>SANTHI S</t>
  </si>
  <si>
    <t>KALEESWARI RAJA</t>
  </si>
  <si>
    <t>VAIRAMANI S/O BOSE</t>
  </si>
  <si>
    <t>Child Safety Officer</t>
  </si>
  <si>
    <t>Security Officer</t>
  </si>
  <si>
    <t>MOHAMED ALI JINNA A</t>
  </si>
  <si>
    <t>AYYANAR P</t>
  </si>
  <si>
    <t>AMARAVALLI W/O RAJANGAM</t>
  </si>
  <si>
    <t>Janitor</t>
  </si>
  <si>
    <t>PARVATHI W/O MUTHAIAH</t>
  </si>
  <si>
    <t>UMARANI B</t>
  </si>
  <si>
    <t>PANJU T</t>
  </si>
  <si>
    <t>MD Maid</t>
  </si>
  <si>
    <t>House keeper</t>
  </si>
  <si>
    <t>ECA Staff - Regular Salary</t>
  </si>
  <si>
    <t>Chef</t>
  </si>
  <si>
    <t>Hostel Warden</t>
  </si>
  <si>
    <t xml:space="preserve">Joint director Admin </t>
  </si>
  <si>
    <t>PRO</t>
  </si>
  <si>
    <t>Gross  Salary</t>
  </si>
  <si>
    <t xml:space="preserve">Total No.of Classes </t>
  </si>
  <si>
    <t>No.of days Leave</t>
  </si>
  <si>
    <t>Advance Total</t>
  </si>
  <si>
    <t>Advance  Deduction</t>
  </si>
  <si>
    <t>To be Deducted</t>
  </si>
  <si>
    <t>Leave Deduction Amt</t>
  </si>
  <si>
    <t>Other Deductions</t>
  </si>
  <si>
    <t>R BALACHANDER</t>
  </si>
  <si>
    <t>Western Dance</t>
  </si>
  <si>
    <t>ARAVINDHU PASHWAN VELAYUTHAM</t>
  </si>
  <si>
    <t>Guitar</t>
  </si>
  <si>
    <t>Silambam</t>
  </si>
  <si>
    <t>Karate</t>
  </si>
  <si>
    <t>Other Allowance</t>
  </si>
  <si>
    <t>Classes Taken</t>
  </si>
  <si>
    <t>Per Day Salary</t>
  </si>
  <si>
    <t>No. Of Leaves</t>
  </si>
  <si>
    <t>Leave Deductions</t>
  </si>
  <si>
    <t>Total Deductions</t>
  </si>
  <si>
    <t>I PRADEEP CHRISTOPHER</t>
  </si>
  <si>
    <t>French</t>
  </si>
  <si>
    <t>NEFT</t>
  </si>
  <si>
    <t>DHARANI W/O SRINIVAS</t>
  </si>
  <si>
    <t>ARCHANAA W/O KARTHIKEYAN</t>
  </si>
  <si>
    <t xml:space="preserve">IT </t>
  </si>
  <si>
    <t>No. of Leaves</t>
  </si>
  <si>
    <t>ARUNKANTH MURUGAN</t>
  </si>
  <si>
    <t>Table Tennis</t>
  </si>
  <si>
    <t>Chandrashekaran</t>
  </si>
  <si>
    <t>Chemistry</t>
  </si>
  <si>
    <t>Cash</t>
  </si>
  <si>
    <t>Physics</t>
  </si>
  <si>
    <t>Sudha</t>
  </si>
  <si>
    <t>Biology</t>
  </si>
  <si>
    <t>DANIEL MERWIN SELVARAJ</t>
  </si>
  <si>
    <t>Skatting Coach</t>
  </si>
  <si>
    <t>Thirubuvan</t>
  </si>
  <si>
    <t>Vasantha Kumar.G</t>
  </si>
  <si>
    <t>Total Hours Taken</t>
  </si>
  <si>
    <t>Conveyance Allowance</t>
  </si>
  <si>
    <t>Maths</t>
  </si>
  <si>
    <t>Per hour 1000</t>
  </si>
  <si>
    <t>Kumar</t>
  </si>
  <si>
    <t>Rifle</t>
  </si>
  <si>
    <t>Assistant - Public Relations Officer</t>
  </si>
  <si>
    <t>Payable salary</t>
  </si>
  <si>
    <t>Joint Director-Admin</t>
  </si>
  <si>
    <t>No. of Days Present</t>
  </si>
  <si>
    <t>Panneer chellam. K</t>
  </si>
  <si>
    <t>Salary. Actuals
[Gross Salary - Leave Deduction]</t>
  </si>
  <si>
    <t>Permissions. Actuals</t>
  </si>
  <si>
    <t>Absent / Suspension. Actuals</t>
  </si>
  <si>
    <t>Total Leave days. Actuals</t>
  </si>
  <si>
    <t>ESI 
[0.75% of Salary. Actuals]</t>
  </si>
  <si>
    <t>ESI 
[3.25% of Salary. Actuals]</t>
  </si>
  <si>
    <t>Murugeshwari</t>
  </si>
  <si>
    <t>Rabi Ahamad</t>
  </si>
  <si>
    <t>Mahalingam</t>
  </si>
  <si>
    <t>Exceeding Casual Leave taken
for this month / Memo issued</t>
  </si>
  <si>
    <t xml:space="preserve">Proper Casual Leave taken
for this month </t>
  </si>
  <si>
    <t>Dr Beena</t>
  </si>
  <si>
    <t>L &amp; OD Consultant</t>
  </si>
  <si>
    <t>Special Deductions [Telephone Bill + healthcheck up + Uniform + Trainings etc]</t>
  </si>
  <si>
    <t>Part Time Admin</t>
  </si>
  <si>
    <t>Leave / other Deductions</t>
  </si>
  <si>
    <t>Other Deduction</t>
  </si>
  <si>
    <t xml:space="preserve"> Special Deductions</t>
  </si>
  <si>
    <t xml:space="preserve">Per hour 1000. </t>
  </si>
  <si>
    <t>Payable Gross Salary</t>
  </si>
  <si>
    <t>Gross Salalry</t>
  </si>
  <si>
    <t>Assistant Vice Principal Kinder Garten / PRT-English</t>
  </si>
  <si>
    <t>Per hour 1050</t>
  </si>
  <si>
    <t xml:space="preserve"> AEP - Coordination</t>
  </si>
  <si>
    <t>Coordinator (Gr6-8)/ SGT - Maths</t>
  </si>
  <si>
    <t>Facilitator(KG)/ Nursery Trained Teacher</t>
  </si>
  <si>
    <t>Executive Assistant to JD Admin</t>
  </si>
  <si>
    <t>Special Deduction</t>
  </si>
  <si>
    <t>Current Month deduction</t>
  </si>
  <si>
    <t>Pending Deduction</t>
  </si>
  <si>
    <t xml:space="preserve">Per hour 1200 + Conveyance allowance Per day 750 . </t>
  </si>
  <si>
    <t>Thiribuvan</t>
  </si>
  <si>
    <t>1750059000000054</t>
  </si>
  <si>
    <t>1750059000000066</t>
  </si>
  <si>
    <t>1750059000000080</t>
  </si>
  <si>
    <t>1750059000000196</t>
  </si>
  <si>
    <t>1750059000000231</t>
  </si>
  <si>
    <t>1750059000000281</t>
  </si>
  <si>
    <t>1750059000000302</t>
  </si>
  <si>
    <t>1750060000000153</t>
  </si>
  <si>
    <t>1750060000000200</t>
  </si>
  <si>
    <t>1750060000000330</t>
  </si>
  <si>
    <t>1750060000000380</t>
  </si>
  <si>
    <t>1750060000000451</t>
  </si>
  <si>
    <t>1750060000000522</t>
  </si>
  <si>
    <t>1750060000000602</t>
  </si>
  <si>
    <t>1750060000000711</t>
  </si>
  <si>
    <t>1750060000000768</t>
  </si>
  <si>
    <t>1750060000000791</t>
  </si>
  <si>
    <t>1750060000000508</t>
  </si>
  <si>
    <t>1750060000000886</t>
  </si>
  <si>
    <t>1750060000001014</t>
  </si>
  <si>
    <t>1750060000000106</t>
  </si>
  <si>
    <t>1750060000001170</t>
  </si>
  <si>
    <t>1750060000001203</t>
  </si>
  <si>
    <t>1750061000000064</t>
  </si>
  <si>
    <t>1750061000000090</t>
  </si>
  <si>
    <t>1750061000000102</t>
  </si>
  <si>
    <t>1750061000000170</t>
  </si>
  <si>
    <t>1750061000000220</t>
  </si>
  <si>
    <t>1750061000000241</t>
  </si>
  <si>
    <t>1750061000000289</t>
  </si>
  <si>
    <t>1750061000000348</t>
  </si>
  <si>
    <t>1750061000000362</t>
  </si>
  <si>
    <t>1750061000000371</t>
  </si>
  <si>
    <t>1750061000000383</t>
  </si>
  <si>
    <t>1750061000000419</t>
  </si>
  <si>
    <t>1750062000000010</t>
  </si>
  <si>
    <t>1750062000000072</t>
  </si>
  <si>
    <t>1750063000000016</t>
  </si>
  <si>
    <t>Creative space</t>
  </si>
  <si>
    <t>Jeyabal J</t>
  </si>
  <si>
    <t>Niveth Oliviya</t>
  </si>
  <si>
    <t>M Vijay</t>
  </si>
  <si>
    <t xml:space="preserve">     HR Manager                                                                           Director Academics                                                                                                          Finance Manager</t>
  </si>
  <si>
    <t>Already Paid</t>
  </si>
  <si>
    <t>Pangajam</t>
  </si>
  <si>
    <t xml:space="preserve">Per hour 1200+Conveyance allowance Per day 100 . </t>
  </si>
  <si>
    <t>1105155000093166</t>
  </si>
  <si>
    <t>1750060000001274</t>
  </si>
  <si>
    <t>Bala Krishnan</t>
  </si>
  <si>
    <t>Proper Casual Leave already
taken for this year till date</t>
  </si>
  <si>
    <t>1750060000002726</t>
  </si>
  <si>
    <t>1750060000002752</t>
  </si>
  <si>
    <t>BHARANI JAYAKUMAR</t>
  </si>
  <si>
    <t>1750060000001298</t>
  </si>
  <si>
    <t>6000 - For handling Grade 1 maths from October 2025</t>
  </si>
  <si>
    <t>EA to DA</t>
  </si>
  <si>
    <t>Salary Adv Pg.No: 59 &amp; 7.</t>
  </si>
  <si>
    <t>Thanu Prakash</t>
  </si>
  <si>
    <t>J RAJA  / Chandra</t>
  </si>
  <si>
    <t>1750060000001357</t>
  </si>
  <si>
    <t>1750060000001312</t>
  </si>
  <si>
    <t>1750060000001345</t>
  </si>
  <si>
    <t>Part Time - Academics</t>
  </si>
  <si>
    <t xml:space="preserve">Academics Staff  </t>
  </si>
  <si>
    <t xml:space="preserve">Relieved Academics </t>
  </si>
  <si>
    <t xml:space="preserve">Relieved Admin </t>
  </si>
  <si>
    <t>Salary revised from Rs 45,000 to Rs, 35,000</t>
  </si>
  <si>
    <t>Rajasekaran</t>
  </si>
  <si>
    <t>Salary Adv Note: 4Pg.No: 30</t>
  </si>
  <si>
    <t>J RAJA / Amutheswaran</t>
  </si>
  <si>
    <t>Salary Actuals
[Gross Salary - Leave Deduction]</t>
  </si>
  <si>
    <t xml:space="preserve">  HR Manager                                                                                   Director Academics                                                         Finance Manager</t>
  </si>
  <si>
    <t>Gajendra prabhu</t>
  </si>
  <si>
    <t>1500 Per hour.</t>
  </si>
  <si>
    <t>1200 Per hour.</t>
  </si>
  <si>
    <t>1050 Per hour.</t>
  </si>
  <si>
    <t>1750060000002123</t>
  </si>
  <si>
    <t>1750155000050628</t>
  </si>
  <si>
    <t>5000 - For handling  Grade 2 and 3 english.</t>
  </si>
  <si>
    <t xml:space="preserve">(Actual classes to be planned 8 days * 8 periods = 64 periods for each) Per period Rs 450 </t>
  </si>
  <si>
    <t>0.5 leave  considered as he/she worked on  20..01.2026 &amp;  24..01.2026</t>
  </si>
  <si>
    <t>Classes taken /        Days reported</t>
  </si>
  <si>
    <t>1750060000001605</t>
  </si>
  <si>
    <t>As per MD's instruction,  salary will be paid  based on the no. of working days which will be given by Mr. Sounder  and it should be acknowledged by 
Ms Sivaranjani.</t>
  </si>
  <si>
    <t>TOP SHEET - SALARY STATEMENT FEBRUARY 2026</t>
  </si>
  <si>
    <t>ACADEMICS - SALARY STATEMENT FEBRUARY 2026</t>
  </si>
  <si>
    <t>ADMIN - SALARY STATEMENT FEBRUARY 2026</t>
  </si>
  <si>
    <t>DRIVERS - SALARY STATEMENT FEBRUARY 2026</t>
  </si>
  <si>
    <t>CONDUCTORS - SALARY STATEMENT FEBRUARY 2026</t>
  </si>
  <si>
    <t>SECURITIES - SALARY STATEMENT FEBRUARY 2026</t>
  </si>
  <si>
    <t>HOUSE KEEPING - SALARY STATEMENT FEBRUARY 2026</t>
  </si>
  <si>
    <t>HOSTEL - SALARY STATEMENT FEBRUARY 2026</t>
  </si>
  <si>
    <t>ECA REGULAR - SALARY STATEMENT FEBRUARY 2026</t>
  </si>
  <si>
    <t>ACADEMICS PART TIME - SALARY STATEMENT FEBRUARY 2026</t>
  </si>
  <si>
    <t>ACADEMICS AND ECA - SPECIAL - SALARY STATEMENT FEBRUARY 2026</t>
  </si>
  <si>
    <t>THENI UPPARPATTI - SALARY STATEMENT FEBRUARY 2026</t>
  </si>
  <si>
    <t>AEP - SALARY STATEMENT FEBRUARY 2026</t>
  </si>
  <si>
    <t>RIFLE SHOOTING  - SALARY STATEMENT FEBRUARY 2026</t>
  </si>
  <si>
    <t>ADMIN PART TIME - SALARY STATEMENT FEBRUARY 2026</t>
  </si>
  <si>
    <t>ACADEMICS RELIEVED- SALARY STATEMENT FEBRUARY 2026</t>
  </si>
  <si>
    <t>ADMIN RELIEVED - SALARY STATEMENT FEBRUARY 2026</t>
  </si>
  <si>
    <t>Akshaya Shree</t>
  </si>
  <si>
    <t>2 lates considered for late closure. 5 days considered exceeding CL as per MD's instrucction(She was not allowed to report to the school)</t>
  </si>
  <si>
    <t xml:space="preserve">2  lates considered for late closure. </t>
  </si>
  <si>
    <t xml:space="preserve">2024 &amp; 2025 increment Rs. 10,000 will be reflected in Theni salary - MD's instruction. 5 lates considered for late closure. </t>
  </si>
  <si>
    <t>Relieved on 09.02.2026. Need to pay</t>
  </si>
  <si>
    <t>Whole month not reported due to health issues.</t>
  </si>
  <si>
    <t xml:space="preserve">Whole month not reported  </t>
  </si>
  <si>
    <t xml:space="preserve"> Long leave due to husband demise.</t>
  </si>
  <si>
    <t xml:space="preserve"> As per MD's instruction per month she is eligible for 3 CL. </t>
  </si>
  <si>
    <t xml:space="preserve">Whole month noy reported. </t>
  </si>
  <si>
    <t>Salary Adv Note: 4Pg.No: 25. 1 memo issued.</t>
  </si>
  <si>
    <t xml:space="preserve">5,000 will be given as cash. Salary Adv Note :4 Pg No. 19 </t>
  </si>
  <si>
    <t>Uniform 6/6 instalment  deducted. Suspended on 09.01.2026. 17 lates considered for late closure.  Relieved on 28.02.2026. Need to pay.</t>
  </si>
  <si>
    <t>Nursery Trained Teacher
Intern</t>
  </si>
  <si>
    <t>Leave on 04.02.2026</t>
  </si>
  <si>
    <t>DOJ : 02.02.2026. Gross Salary : Rs 7,000 (March and April). Dropped her resignation on 28.02.2026. 
DA instruction to witheld the salary.</t>
  </si>
  <si>
    <t xml:space="preserve">March '2026 Salary paid in February 2026 Statement. </t>
  </si>
  <si>
    <t>Reliieved on 11.02.2026</t>
  </si>
  <si>
    <r>
      <t xml:space="preserve">Special Deductions </t>
    </r>
    <r>
      <rPr>
        <b/>
        <sz val="12"/>
        <rFont val="Calibri Light"/>
        <family val="2"/>
        <scheme val="major"/>
      </rPr>
      <t>[Telephone Bill + healthcheck up + Uniform + Trainings etc]</t>
    </r>
  </si>
  <si>
    <r>
      <t xml:space="preserve">ESI </t>
    </r>
    <r>
      <rPr>
        <b/>
        <sz val="12"/>
        <rFont val="Calibri Light (Headings)"/>
      </rPr>
      <t xml:space="preserve">
[0.75% of Salary.Actuals]</t>
    </r>
  </si>
  <si>
    <r>
      <t>Special Deductions</t>
    </r>
    <r>
      <rPr>
        <b/>
        <sz val="12"/>
        <rFont val="Calibri Light"/>
        <family val="2"/>
        <scheme val="major"/>
      </rPr>
      <t xml:space="preserve"> [Telephone Bill + healthcheck up + Uniform + Trainings etc]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</si>
</sst>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_ ;_ * \-#,##0_ ;_ * &quot;-&quot;_ ;_ @_ "/>
    <numFmt numFmtId="165" formatCode="_ * #,##0.00_ ;_ * \-#,##0.00_ ;_ * &quot;-&quot;??_ ;_ @_ "/>
    <numFmt numFmtId="166" formatCode="_ * #,##0_ ;_ * \-#,##0_ ;_ * &quot;-&quot;??_ ;_ @_ "/>
    <numFmt numFmtId="169" formatCode="_ * #,##0.0_ ;_ * \-#,##0.0_ ;_ * &quot;-&quot;??_ ;_ @_ "/>
    <numFmt numFmtId="170" formatCode="0.0"/>
    <numFmt numFmtId="171" formatCode="#,##0.0"/>
  </numFmts>
  <fonts count="54">
    <font>
      <sz val="11"/>
      <color theme="1"/>
      <name val="Calibri"/>
      <charset val="134"/>
      <scheme val="minor"/>
    </font>
    <font>
      <b/>
      <sz val="10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92D050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name val="Verdana"/>
      <family val="2"/>
    </font>
    <font>
      <b/>
      <sz val="18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name val="Calibri Light"/>
      <family val="2"/>
      <scheme val="major"/>
    </font>
    <font>
      <b/>
      <sz val="16"/>
      <name val="Calibri Light"/>
      <family val="2"/>
      <scheme val="major"/>
    </font>
    <font>
      <sz val="10"/>
      <name val="Verdana"/>
      <family val="2"/>
    </font>
    <font>
      <b/>
      <sz val="22"/>
      <name val="Calibri Light"/>
      <family val="2"/>
      <scheme val="major"/>
    </font>
    <font>
      <b/>
      <sz val="22"/>
      <color theme="1"/>
      <name val="Calibri Light"/>
      <family val="2"/>
      <scheme val="major"/>
    </font>
    <font>
      <sz val="13.5"/>
      <color theme="1"/>
      <name val="Calibri Light"/>
      <family val="2"/>
      <scheme val="major"/>
    </font>
    <font>
      <b/>
      <sz val="12"/>
      <color theme="1"/>
      <name val="Verdana"/>
      <family val="2"/>
    </font>
    <font>
      <sz val="13.5"/>
      <color theme="1"/>
      <name val="Calibri Light (Body)"/>
    </font>
    <font>
      <sz val="13.5"/>
      <color theme="1"/>
      <name val="Calibri Light"/>
      <family val="2"/>
    </font>
    <font>
      <sz val="12"/>
      <color theme="1"/>
      <name val="Calibri Light (Body)"/>
    </font>
    <font>
      <b/>
      <sz val="10"/>
      <color rgb="FF92D050"/>
      <name val="Verdana"/>
      <family val="2"/>
    </font>
    <font>
      <sz val="12"/>
      <color rgb="FF92D050"/>
      <name val="Calibri Light"/>
      <family val="2"/>
      <scheme val="major"/>
    </font>
    <font>
      <b/>
      <sz val="12"/>
      <color rgb="FF92D050"/>
      <name val="Verdana"/>
      <family val="2"/>
    </font>
    <font>
      <sz val="13.5"/>
      <color rgb="FF92D050"/>
      <name val="Calibri Light (Body)"/>
    </font>
    <font>
      <b/>
      <sz val="9"/>
      <color theme="1"/>
      <name val="Calibri Light"/>
      <family val="2"/>
      <scheme val="major"/>
    </font>
    <font>
      <sz val="16"/>
      <color rgb="FF92D050"/>
      <name val="Calibri Light"/>
      <family val="2"/>
      <scheme val="major"/>
    </font>
    <font>
      <b/>
      <sz val="16"/>
      <color rgb="FF92D050"/>
      <name val="Verdana"/>
      <family val="2"/>
    </font>
    <font>
      <sz val="16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3.5"/>
      <color rgb="FF92D050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14"/>
      <color rgb="FF92D050"/>
      <name val="Calibri Light (Body)"/>
    </font>
    <font>
      <sz val="14"/>
      <color theme="9" tint="0.39997558519241921"/>
      <name val="Calibri Light"/>
      <family val="2"/>
      <scheme val="major"/>
    </font>
    <font>
      <b/>
      <sz val="10"/>
      <color theme="9" tint="0.39997558519241921"/>
      <name val="Verdana"/>
      <family val="2"/>
    </font>
    <font>
      <sz val="16"/>
      <color theme="9" tint="0.39997558519241921"/>
      <name val="Calibri Light"/>
      <family val="2"/>
      <scheme val="major"/>
    </font>
    <font>
      <b/>
      <sz val="16"/>
      <color theme="9" tint="0.39997558519241921"/>
      <name val="Verdana"/>
      <family val="2"/>
    </font>
    <font>
      <sz val="12"/>
      <color theme="9" tint="0.39997558519241921"/>
      <name val="Calibri Light"/>
      <family val="2"/>
      <scheme val="major"/>
    </font>
    <font>
      <sz val="10"/>
      <name val="Calibri Light"/>
      <family val="2"/>
      <scheme val="major"/>
    </font>
    <font>
      <b/>
      <sz val="13"/>
      <name val="Calibri Light"/>
      <family val="2"/>
      <scheme val="major"/>
    </font>
    <font>
      <sz val="13.5"/>
      <name val="Calibri Light"/>
      <family val="2"/>
      <scheme val="major"/>
    </font>
    <font>
      <b/>
      <sz val="12"/>
      <name val="Verdana"/>
      <family val="2"/>
    </font>
    <font>
      <b/>
      <sz val="13.5"/>
      <name val="Calibri Light"/>
      <family val="2"/>
      <scheme val="major"/>
    </font>
    <font>
      <b/>
      <sz val="12"/>
      <name val="Calibri Light (Headings)"/>
    </font>
    <font>
      <b/>
      <sz val="20"/>
      <name val="Calibri Light"/>
      <family val="2"/>
      <scheme val="major"/>
    </font>
    <font>
      <b/>
      <sz val="2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8" fillId="0" borderId="0" applyFont="0" applyFill="0" applyBorder="0" applyAlignment="0" applyProtection="0"/>
    <xf numFmtId="0" fontId="8" fillId="0" borderId="0"/>
  </cellStyleXfs>
  <cellXfs count="62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textRotation="90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 vertical="center"/>
    </xf>
    <xf numFmtId="1" fontId="2" fillId="3" borderId="15" xfId="1" applyNumberFormat="1" applyFont="1" applyFill="1" applyBorder="1" applyAlignment="1"/>
    <xf numFmtId="1" fontId="2" fillId="3" borderId="17" xfId="1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166" fontId="3" fillId="0" borderId="23" xfId="1" applyNumberFormat="1" applyFont="1" applyFill="1" applyBorder="1" applyAlignment="1">
      <alignment horizontal="center" vertical="center"/>
    </xf>
    <xf numFmtId="166" fontId="3" fillId="0" borderId="23" xfId="1" applyNumberFormat="1" applyFont="1" applyFill="1" applyBorder="1" applyAlignment="1">
      <alignment horizontal="center" vertical="center" wrapText="1"/>
    </xf>
    <xf numFmtId="166" fontId="1" fillId="0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171" fontId="1" fillId="0" borderId="8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/>
    </xf>
    <xf numFmtId="170" fontId="3" fillId="3" borderId="0" xfId="0" applyNumberFormat="1" applyFont="1" applyFill="1" applyAlignment="1">
      <alignment horizontal="center" vertical="center"/>
    </xf>
    <xf numFmtId="169" fontId="3" fillId="3" borderId="0" xfId="1" applyNumberFormat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right" vertical="center" wrapText="1"/>
    </xf>
    <xf numFmtId="0" fontId="6" fillId="3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3" fillId="4" borderId="1" xfId="1" applyNumberFormat="1" applyFont="1" applyFill="1" applyBorder="1" applyAlignment="1">
      <alignment vertical="center" wrapText="1"/>
    </xf>
    <xf numFmtId="166" fontId="3" fillId="4" borderId="1" xfId="1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66" fontId="1" fillId="3" borderId="1" xfId="1" applyNumberFormat="1" applyFont="1" applyFill="1" applyBorder="1" applyAlignment="1">
      <alignment vertical="center" wrapText="1"/>
    </xf>
    <xf numFmtId="0" fontId="1" fillId="3" borderId="37" xfId="0" applyFont="1" applyFill="1" applyBorder="1" applyAlignment="1">
      <alignment horizontal="center" vertical="center" wrapText="1"/>
    </xf>
    <xf numFmtId="166" fontId="3" fillId="3" borderId="38" xfId="1" applyNumberFormat="1" applyFont="1" applyFill="1" applyBorder="1" applyAlignment="1">
      <alignment horizontal="center" vertical="center" wrapText="1"/>
    </xf>
    <xf numFmtId="166" fontId="3" fillId="3" borderId="2" xfId="1" applyNumberFormat="1" applyFont="1" applyFill="1" applyBorder="1" applyAlignment="1">
      <alignment horizontal="center" vertical="center" wrapText="1"/>
    </xf>
    <xf numFmtId="166" fontId="3" fillId="3" borderId="2" xfId="1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wrapText="1"/>
    </xf>
    <xf numFmtId="0" fontId="2" fillId="3" borderId="31" xfId="0" applyFont="1" applyFill="1" applyBorder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1" fillId="3" borderId="8" xfId="1" applyNumberFormat="1" applyFont="1" applyFill="1" applyBorder="1" applyAlignment="1">
      <alignment vertical="center" wrapText="1"/>
    </xf>
    <xf numFmtId="1" fontId="1" fillId="3" borderId="0" xfId="0" applyNumberFormat="1" applyFont="1" applyFill="1" applyAlignment="1">
      <alignment horizontal="right" vertical="center" wrapText="1"/>
    </xf>
    <xf numFmtId="164" fontId="1" fillId="3" borderId="39" xfId="0" applyNumberFormat="1" applyFont="1" applyFill="1" applyBorder="1" applyAlignment="1">
      <alignment horizontal="center" vertical="center" wrapText="1"/>
    </xf>
    <xf numFmtId="164" fontId="1" fillId="3" borderId="1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166" fontId="5" fillId="3" borderId="1" xfId="1" applyNumberFormat="1" applyFont="1" applyFill="1" applyBorder="1" applyAlignment="1">
      <alignment horizontal="center" vertical="center" wrapText="1"/>
    </xf>
    <xf numFmtId="166" fontId="5" fillId="3" borderId="13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166" fontId="11" fillId="3" borderId="1" xfId="1" applyNumberFormat="1" applyFont="1" applyFill="1" applyBorder="1" applyAlignment="1">
      <alignment horizontal="center" vertical="center" wrapText="1"/>
    </xf>
    <xf numFmtId="171" fontId="11" fillId="3" borderId="8" xfId="0" applyNumberFormat="1" applyFont="1" applyFill="1" applyBorder="1" applyAlignment="1">
      <alignment horizontal="center" vertical="center" wrapText="1"/>
    </xf>
    <xf numFmtId="1" fontId="2" fillId="3" borderId="15" xfId="1" applyNumberFormat="1" applyFont="1" applyFill="1" applyBorder="1" applyAlignment="1">
      <alignment horizontal="center" wrapText="1"/>
    </xf>
    <xf numFmtId="0" fontId="2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2" fillId="3" borderId="31" xfId="0" applyFont="1" applyFill="1" applyBorder="1" applyAlignment="1">
      <alignment wrapText="1"/>
    </xf>
    <xf numFmtId="0" fontId="12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5" fillId="5" borderId="1" xfId="0" applyFont="1" applyFill="1" applyBorder="1" applyAlignment="1">
      <alignment horizontal="center" vertical="center" textRotation="90" wrapText="1"/>
    </xf>
    <xf numFmtId="169" fontId="5" fillId="5" borderId="1" xfId="0" applyNumberFormat="1" applyFont="1" applyFill="1" applyBorder="1" applyAlignment="1">
      <alignment horizontal="center" vertical="center" textRotation="90" wrapText="1"/>
    </xf>
    <xf numFmtId="0" fontId="5" fillId="5" borderId="1" xfId="0" applyFont="1" applyFill="1" applyBorder="1" applyAlignment="1">
      <alignment horizontal="center" vertical="center"/>
    </xf>
    <xf numFmtId="169" fontId="5" fillId="6" borderId="1" xfId="0" applyNumberFormat="1" applyFont="1" applyFill="1" applyBorder="1" applyAlignment="1">
      <alignment horizontal="center" vertical="center" wrapText="1"/>
    </xf>
    <xf numFmtId="169" fontId="5" fillId="4" borderId="1" xfId="0" applyNumberFormat="1" applyFont="1" applyFill="1" applyBorder="1" applyAlignment="1">
      <alignment horizontal="center" vertical="center" wrapText="1"/>
    </xf>
    <xf numFmtId="169" fontId="5" fillId="5" borderId="1" xfId="0" applyNumberFormat="1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textRotation="90" wrapText="1"/>
    </xf>
    <xf numFmtId="0" fontId="13" fillId="5" borderId="1" xfId="0" applyFont="1" applyFill="1" applyBorder="1" applyAlignment="1">
      <alignment horizontal="center" vertical="center" textRotation="90" wrapText="1"/>
    </xf>
    <xf numFmtId="169" fontId="13" fillId="5" borderId="1" xfId="0" applyNumberFormat="1" applyFont="1" applyFill="1" applyBorder="1" applyAlignment="1">
      <alignment horizontal="center" vertical="center" textRotation="90" wrapText="1"/>
    </xf>
    <xf numFmtId="169" fontId="13" fillId="6" borderId="1" xfId="0" applyNumberFormat="1" applyFont="1" applyFill="1" applyBorder="1" applyAlignment="1">
      <alignment horizontal="center" vertical="center" wrapText="1"/>
    </xf>
    <xf numFmtId="169" fontId="13" fillId="4" borderId="1" xfId="0" applyNumberFormat="1" applyFont="1" applyFill="1" applyBorder="1" applyAlignment="1">
      <alignment horizontal="center" vertical="center" wrapText="1"/>
    </xf>
    <xf numFmtId="169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166" fontId="13" fillId="3" borderId="1" xfId="1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1" fontId="14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1" fontId="14" fillId="3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textRotation="90" wrapText="1"/>
    </xf>
    <xf numFmtId="1" fontId="14" fillId="3" borderId="0" xfId="0" applyNumberFormat="1" applyFont="1" applyFill="1" applyAlignment="1">
      <alignment horizontal="center" vertical="center" textRotation="90" wrapText="1"/>
    </xf>
    <xf numFmtId="169" fontId="14" fillId="3" borderId="0" xfId="0" applyNumberFormat="1" applyFont="1" applyFill="1" applyAlignment="1">
      <alignment horizontal="center" vertical="center"/>
    </xf>
    <xf numFmtId="166" fontId="14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1" fontId="16" fillId="3" borderId="15" xfId="1" applyNumberFormat="1" applyFont="1" applyFill="1" applyBorder="1" applyAlignment="1"/>
    <xf numFmtId="0" fontId="16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textRotation="90" wrapText="1"/>
    </xf>
    <xf numFmtId="0" fontId="18" fillId="5" borderId="1" xfId="0" applyFont="1" applyFill="1" applyBorder="1" applyAlignment="1">
      <alignment horizontal="center" vertical="center" textRotation="90" wrapText="1"/>
    </xf>
    <xf numFmtId="169" fontId="18" fillId="5" borderId="1" xfId="0" applyNumberFormat="1" applyFont="1" applyFill="1" applyBorder="1" applyAlignment="1">
      <alignment horizontal="center" vertical="center" textRotation="90" wrapText="1"/>
    </xf>
    <xf numFmtId="0" fontId="18" fillId="3" borderId="0" xfId="0" applyFont="1" applyFill="1" applyAlignment="1">
      <alignment horizontal="center" vertical="center"/>
    </xf>
    <xf numFmtId="1" fontId="14" fillId="3" borderId="0" xfId="0" applyNumberFormat="1" applyFont="1" applyFill="1" applyAlignment="1">
      <alignment horizontal="center"/>
    </xf>
    <xf numFmtId="166" fontId="14" fillId="3" borderId="0" xfId="0" applyNumberFormat="1" applyFont="1" applyFill="1" applyAlignment="1">
      <alignment horizontal="center"/>
    </xf>
    <xf numFmtId="166" fontId="18" fillId="4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textRotation="90" wrapText="1"/>
    </xf>
    <xf numFmtId="0" fontId="18" fillId="8" borderId="1" xfId="0" applyFont="1" applyFill="1" applyBorder="1" applyAlignment="1">
      <alignment horizontal="center" vertical="center" textRotation="90" wrapText="1"/>
    </xf>
    <xf numFmtId="166" fontId="18" fillId="6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" fontId="19" fillId="3" borderId="8" xfId="1" applyNumberFormat="1" applyFont="1" applyFill="1" applyBorder="1" applyAlignment="1">
      <alignment horizontal="center" vertical="center" wrapText="1"/>
    </xf>
    <xf numFmtId="1" fontId="19" fillId="3" borderId="1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 wrapText="1"/>
    </xf>
    <xf numFmtId="166" fontId="20" fillId="3" borderId="0" xfId="1" applyNumberFormat="1" applyFont="1" applyFill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1" fontId="19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 vertical="center"/>
    </xf>
    <xf numFmtId="166" fontId="19" fillId="3" borderId="0" xfId="1" applyNumberFormat="1" applyFont="1" applyFill="1" applyAlignment="1">
      <alignment vertical="center"/>
    </xf>
    <xf numFmtId="1" fontId="19" fillId="3" borderId="0" xfId="0" applyNumberFormat="1" applyFont="1" applyFill="1" applyAlignment="1">
      <alignment vertical="center"/>
    </xf>
    <xf numFmtId="0" fontId="19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1" fontId="13" fillId="3" borderId="33" xfId="1" applyNumberFormat="1" applyFont="1" applyFill="1" applyBorder="1" applyAlignment="1">
      <alignment horizontal="left" vertical="center"/>
    </xf>
    <xf numFmtId="1" fontId="13" fillId="3" borderId="3" xfId="1" applyNumberFormat="1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wrapText="1"/>
    </xf>
    <xf numFmtId="1" fontId="22" fillId="3" borderId="0" xfId="0" applyNumberFormat="1" applyFont="1" applyFill="1" applyAlignment="1">
      <alignment horizontal="center" wrapText="1"/>
    </xf>
    <xf numFmtId="1" fontId="18" fillId="3" borderId="3" xfId="0" applyNumberFormat="1" applyFont="1" applyFill="1" applyBorder="1" applyAlignment="1">
      <alignment horizontal="center" vertical="center"/>
    </xf>
    <xf numFmtId="1" fontId="18" fillId="3" borderId="3" xfId="0" applyNumberFormat="1" applyFont="1" applyFill="1" applyBorder="1" applyAlignment="1">
      <alignment horizontal="center" vertical="center" wrapText="1"/>
    </xf>
    <xf numFmtId="1" fontId="18" fillId="3" borderId="3" xfId="0" applyNumberFormat="1" applyFont="1" applyFill="1" applyBorder="1" applyAlignment="1">
      <alignment horizontal="center" vertical="center" textRotation="90" wrapText="1"/>
    </xf>
    <xf numFmtId="169" fontId="2" fillId="6" borderId="1" xfId="0" applyNumberFormat="1" applyFont="1" applyFill="1" applyBorder="1" applyAlignment="1">
      <alignment horizontal="center" vertical="center" wrapText="1"/>
    </xf>
    <xf numFmtId="169" fontId="2" fillId="4" borderId="1" xfId="0" applyNumberFormat="1" applyFont="1" applyFill="1" applyBorder="1" applyAlignment="1">
      <alignment horizontal="center" vertical="center" wrapText="1"/>
    </xf>
    <xf numFmtId="169" fontId="2" fillId="5" borderId="1" xfId="0" applyNumberFormat="1" applyFont="1" applyFill="1" applyBorder="1" applyAlignment="1">
      <alignment horizontal="center" vertical="center" wrapText="1"/>
    </xf>
    <xf numFmtId="1" fontId="5" fillId="3" borderId="0" xfId="0" applyNumberFormat="1" applyFont="1" applyFill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1" fillId="5" borderId="1" xfId="0" applyFont="1" applyFill="1" applyBorder="1" applyAlignment="1">
      <alignment horizontal="center" vertical="center" textRotation="90" wrapText="1"/>
    </xf>
    <xf numFmtId="166" fontId="5" fillId="6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textRotation="90" wrapText="1"/>
    </xf>
    <xf numFmtId="1" fontId="5" fillId="3" borderId="0" xfId="0" applyNumberFormat="1" applyFont="1" applyFill="1" applyAlignment="1">
      <alignment horizontal="center" vertical="center" textRotation="90" wrapText="1"/>
    </xf>
    <xf numFmtId="1" fontId="23" fillId="3" borderId="15" xfId="1" applyNumberFormat="1" applyFont="1" applyFill="1" applyBorder="1" applyAlignment="1"/>
    <xf numFmtId="1" fontId="23" fillId="3" borderId="0" xfId="0" applyNumberFormat="1" applyFont="1" applyFill="1" applyAlignment="1">
      <alignment horizontal="center" vertical="center"/>
    </xf>
    <xf numFmtId="166" fontId="23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30" fillId="3" borderId="0" xfId="0" applyFont="1" applyFill="1" applyAlignment="1">
      <alignment vertical="center"/>
    </xf>
    <xf numFmtId="169" fontId="4" fillId="3" borderId="3" xfId="1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170" fontId="4" fillId="3" borderId="0" xfId="0" applyNumberFormat="1" applyFont="1" applyFill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textRotation="90" wrapText="1"/>
    </xf>
    <xf numFmtId="166" fontId="24" fillId="3" borderId="1" xfId="1" applyNumberFormat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5" fillId="0" borderId="3" xfId="0" quotePrefix="1" applyFont="1" applyBorder="1" applyAlignment="1">
      <alignment horizontal="center" vertical="center"/>
    </xf>
    <xf numFmtId="1" fontId="34" fillId="0" borderId="0" xfId="0" applyNumberFormat="1" applyFont="1" applyAlignment="1">
      <alignment horizontal="center" vertical="center" wrapText="1"/>
    </xf>
    <xf numFmtId="0" fontId="29" fillId="12" borderId="3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166" fontId="27" fillId="3" borderId="1" xfId="1" applyNumberFormat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 wrapText="1"/>
    </xf>
    <xf numFmtId="0" fontId="36" fillId="3" borderId="1" xfId="0" applyFont="1" applyFill="1" applyBorder="1" applyAlignment="1">
      <alignment horizontal="center" vertical="center" wrapText="1"/>
    </xf>
    <xf numFmtId="166" fontId="36" fillId="3" borderId="1" xfId="1" applyNumberFormat="1" applyFont="1" applyFill="1" applyBorder="1" applyAlignment="1">
      <alignment horizontal="center" vertical="center" wrapText="1"/>
    </xf>
    <xf numFmtId="170" fontId="36" fillId="3" borderId="1" xfId="1" applyNumberFormat="1" applyFont="1" applyFill="1" applyBorder="1" applyAlignment="1">
      <alignment horizontal="center" vertical="center" wrapText="1"/>
    </xf>
    <xf numFmtId="171" fontId="7" fillId="3" borderId="8" xfId="0" applyNumberFormat="1" applyFont="1" applyFill="1" applyBorder="1" applyAlignment="1">
      <alignment horizontal="center" vertical="center" wrapText="1"/>
    </xf>
    <xf numFmtId="1" fontId="23" fillId="3" borderId="28" xfId="1" applyNumberFormat="1" applyFont="1" applyFill="1" applyBorder="1" applyAlignment="1">
      <alignment horizontal="center" wrapText="1"/>
    </xf>
    <xf numFmtId="0" fontId="7" fillId="3" borderId="34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 wrapText="1"/>
    </xf>
    <xf numFmtId="166" fontId="7" fillId="3" borderId="35" xfId="1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 wrapText="1"/>
    </xf>
    <xf numFmtId="3" fontId="36" fillId="3" borderId="1" xfId="0" applyNumberFormat="1" applyFont="1" applyFill="1" applyBorder="1" applyAlignment="1">
      <alignment horizontal="center" vertical="center" wrapText="1"/>
    </xf>
    <xf numFmtId="166" fontId="36" fillId="3" borderId="1" xfId="1" applyNumberFormat="1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1" fontId="9" fillId="3" borderId="15" xfId="1" applyNumberFormat="1" applyFont="1" applyFill="1" applyBorder="1" applyAlignment="1"/>
    <xf numFmtId="1" fontId="9" fillId="3" borderId="17" xfId="1" applyNumberFormat="1" applyFont="1" applyFill="1" applyBorder="1" applyAlignment="1"/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9" fontId="4" fillId="3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1" fontId="6" fillId="3" borderId="8" xfId="1" applyNumberFormat="1" applyFont="1" applyFill="1" applyBorder="1" applyAlignment="1">
      <alignment horizontal="center" vertical="center" wrapText="1"/>
    </xf>
    <xf numFmtId="1" fontId="5" fillId="3" borderId="12" xfId="1" applyNumberFormat="1" applyFont="1" applyFill="1" applyBorder="1" applyAlignment="1">
      <alignment horizontal="center" vertical="center"/>
    </xf>
    <xf numFmtId="1" fontId="5" fillId="3" borderId="13" xfId="1" applyNumberFormat="1" applyFont="1" applyFill="1" applyBorder="1" applyAlignment="1">
      <alignment horizontal="center" vertical="center"/>
    </xf>
    <xf numFmtId="1" fontId="4" fillId="3" borderId="16" xfId="1" applyNumberFormat="1" applyFont="1" applyFill="1" applyBorder="1" applyAlignment="1">
      <alignment horizontal="center" vertical="center" wrapText="1"/>
    </xf>
    <xf numFmtId="1" fontId="9" fillId="9" borderId="15" xfId="0" applyNumberFormat="1" applyFont="1" applyFill="1" applyBorder="1"/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171" fontId="5" fillId="3" borderId="8" xfId="0" applyNumberFormat="1" applyFont="1" applyFill="1" applyBorder="1" applyAlignment="1">
      <alignment horizontal="center" vertical="center" wrapText="1"/>
    </xf>
    <xf numFmtId="166" fontId="26" fillId="3" borderId="1" xfId="1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2" applyFont="1" applyFill="1" applyBorder="1" applyAlignment="1">
      <alignment horizontal="center" vertical="center"/>
    </xf>
    <xf numFmtId="170" fontId="24" fillId="3" borderId="1" xfId="0" applyNumberFormat="1" applyFont="1" applyFill="1" applyBorder="1" applyAlignment="1">
      <alignment horizontal="center" vertical="center"/>
    </xf>
    <xf numFmtId="169" fontId="24" fillId="3" borderId="1" xfId="1" applyNumberFormat="1" applyFont="1" applyFill="1" applyBorder="1" applyAlignment="1">
      <alignment horizontal="center" vertical="center"/>
    </xf>
    <xf numFmtId="1" fontId="24" fillId="3" borderId="1" xfId="1" applyNumberFormat="1" applyFont="1" applyFill="1" applyBorder="1" applyAlignment="1">
      <alignment horizontal="center" vertical="center"/>
    </xf>
    <xf numFmtId="166" fontId="24" fillId="3" borderId="1" xfId="1" applyNumberFormat="1" applyFont="1" applyFill="1" applyBorder="1" applyAlignment="1">
      <alignment horizontal="center" vertical="center" wrapText="1"/>
    </xf>
    <xf numFmtId="166" fontId="24" fillId="3" borderId="1" xfId="1" applyNumberFormat="1" applyFont="1" applyFill="1" applyBorder="1" applyAlignment="1">
      <alignment vertical="center" wrapText="1"/>
    </xf>
    <xf numFmtId="1" fontId="26" fillId="3" borderId="1" xfId="1" applyNumberFormat="1" applyFont="1" applyFill="1" applyBorder="1" applyAlignment="1">
      <alignment horizontal="left" vertical="center"/>
    </xf>
    <xf numFmtId="1" fontId="26" fillId="3" borderId="1" xfId="1" applyNumberFormat="1" applyFont="1" applyFill="1" applyBorder="1" applyAlignment="1">
      <alignment horizontal="center" vertical="center" wrapText="1"/>
    </xf>
    <xf numFmtId="0" fontId="27" fillId="3" borderId="1" xfId="2" applyFont="1" applyFill="1" applyBorder="1" applyAlignment="1">
      <alignment horizontal="center" vertical="center"/>
    </xf>
    <xf numFmtId="166" fontId="27" fillId="3" borderId="1" xfId="1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/>
    </xf>
    <xf numFmtId="3" fontId="4" fillId="3" borderId="8" xfId="0" applyNumberFormat="1" applyFont="1" applyFill="1" applyBorder="1" applyAlignment="1">
      <alignment horizontal="center" vertical="center" wrapText="1"/>
    </xf>
    <xf numFmtId="169" fontId="4" fillId="3" borderId="1" xfId="1" applyNumberFormat="1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66" fontId="5" fillId="3" borderId="8" xfId="1" applyNumberFormat="1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166" fontId="19" fillId="3" borderId="1" xfId="1" applyNumberFormat="1" applyFont="1" applyFill="1" applyBorder="1" applyAlignment="1">
      <alignment horizontal="center" vertical="center"/>
    </xf>
    <xf numFmtId="166" fontId="19" fillId="3" borderId="1" xfId="1" applyNumberFormat="1" applyFont="1" applyFill="1" applyBorder="1" applyAlignment="1">
      <alignment horizontal="center" vertical="center" wrapText="1"/>
    </xf>
    <xf numFmtId="3" fontId="19" fillId="3" borderId="8" xfId="0" applyNumberFormat="1" applyFont="1" applyFill="1" applyBorder="1" applyAlignment="1">
      <alignment horizontal="center" vertical="center" wrapText="1"/>
    </xf>
    <xf numFmtId="0" fontId="15" fillId="3" borderId="0" xfId="0" quotePrefix="1" applyFont="1" applyFill="1" applyAlignment="1">
      <alignment horizontal="center" vertical="center"/>
    </xf>
    <xf numFmtId="3" fontId="19" fillId="3" borderId="8" xfId="0" applyNumberFormat="1" applyFont="1" applyFill="1" applyBorder="1" applyAlignment="1">
      <alignment horizontal="left" vertical="center" wrapText="1"/>
    </xf>
    <xf numFmtId="169" fontId="19" fillId="3" borderId="1" xfId="1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 wrapText="1"/>
    </xf>
    <xf numFmtId="1" fontId="21" fillId="3" borderId="3" xfId="0" quotePrefix="1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31" fillId="0" borderId="3" xfId="0" quotePrefix="1" applyFont="1" applyBorder="1" applyAlignment="1">
      <alignment horizontal="center" vertical="center"/>
    </xf>
    <xf numFmtId="166" fontId="32" fillId="3" borderId="1" xfId="1" applyNumberFormat="1" applyFont="1" applyFill="1" applyBorder="1" applyAlignment="1">
      <alignment horizontal="center" vertical="center" wrapText="1"/>
    </xf>
    <xf numFmtId="166" fontId="30" fillId="3" borderId="1" xfId="1" applyNumberFormat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166" fontId="30" fillId="3" borderId="1" xfId="1" applyNumberFormat="1" applyFont="1" applyFill="1" applyBorder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37" fontId="4" fillId="3" borderId="8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textRotation="90" wrapText="1"/>
    </xf>
    <xf numFmtId="169" fontId="1" fillId="5" borderId="1" xfId="0" applyNumberFormat="1" applyFont="1" applyFill="1" applyBorder="1" applyAlignment="1">
      <alignment horizontal="center" vertical="center" textRotation="90" wrapText="1"/>
    </xf>
    <xf numFmtId="169" fontId="1" fillId="6" borderId="1" xfId="0" applyNumberFormat="1" applyFont="1" applyFill="1" applyBorder="1" applyAlignment="1">
      <alignment horizontal="center" vertical="center" wrapText="1"/>
    </xf>
    <xf numFmtId="169" fontId="1" fillId="4" borderId="1" xfId="0" applyNumberFormat="1" applyFont="1" applyFill="1" applyBorder="1" applyAlignment="1">
      <alignment horizontal="center" vertical="center" wrapText="1"/>
    </xf>
    <xf numFmtId="169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66" fontId="1" fillId="3" borderId="1" xfId="1" applyNumberFormat="1" applyFont="1" applyFill="1" applyBorder="1" applyAlignment="1">
      <alignment horizontal="center" vertical="center" wrapText="1"/>
    </xf>
    <xf numFmtId="1" fontId="3" fillId="3" borderId="8" xfId="1" applyNumberFormat="1" applyFont="1" applyFill="1" applyBorder="1" applyAlignment="1">
      <alignment horizontal="center" vertical="center" wrapText="1"/>
    </xf>
    <xf numFmtId="0" fontId="26" fillId="0" borderId="0" xfId="0" quotePrefix="1" applyFont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left" vertical="center" wrapText="1"/>
    </xf>
    <xf numFmtId="165" fontId="36" fillId="3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37" fillId="3" borderId="1" xfId="1" applyNumberFormat="1" applyFont="1" applyFill="1" applyBorder="1" applyAlignment="1">
      <alignment horizontal="center" vertical="center" wrapText="1"/>
    </xf>
    <xf numFmtId="170" fontId="37" fillId="3" borderId="1" xfId="1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1" fontId="2" fillId="3" borderId="13" xfId="1" applyNumberFormat="1" applyFont="1" applyFill="1" applyBorder="1" applyAlignment="1">
      <alignment horizontal="center" vertical="center"/>
    </xf>
    <xf numFmtId="166" fontId="2" fillId="3" borderId="13" xfId="1" applyNumberFormat="1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/>
    </xf>
    <xf numFmtId="1" fontId="2" fillId="3" borderId="12" xfId="1" applyNumberFormat="1" applyFont="1" applyFill="1" applyBorder="1" applyAlignment="1">
      <alignment horizontal="center" vertical="center"/>
    </xf>
    <xf numFmtId="1" fontId="6" fillId="3" borderId="16" xfId="1" applyNumberFormat="1" applyFont="1" applyFill="1" applyBorder="1" applyAlignment="1">
      <alignment horizontal="center" vertical="center" wrapText="1"/>
    </xf>
    <xf numFmtId="0" fontId="24" fillId="2" borderId="1" xfId="2" applyFont="1" applyFill="1" applyBorder="1" applyAlignment="1">
      <alignment horizontal="center" vertical="center"/>
    </xf>
    <xf numFmtId="166" fontId="27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 wrapText="1"/>
    </xf>
    <xf numFmtId="0" fontId="38" fillId="2" borderId="1" xfId="2" applyFont="1" applyFill="1" applyBorder="1" applyAlignment="1">
      <alignment horizontal="center" vertical="center"/>
    </xf>
    <xf numFmtId="0" fontId="38" fillId="3" borderId="1" xfId="2" applyFont="1" applyFill="1" applyBorder="1" applyAlignment="1">
      <alignment horizontal="center" vertical="center"/>
    </xf>
    <xf numFmtId="170" fontId="38" fillId="3" borderId="1" xfId="0" applyNumberFormat="1" applyFont="1" applyFill="1" applyBorder="1" applyAlignment="1">
      <alignment horizontal="center" vertical="center"/>
    </xf>
    <xf numFmtId="169" fontId="38" fillId="3" borderId="1" xfId="1" applyNumberFormat="1" applyFont="1" applyFill="1" applyBorder="1" applyAlignment="1">
      <alignment horizontal="center" vertical="center"/>
    </xf>
    <xf numFmtId="166" fontId="38" fillId="3" borderId="1" xfId="1" applyNumberFormat="1" applyFont="1" applyFill="1" applyBorder="1" applyAlignment="1">
      <alignment horizontal="center" vertical="center"/>
    </xf>
    <xf numFmtId="166" fontId="24" fillId="14" borderId="1" xfId="1" applyNumberFormat="1" applyFont="1" applyFill="1" applyBorder="1" applyAlignment="1">
      <alignment vertical="center" wrapText="1"/>
    </xf>
    <xf numFmtId="0" fontId="30" fillId="3" borderId="7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2" borderId="1" xfId="2" applyFont="1" applyFill="1" applyBorder="1" applyAlignment="1">
      <alignment horizontal="center" vertical="center" wrapText="1"/>
    </xf>
    <xf numFmtId="0" fontId="30" fillId="3" borderId="1" xfId="2" applyFont="1" applyFill="1" applyBorder="1" applyAlignment="1">
      <alignment horizontal="center" vertical="center" wrapText="1"/>
    </xf>
    <xf numFmtId="170" fontId="30" fillId="3" borderId="1" xfId="0" applyNumberFormat="1" applyFont="1" applyFill="1" applyBorder="1" applyAlignment="1">
      <alignment horizontal="center" vertical="center" wrapText="1"/>
    </xf>
    <xf numFmtId="169" fontId="30" fillId="3" borderId="1" xfId="1" applyNumberFormat="1" applyFont="1" applyFill="1" applyBorder="1" applyAlignment="1">
      <alignment horizontal="center" vertical="center" wrapText="1"/>
    </xf>
    <xf numFmtId="166" fontId="30" fillId="2" borderId="1" xfId="1" applyNumberFormat="1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1" xfId="2" applyFont="1" applyFill="1" applyBorder="1" applyAlignment="1">
      <alignment horizontal="center" vertical="center"/>
    </xf>
    <xf numFmtId="166" fontId="30" fillId="2" borderId="1" xfId="1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169" fontId="30" fillId="3" borderId="1" xfId="1" applyNumberFormat="1" applyFont="1" applyFill="1" applyBorder="1" applyAlignment="1">
      <alignment horizontal="center" vertical="center"/>
    </xf>
    <xf numFmtId="37" fontId="30" fillId="3" borderId="8" xfId="0" applyNumberFormat="1" applyFont="1" applyFill="1" applyBorder="1" applyAlignment="1">
      <alignment horizontal="center" vertical="center" wrapText="1"/>
    </xf>
    <xf numFmtId="0" fontId="30" fillId="2" borderId="1" xfId="2" applyFont="1" applyFill="1" applyBorder="1" applyAlignment="1">
      <alignment horizontal="center" vertical="center"/>
    </xf>
    <xf numFmtId="170" fontId="30" fillId="3" borderId="1" xfId="0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left" vertical="center" wrapText="1"/>
    </xf>
    <xf numFmtId="0" fontId="30" fillId="3" borderId="8" xfId="0" applyFont="1" applyFill="1" applyBorder="1" applyAlignment="1">
      <alignment horizontal="left" vertical="center" wrapText="1"/>
    </xf>
    <xf numFmtId="166" fontId="4" fillId="11" borderId="1" xfId="1" applyNumberFormat="1" applyFont="1" applyFill="1" applyBorder="1" applyAlignment="1">
      <alignment horizontal="center" vertical="center"/>
    </xf>
    <xf numFmtId="166" fontId="4" fillId="14" borderId="1" xfId="1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42" fillId="13" borderId="3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vertical="center" wrapText="1"/>
    </xf>
    <xf numFmtId="0" fontId="43" fillId="3" borderId="1" xfId="0" applyFont="1" applyFill="1" applyBorder="1" applyAlignment="1">
      <alignment horizontal="center" vertical="center" wrapText="1"/>
    </xf>
    <xf numFmtId="166" fontId="43" fillId="3" borderId="1" xfId="1" applyNumberFormat="1" applyFont="1" applyFill="1" applyBorder="1" applyAlignment="1">
      <alignment horizontal="center" vertical="center" wrapText="1"/>
    </xf>
    <xf numFmtId="170" fontId="43" fillId="3" borderId="1" xfId="1" applyNumberFormat="1" applyFont="1" applyFill="1" applyBorder="1" applyAlignment="1">
      <alignment horizontal="center" vertical="center" wrapText="1"/>
    </xf>
    <xf numFmtId="166" fontId="43" fillId="3" borderId="8" xfId="1" applyNumberFormat="1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3" borderId="7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left" vertical="center" wrapText="1"/>
    </xf>
    <xf numFmtId="3" fontId="43" fillId="3" borderId="1" xfId="0" applyNumberFormat="1" applyFont="1" applyFill="1" applyBorder="1" applyAlignment="1">
      <alignment horizontal="center" vertical="center" wrapText="1"/>
    </xf>
    <xf numFmtId="166" fontId="43" fillId="3" borderId="1" xfId="1" applyNumberFormat="1" applyFont="1" applyFill="1" applyBorder="1" applyAlignment="1">
      <alignment horizontal="center" vertical="center"/>
    </xf>
    <xf numFmtId="0" fontId="43" fillId="3" borderId="8" xfId="0" applyFont="1" applyFill="1" applyBorder="1" applyAlignment="1">
      <alignment horizontal="left" vertical="center" wrapText="1"/>
    </xf>
    <xf numFmtId="0" fontId="41" fillId="3" borderId="0" xfId="0" applyFont="1" applyFill="1" applyAlignment="1">
      <alignment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center" vertical="center"/>
    </xf>
    <xf numFmtId="166" fontId="45" fillId="3" borderId="1" xfId="1" applyNumberFormat="1" applyFont="1" applyFill="1" applyBorder="1" applyAlignment="1">
      <alignment horizontal="center" vertical="center" wrapText="1"/>
    </xf>
    <xf numFmtId="169" fontId="45" fillId="3" borderId="1" xfId="1" applyNumberFormat="1" applyFont="1" applyFill="1" applyBorder="1" applyAlignment="1">
      <alignment horizontal="center" vertical="center" wrapText="1"/>
    </xf>
    <xf numFmtId="166" fontId="45" fillId="3" borderId="1" xfId="1" applyNumberFormat="1" applyFont="1" applyFill="1" applyBorder="1" applyAlignment="1">
      <alignment horizontal="center" vertical="center"/>
    </xf>
    <xf numFmtId="166" fontId="45" fillId="14" borderId="1" xfId="1" applyNumberFormat="1" applyFont="1" applyFill="1" applyBorder="1" applyAlignment="1">
      <alignment vertical="center"/>
    </xf>
    <xf numFmtId="0" fontId="45" fillId="3" borderId="8" xfId="0" applyFont="1" applyFill="1" applyBorder="1" applyAlignment="1">
      <alignment horizontal="center" vertical="center" wrapText="1"/>
    </xf>
    <xf numFmtId="0" fontId="42" fillId="12" borderId="3" xfId="0" applyFont="1" applyFill="1" applyBorder="1" applyAlignment="1">
      <alignment horizontal="center" vertical="center"/>
    </xf>
    <xf numFmtId="0" fontId="45" fillId="3" borderId="0" xfId="0" applyFont="1" applyFill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166" fontId="19" fillId="3" borderId="1" xfId="0" applyNumberFormat="1" applyFont="1" applyFill="1" applyBorder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1" fontId="18" fillId="0" borderId="3" xfId="0" quotePrefix="1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6" fontId="13" fillId="3" borderId="1" xfId="1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textRotation="90" wrapText="1"/>
    </xf>
    <xf numFmtId="169" fontId="20" fillId="6" borderId="1" xfId="0" applyNumberFormat="1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vertical="center"/>
    </xf>
    <xf numFmtId="0" fontId="48" fillId="3" borderId="1" xfId="0" applyFont="1" applyFill="1" applyBorder="1" applyAlignment="1">
      <alignment horizontal="center" vertical="center" wrapText="1"/>
    </xf>
    <xf numFmtId="0" fontId="48" fillId="2" borderId="1" xfId="2" applyFont="1" applyFill="1" applyBorder="1" applyAlignment="1">
      <alignment horizontal="center" vertical="center"/>
    </xf>
    <xf numFmtId="0" fontId="48" fillId="3" borderId="1" xfId="2" applyFont="1" applyFill="1" applyBorder="1" applyAlignment="1">
      <alignment horizontal="center" vertical="center"/>
    </xf>
    <xf numFmtId="170" fontId="48" fillId="3" borderId="1" xfId="0" applyNumberFormat="1" applyFont="1" applyFill="1" applyBorder="1" applyAlignment="1">
      <alignment horizontal="center" vertical="center"/>
    </xf>
    <xf numFmtId="169" fontId="48" fillId="3" borderId="1" xfId="1" applyNumberFormat="1" applyFont="1" applyFill="1" applyBorder="1" applyAlignment="1">
      <alignment horizontal="center" vertical="center"/>
    </xf>
    <xf numFmtId="166" fontId="48" fillId="3" borderId="1" xfId="1" applyNumberFormat="1" applyFont="1" applyFill="1" applyBorder="1" applyAlignment="1">
      <alignment horizontal="center" vertical="center"/>
    </xf>
    <xf numFmtId="1" fontId="48" fillId="3" borderId="1" xfId="1" applyNumberFormat="1" applyFont="1" applyFill="1" applyBorder="1" applyAlignment="1">
      <alignment horizontal="center" vertical="center"/>
    </xf>
    <xf numFmtId="166" fontId="48" fillId="3" borderId="1" xfId="1" applyNumberFormat="1" applyFont="1" applyFill="1" applyBorder="1" applyAlignment="1">
      <alignment horizontal="center" vertical="center" wrapText="1"/>
    </xf>
    <xf numFmtId="166" fontId="48" fillId="2" borderId="1" xfId="1" applyNumberFormat="1" applyFont="1" applyFill="1" applyBorder="1" applyAlignment="1">
      <alignment horizontal="center" vertical="center"/>
    </xf>
    <xf numFmtId="166" fontId="48" fillId="3" borderId="1" xfId="1" applyNumberFormat="1" applyFont="1" applyFill="1" applyBorder="1" applyAlignment="1">
      <alignment vertical="center" wrapText="1"/>
    </xf>
    <xf numFmtId="0" fontId="48" fillId="3" borderId="8" xfId="0" applyFont="1" applyFill="1" applyBorder="1" applyAlignment="1">
      <alignment horizontal="center" vertical="center" wrapText="1"/>
    </xf>
    <xf numFmtId="0" fontId="49" fillId="0" borderId="3" xfId="0" quotePrefix="1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1" fontId="49" fillId="0" borderId="3" xfId="0" applyNumberFormat="1" applyFont="1" applyBorder="1" applyAlignment="1">
      <alignment horizontal="center" vertical="center"/>
    </xf>
    <xf numFmtId="166" fontId="13" fillId="3" borderId="8" xfId="1" applyNumberFormat="1" applyFont="1" applyFill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22" fillId="3" borderId="28" xfId="1" applyNumberFormat="1" applyFont="1" applyFill="1" applyBorder="1" applyAlignment="1">
      <alignment wrapText="1"/>
    </xf>
    <xf numFmtId="1" fontId="22" fillId="3" borderId="28" xfId="1" applyNumberFormat="1" applyFont="1" applyFill="1" applyBorder="1" applyAlignment="1"/>
    <xf numFmtId="0" fontId="2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1" fontId="18" fillId="3" borderId="1" xfId="0" applyNumberFormat="1" applyFont="1" applyFill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 wrapText="1"/>
    </xf>
    <xf numFmtId="1" fontId="15" fillId="3" borderId="3" xfId="0" applyNumberFormat="1" applyFont="1" applyFill="1" applyBorder="1" applyAlignment="1">
      <alignment horizontal="center" vertical="center" textRotation="90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7" fillId="3" borderId="1" xfId="2" applyFont="1" applyFill="1" applyBorder="1" applyAlignment="1">
      <alignment horizontal="center" vertical="center" wrapText="1"/>
    </xf>
    <xf numFmtId="170" fontId="17" fillId="3" borderId="1" xfId="0" applyNumberFormat="1" applyFont="1" applyFill="1" applyBorder="1" applyAlignment="1">
      <alignment horizontal="center" vertical="center" wrapText="1"/>
    </xf>
    <xf numFmtId="169" fontId="17" fillId="3" borderId="1" xfId="1" applyNumberFormat="1" applyFont="1" applyFill="1" applyBorder="1" applyAlignment="1">
      <alignment horizontal="center" vertical="center" wrapText="1"/>
    </xf>
    <xf numFmtId="166" fontId="17" fillId="3" borderId="1" xfId="1" applyNumberFormat="1" applyFont="1" applyFill="1" applyBorder="1" applyAlignment="1">
      <alignment horizontal="center" vertical="center" wrapText="1"/>
    </xf>
    <xf numFmtId="166" fontId="17" fillId="2" borderId="1" xfId="1" applyNumberFormat="1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166" fontId="18" fillId="3" borderId="1" xfId="1" applyNumberFormat="1" applyFont="1" applyFill="1" applyBorder="1" applyAlignment="1">
      <alignment horizontal="center" vertical="center" wrapText="1"/>
    </xf>
    <xf numFmtId="1" fontId="17" fillId="3" borderId="8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9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3" borderId="0" xfId="0" applyNumberFormat="1" applyFont="1" applyFill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" fontId="1" fillId="3" borderId="7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left" wrapText="1"/>
    </xf>
    <xf numFmtId="0" fontId="2" fillId="3" borderId="32" xfId="0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wrapText="1"/>
    </xf>
    <xf numFmtId="0" fontId="2" fillId="3" borderId="30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7" fontId="13" fillId="3" borderId="7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" fontId="13" fillId="3" borderId="7" xfId="1" applyNumberFormat="1" applyFont="1" applyFill="1" applyBorder="1" applyAlignment="1">
      <alignment horizontal="center" vertical="center"/>
    </xf>
    <xf numFmtId="1" fontId="13" fillId="3" borderId="1" xfId="1" applyNumberFormat="1" applyFont="1" applyFill="1" applyBorder="1" applyAlignment="1">
      <alignment horizontal="center" vertical="center"/>
    </xf>
    <xf numFmtId="1" fontId="22" fillId="3" borderId="44" xfId="1" applyNumberFormat="1" applyFont="1" applyFill="1" applyBorder="1" applyAlignment="1">
      <alignment horizontal="center"/>
    </xf>
    <xf numFmtId="1" fontId="22" fillId="3" borderId="28" xfId="1" applyNumberFormat="1" applyFont="1" applyFill="1" applyBorder="1" applyAlignment="1">
      <alignment horizontal="center"/>
    </xf>
    <xf numFmtId="1" fontId="22" fillId="3" borderId="45" xfId="1" applyNumberFormat="1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textRotation="90" wrapText="1"/>
    </xf>
    <xf numFmtId="1" fontId="13" fillId="5" borderId="1" xfId="0" applyNumberFormat="1" applyFont="1" applyFill="1" applyBorder="1" applyAlignment="1">
      <alignment horizontal="center" vertical="center" wrapText="1"/>
    </xf>
    <xf numFmtId="1" fontId="47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1" fontId="2" fillId="3" borderId="7" xfId="1" applyNumberFormat="1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1" fontId="9" fillId="3" borderId="14" xfId="1" applyNumberFormat="1" applyFont="1" applyFill="1" applyBorder="1" applyAlignment="1">
      <alignment horizontal="center"/>
    </xf>
    <xf numFmtId="1" fontId="9" fillId="3" borderId="15" xfId="1" applyNumberFormat="1" applyFont="1" applyFill="1" applyBorder="1" applyAlignment="1">
      <alignment horizontal="center"/>
    </xf>
    <xf numFmtId="1" fontId="9" fillId="3" borderId="17" xfId="1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 textRotation="90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17" fontId="16" fillId="3" borderId="4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" fontId="9" fillId="9" borderId="15" xfId="0" applyNumberFormat="1" applyFont="1" applyFill="1" applyBorder="1" applyAlignment="1">
      <alignment horizontal="center"/>
    </xf>
    <xf numFmtId="1" fontId="9" fillId="9" borderId="17" xfId="0" applyNumberFormat="1" applyFont="1" applyFill="1" applyBorder="1" applyAlignment="1">
      <alignment horizontal="center"/>
    </xf>
    <xf numFmtId="1" fontId="2" fillId="3" borderId="7" xfId="1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9" fillId="3" borderId="1" xfId="1" applyNumberFormat="1" applyFont="1" applyFill="1" applyBorder="1" applyAlignment="1">
      <alignment horizontal="center" vertical="center" wrapText="1"/>
    </xf>
    <xf numFmtId="1" fontId="9" fillId="9" borderId="1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" fontId="2" fillId="3" borderId="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" fontId="5" fillId="3" borderId="36" xfId="1" applyNumberFormat="1" applyFont="1" applyFill="1" applyBorder="1" applyAlignment="1">
      <alignment horizontal="center" vertical="center"/>
    </xf>
    <xf numFmtId="1" fontId="5" fillId="3" borderId="33" xfId="1" applyNumberFormat="1" applyFont="1" applyFill="1" applyBorder="1" applyAlignment="1">
      <alignment horizontal="center" vertical="center"/>
    </xf>
    <xf numFmtId="1" fontId="5" fillId="3" borderId="3" xfId="1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17" fontId="18" fillId="3" borderId="7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166" fontId="18" fillId="4" borderId="1" xfId="0" applyNumberFormat="1" applyFont="1" applyFill="1" applyBorder="1" applyAlignment="1">
      <alignment horizontal="center" vertical="center" wrapText="1"/>
    </xf>
    <xf numFmtId="166" fontId="18" fillId="4" borderId="2" xfId="0" applyNumberFormat="1" applyFont="1" applyFill="1" applyBorder="1" applyAlignment="1">
      <alignment horizontal="center" vertical="center" wrapText="1"/>
    </xf>
    <xf numFmtId="166" fontId="18" fillId="4" borderId="23" xfId="0" applyNumberFormat="1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textRotation="90" wrapText="1"/>
    </xf>
    <xf numFmtId="0" fontId="18" fillId="3" borderId="1" xfId="0" applyFont="1" applyFill="1" applyBorder="1" applyAlignment="1">
      <alignment horizontal="center" vertical="center" wrapText="1"/>
    </xf>
    <xf numFmtId="1" fontId="18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" fontId="23" fillId="3" borderId="14" xfId="1" applyNumberFormat="1" applyFont="1" applyFill="1" applyBorder="1" applyAlignment="1">
      <alignment horizontal="center"/>
    </xf>
    <xf numFmtId="1" fontId="23" fillId="3" borderId="15" xfId="1" applyNumberFormat="1" applyFont="1" applyFill="1" applyBorder="1" applyAlignment="1">
      <alignment horizontal="center"/>
    </xf>
    <xf numFmtId="1" fontId="23" fillId="3" borderId="17" xfId="1" applyNumberFormat="1" applyFont="1" applyFill="1" applyBorder="1" applyAlignment="1">
      <alignment horizontal="center"/>
    </xf>
    <xf numFmtId="1" fontId="16" fillId="3" borderId="14" xfId="1" applyNumberFormat="1" applyFont="1" applyFill="1" applyBorder="1" applyAlignment="1">
      <alignment horizontal="center"/>
    </xf>
    <xf numFmtId="1" fontId="16" fillId="3" borderId="15" xfId="1" applyNumberFormat="1" applyFont="1" applyFill="1" applyBorder="1" applyAlignment="1">
      <alignment horizontal="center"/>
    </xf>
    <xf numFmtId="1" fontId="16" fillId="3" borderId="17" xfId="1" applyNumberFormat="1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1" fontId="16" fillId="3" borderId="9" xfId="1" applyNumberFormat="1" applyFont="1" applyFill="1" applyBorder="1" applyAlignment="1">
      <alignment horizontal="center"/>
    </xf>
    <xf numFmtId="1" fontId="16" fillId="3" borderId="10" xfId="1" applyNumberFormat="1" applyFont="1" applyFill="1" applyBorder="1" applyAlignment="1">
      <alignment horizontal="center"/>
    </xf>
    <xf numFmtId="1" fontId="16" fillId="3" borderId="11" xfId="1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" fontId="23" fillId="3" borderId="40" xfId="1" applyNumberFormat="1" applyFont="1" applyFill="1" applyBorder="1" applyAlignment="1">
      <alignment horizontal="center" wrapText="1"/>
    </xf>
    <xf numFmtId="1" fontId="23" fillId="3" borderId="41" xfId="1" applyNumberFormat="1" applyFont="1" applyFill="1" applyBorder="1" applyAlignment="1">
      <alignment horizontal="center" wrapText="1"/>
    </xf>
    <xf numFmtId="1" fontId="23" fillId="3" borderId="28" xfId="1" applyNumberFormat="1" applyFont="1" applyFill="1" applyBorder="1" applyAlignment="1">
      <alignment horizontal="center" wrapText="1"/>
    </xf>
    <xf numFmtId="1" fontId="23" fillId="3" borderId="29" xfId="1" applyNumberFormat="1" applyFont="1" applyFill="1" applyBorder="1" applyAlignment="1">
      <alignment horizontal="center" wrapText="1"/>
    </xf>
    <xf numFmtId="1" fontId="23" fillId="3" borderId="11" xfId="1" applyNumberFormat="1" applyFont="1" applyFill="1" applyBorder="1" applyAlignment="1">
      <alignment horizontal="center" wrapText="1"/>
    </xf>
    <xf numFmtId="0" fontId="36" fillId="3" borderId="43" xfId="0" applyFont="1" applyFill="1" applyBorder="1" applyAlignment="1">
      <alignment horizontal="center" vertical="center" wrapText="1"/>
    </xf>
    <xf numFmtId="0" fontId="36" fillId="3" borderId="2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" fontId="1" fillId="3" borderId="7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1" fontId="1" fillId="3" borderId="7" xfId="1" applyNumberFormat="1" applyFont="1" applyFill="1" applyBorder="1" applyAlignment="1">
      <alignment horizontal="center" vertical="center"/>
    </xf>
    <xf numFmtId="1" fontId="1" fillId="3" borderId="1" xfId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textRotation="90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1" fontId="7" fillId="3" borderId="14" xfId="1" applyNumberFormat="1" applyFont="1" applyFill="1" applyBorder="1" applyAlignment="1">
      <alignment horizontal="center"/>
    </xf>
    <xf numFmtId="1" fontId="7" fillId="3" borderId="15" xfId="1" applyNumberFormat="1" applyFont="1" applyFill="1" applyBorder="1" applyAlignment="1">
      <alignment horizontal="center"/>
    </xf>
    <xf numFmtId="1" fontId="7" fillId="3" borderId="17" xfId="1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3" borderId="14" xfId="1" applyNumberFormat="1" applyFont="1" applyFill="1" applyBorder="1" applyAlignment="1">
      <alignment horizontal="center"/>
    </xf>
    <xf numFmtId="1" fontId="2" fillId="3" borderId="15" xfId="1" applyNumberFormat="1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" fontId="2" fillId="3" borderId="14" xfId="1" applyNumberFormat="1" applyFont="1" applyFill="1" applyBorder="1" applyAlignment="1">
      <alignment horizontal="center" wrapText="1"/>
    </xf>
    <xf numFmtId="1" fontId="2" fillId="3" borderId="15" xfId="1" applyNumberFormat="1" applyFont="1" applyFill="1" applyBorder="1" applyAlignment="1">
      <alignment horizontal="center" wrapText="1"/>
    </xf>
    <xf numFmtId="1" fontId="2" fillId="3" borderId="17" xfId="1" applyNumberFormat="1" applyFont="1" applyFill="1" applyBorder="1" applyAlignment="1">
      <alignment horizontal="center" wrapText="1"/>
    </xf>
    <xf numFmtId="166" fontId="17" fillId="11" borderId="1" xfId="1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66" fontId="17" fillId="11" borderId="1" xfId="1" applyNumberFormat="1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/>
    </xf>
    <xf numFmtId="166" fontId="17" fillId="3" borderId="1" xfId="1" applyNumberFormat="1" applyFont="1" applyFill="1" applyBorder="1" applyAlignment="1">
      <alignment horizontal="center" vertical="center"/>
    </xf>
    <xf numFmtId="166" fontId="17" fillId="2" borderId="1" xfId="1" applyNumberFormat="1" applyFont="1" applyFill="1" applyBorder="1" applyAlignment="1">
      <alignment horizontal="center" vertical="center"/>
    </xf>
    <xf numFmtId="3" fontId="17" fillId="3" borderId="8" xfId="0" applyNumberFormat="1" applyFont="1" applyFill="1" applyBorder="1" applyAlignment="1">
      <alignment horizontal="center" vertical="center" wrapText="1"/>
    </xf>
    <xf numFmtId="169" fontId="17" fillId="3" borderId="1" xfId="1" applyNumberFormat="1" applyFont="1" applyFill="1" applyBorder="1" applyAlignment="1">
      <alignment horizontal="center" vertical="center"/>
    </xf>
    <xf numFmtId="1" fontId="52" fillId="3" borderId="40" xfId="1" applyNumberFormat="1" applyFont="1" applyFill="1" applyBorder="1" applyAlignment="1">
      <alignment horizontal="center"/>
    </xf>
    <xf numFmtId="1" fontId="52" fillId="3" borderId="41" xfId="1" applyNumberFormat="1" applyFont="1" applyFill="1" applyBorder="1" applyAlignment="1">
      <alignment horizontal="center"/>
    </xf>
    <xf numFmtId="1" fontId="52" fillId="3" borderId="28" xfId="1" applyNumberFormat="1" applyFont="1" applyFill="1" applyBorder="1" applyAlignment="1"/>
    <xf numFmtId="1" fontId="52" fillId="3" borderId="29" xfId="1" applyNumberFormat="1" applyFont="1" applyFill="1" applyBorder="1" applyAlignment="1">
      <alignment horizontal="center"/>
    </xf>
    <xf numFmtId="1" fontId="52" fillId="3" borderId="46" xfId="1" applyNumberFormat="1" applyFont="1" applyFill="1" applyBorder="1" applyAlignment="1">
      <alignment horizontal="center"/>
    </xf>
    <xf numFmtId="1" fontId="53" fillId="0" borderId="3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170" fontId="17" fillId="3" borderId="1" xfId="0" applyNumberFormat="1" applyFont="1" applyFill="1" applyBorder="1" applyAlignment="1">
      <alignment horizontal="center" vertical="center"/>
    </xf>
    <xf numFmtId="1" fontId="18" fillId="3" borderId="36" xfId="1" applyNumberFormat="1" applyFont="1" applyFill="1" applyBorder="1" applyAlignment="1">
      <alignment horizontal="center" vertical="center"/>
    </xf>
    <xf numFmtId="1" fontId="18" fillId="3" borderId="33" xfId="1" applyNumberFormat="1" applyFont="1" applyFill="1" applyBorder="1" applyAlignment="1">
      <alignment horizontal="center" vertical="center"/>
    </xf>
    <xf numFmtId="1" fontId="18" fillId="3" borderId="3" xfId="1" applyNumberFormat="1" applyFont="1" applyFill="1" applyBorder="1" applyAlignment="1">
      <alignment horizontal="center" vertical="center"/>
    </xf>
    <xf numFmtId="1" fontId="18" fillId="3" borderId="0" xfId="0" applyNumberFormat="1" applyFont="1" applyFill="1" applyAlignment="1">
      <alignment horizontal="center" vertical="center"/>
    </xf>
    <xf numFmtId="1" fontId="52" fillId="3" borderId="14" xfId="1" applyNumberFormat="1" applyFont="1" applyFill="1" applyBorder="1" applyAlignment="1">
      <alignment horizontal="center"/>
    </xf>
    <xf numFmtId="1" fontId="52" fillId="3" borderId="15" xfId="1" applyNumberFormat="1" applyFont="1" applyFill="1" applyBorder="1" applyAlignment="1">
      <alignment horizontal="center"/>
    </xf>
    <xf numFmtId="1" fontId="52" fillId="3" borderId="15" xfId="1" applyNumberFormat="1" applyFont="1" applyFill="1" applyBorder="1" applyAlignment="1">
      <alignment horizontal="center"/>
    </xf>
    <xf numFmtId="1" fontId="52" fillId="3" borderId="17" xfId="1" applyNumberFormat="1" applyFont="1" applyFill="1" applyBorder="1" applyAlignment="1">
      <alignment horizontal="center"/>
    </xf>
    <xf numFmtId="1" fontId="52" fillId="3" borderId="0" xfId="0" applyNumberFormat="1" applyFont="1" applyFill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17" fillId="3" borderId="8" xfId="0" applyFont="1" applyFill="1" applyBorder="1" applyAlignment="1">
      <alignment horizontal="left" vertical="center" wrapText="1"/>
    </xf>
    <xf numFmtId="1" fontId="18" fillId="3" borderId="7" xfId="1" applyNumberFormat="1" applyFont="1" applyFill="1" applyBorder="1" applyAlignment="1">
      <alignment horizontal="center" vertical="center"/>
    </xf>
    <xf numFmtId="1" fontId="18" fillId="3" borderId="1" xfId="1" applyNumberFormat="1" applyFont="1" applyFill="1" applyBorder="1" applyAlignment="1">
      <alignment horizontal="center" vertical="center"/>
    </xf>
    <xf numFmtId="166" fontId="18" fillId="3" borderId="8" xfId="1" applyNumberFormat="1" applyFont="1" applyFill="1" applyBorder="1" applyAlignment="1">
      <alignment horizontal="center" vertical="center" wrapText="1"/>
    </xf>
    <xf numFmtId="166" fontId="18" fillId="3" borderId="3" xfId="1" applyNumberFormat="1" applyFont="1" applyFill="1" applyBorder="1" applyAlignment="1">
      <alignment horizontal="center" vertical="center" wrapText="1"/>
    </xf>
    <xf numFmtId="1" fontId="16" fillId="3" borderId="0" xfId="0" applyNumberFormat="1" applyFont="1" applyFill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6" fontId="18" fillId="5" borderId="1" xfId="0" applyNumberFormat="1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1" fontId="22" fillId="0" borderId="14" xfId="1" applyNumberFormat="1" applyFont="1" applyFill="1" applyBorder="1" applyAlignment="1">
      <alignment horizontal="center"/>
    </xf>
    <xf numFmtId="1" fontId="22" fillId="0" borderId="15" xfId="1" applyNumberFormat="1" applyFont="1" applyFill="1" applyBorder="1" applyAlignment="1">
      <alignment horizontal="center"/>
    </xf>
    <xf numFmtId="1" fontId="22" fillId="0" borderId="15" xfId="1" applyNumberFormat="1" applyFont="1" applyFill="1" applyBorder="1" applyAlignment="1"/>
    <xf numFmtId="1" fontId="22" fillId="0" borderId="17" xfId="1" applyNumberFormat="1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4" fillId="3" borderId="0" xfId="0" applyFont="1" applyFill="1" applyAlignment="1">
      <alignment horizontal="center" wrapText="1"/>
    </xf>
  </cellXfs>
  <cellStyles count="3">
    <cellStyle name="Comma" xfId="1" builtinId="3"/>
    <cellStyle name="Normal" xfId="0" builtinId="0"/>
    <cellStyle name="Normal 5 2 2 2" xfId="2" xr:uid="{00000000-0005-0000-0000-000002000000}"/>
  </cellStyles>
  <dxfs count="31"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theme="7" tint="0.39991454817346722"/>
        </patternFill>
      </fill>
    </dxf>
  </dxfs>
  <tableStyles count="0" defaultTableStyle="TableStyleMedium2" defaultPivotStyle="PivotStyleLight16"/>
  <colors>
    <mruColors>
      <color rgb="FFFF505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Q32"/>
  <sheetViews>
    <sheetView topLeftCell="B1" zoomScale="85" zoomScaleNormal="85" workbookViewId="0">
      <pane ySplit="4" topLeftCell="A18" activePane="bottomLeft" state="frozen"/>
      <selection pane="bottomLeft" activeCell="H21" sqref="H21"/>
    </sheetView>
  </sheetViews>
  <sheetFormatPr defaultColWidth="9.453125" defaultRowHeight="20.25" customHeight="1"/>
  <cols>
    <col min="1" max="1" width="7" style="37" customWidth="1"/>
    <col min="2" max="2" width="21.81640625" style="37" bestFit="1" customWidth="1"/>
    <col min="3" max="3" width="15.81640625" style="37" customWidth="1"/>
    <col min="4" max="4" width="15.81640625" style="43" customWidth="1"/>
    <col min="5" max="5" width="15.81640625" style="37" customWidth="1"/>
    <col min="6" max="6" width="13.453125" style="5" customWidth="1"/>
    <col min="7" max="7" width="9.453125" style="5" bestFit="1" customWidth="1"/>
    <col min="8" max="8" width="10.453125" style="5" bestFit="1" customWidth="1"/>
    <col min="9" max="9" width="13.7265625" style="5" bestFit="1" customWidth="1"/>
    <col min="10" max="10" width="9.1796875" style="5" customWidth="1"/>
    <col min="11" max="11" width="8" style="5" bestFit="1" customWidth="1"/>
    <col min="12" max="12" width="11.81640625" style="37" customWidth="1"/>
    <col min="13" max="13" width="9.453125" style="37" customWidth="1"/>
    <col min="14" max="14" width="13.453125" style="37" customWidth="1"/>
    <col min="15" max="15" width="15.81640625" style="37" customWidth="1"/>
    <col min="16" max="16" width="5.453125" style="37" customWidth="1"/>
    <col min="17" max="17" width="13.453125" style="37" customWidth="1"/>
    <col min="18" max="18" width="14.453125" style="37" customWidth="1"/>
    <col min="19" max="19" width="28.453125" style="37" customWidth="1"/>
    <col min="20" max="16384" width="9.453125" style="37"/>
  </cols>
  <sheetData>
    <row r="1" spans="1:17" ht="20.2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4"/>
      <c r="P1" s="1"/>
    </row>
    <row r="2" spans="1:17" ht="20.25" customHeight="1">
      <c r="A2" s="415" t="s">
        <v>295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7"/>
      <c r="P2" s="1"/>
    </row>
    <row r="3" spans="1:17" ht="20.25" customHeight="1">
      <c r="A3" s="415" t="s">
        <v>1</v>
      </c>
      <c r="B3" s="416" t="s">
        <v>2</v>
      </c>
      <c r="C3" s="416" t="s">
        <v>3</v>
      </c>
      <c r="D3" s="424" t="s">
        <v>4</v>
      </c>
      <c r="E3" s="416" t="s">
        <v>5</v>
      </c>
      <c r="F3" s="416" t="s">
        <v>6</v>
      </c>
      <c r="G3" s="416"/>
      <c r="H3" s="416"/>
      <c r="I3" s="416"/>
      <c r="J3" s="416"/>
      <c r="K3" s="416"/>
      <c r="L3" s="416" t="s">
        <v>7</v>
      </c>
      <c r="M3" s="416" t="s">
        <v>8</v>
      </c>
      <c r="N3" s="416"/>
      <c r="O3" s="417" t="s">
        <v>9</v>
      </c>
      <c r="P3" s="1"/>
    </row>
    <row r="4" spans="1:17" ht="94.5" customHeight="1">
      <c r="A4" s="415"/>
      <c r="B4" s="416"/>
      <c r="C4" s="416"/>
      <c r="D4" s="424"/>
      <c r="E4" s="416"/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416"/>
      <c r="M4" s="33" t="s">
        <v>16</v>
      </c>
      <c r="N4" s="33" t="s">
        <v>17</v>
      </c>
      <c r="O4" s="417"/>
      <c r="P4" s="1"/>
    </row>
    <row r="5" spans="1:17" ht="30" customHeight="1">
      <c r="A5" s="34">
        <v>1</v>
      </c>
      <c r="B5" s="44" t="s">
        <v>274</v>
      </c>
      <c r="C5" s="9" t="e">
        <f>Academics!#REF!</f>
        <v>#REF!</v>
      </c>
      <c r="D5" s="45">
        <f>Academics!V10+Academics!X10</f>
        <v>230500</v>
      </c>
      <c r="E5" s="10" t="e">
        <f>D5/C5</f>
        <v>#REF!</v>
      </c>
      <c r="F5" s="10">
        <f>Academics!AB10</f>
        <v>1428.5714285714287</v>
      </c>
      <c r="G5" s="10">
        <f>Academics!AD10</f>
        <v>0</v>
      </c>
      <c r="H5" s="10">
        <f>Academics!AE10</f>
        <v>0</v>
      </c>
      <c r="I5" s="10">
        <f>Academics!AF10</f>
        <v>299</v>
      </c>
      <c r="J5" s="10">
        <f>Academics!AG10</f>
        <v>4176</v>
      </c>
      <c r="K5" s="10">
        <f>Academics!AH10</f>
        <v>0</v>
      </c>
      <c r="L5" s="45">
        <f>Academics!AJ10</f>
        <v>224596</v>
      </c>
      <c r="M5" s="45">
        <f>Academics!AK10</f>
        <v>4527.4799999999996</v>
      </c>
      <c r="N5" s="10">
        <f>Academics!AL10</f>
        <v>0</v>
      </c>
      <c r="O5" s="57">
        <f>D5+M5+N5</f>
        <v>235027.48</v>
      </c>
      <c r="P5" s="1"/>
      <c r="Q5" s="43"/>
    </row>
    <row r="6" spans="1:17" ht="30" customHeight="1">
      <c r="A6" s="34">
        <v>2</v>
      </c>
      <c r="B6" s="44" t="s">
        <v>18</v>
      </c>
      <c r="C6" s="9" t="e">
        <f>Admin!#REF!</f>
        <v>#REF!</v>
      </c>
      <c r="D6" s="45">
        <f>Admin!V11+Admin!X11</f>
        <v>271000</v>
      </c>
      <c r="E6" s="10" t="e">
        <f t="shared" ref="E6:E18" si="0">D6/C6</f>
        <v>#REF!</v>
      </c>
      <c r="F6" s="10">
        <f>Admin!AB11</f>
        <v>9642.8571428571449</v>
      </c>
      <c r="G6" s="10">
        <f>Admin!AD11</f>
        <v>0</v>
      </c>
      <c r="H6" s="10">
        <f>Admin!AE11</f>
        <v>10000</v>
      </c>
      <c r="I6" s="10">
        <f>Admin!AF11</f>
        <v>299</v>
      </c>
      <c r="J6" s="10">
        <f>Admin!AG11</f>
        <v>2880</v>
      </c>
      <c r="K6" s="10">
        <f>Admin!AH11</f>
        <v>142</v>
      </c>
      <c r="L6" s="45">
        <f>Admin!AJ11</f>
        <v>248037</v>
      </c>
      <c r="M6" s="45">
        <f>Admin!AK11</f>
        <v>3122.3999999999996</v>
      </c>
      <c r="N6" s="10">
        <f>Admin!AL11</f>
        <v>616</v>
      </c>
      <c r="O6" s="57">
        <f t="shared" ref="O6:O20" si="1">D6+M6+N6</f>
        <v>274738.40000000002</v>
      </c>
      <c r="P6" s="1"/>
      <c r="Q6" s="43"/>
    </row>
    <row r="7" spans="1:17" ht="30" customHeight="1">
      <c r="A7" s="34">
        <v>3</v>
      </c>
      <c r="B7" s="44" t="s">
        <v>19</v>
      </c>
      <c r="C7" s="9">
        <v>17</v>
      </c>
      <c r="D7" s="45">
        <f>Drivers!V9</f>
        <v>86300</v>
      </c>
      <c r="E7" s="10">
        <f t="shared" si="0"/>
        <v>5076.4705882352937</v>
      </c>
      <c r="F7" s="10">
        <f>Drivers!AB9</f>
        <v>23200</v>
      </c>
      <c r="G7" s="10">
        <f>Drivers!AD9</f>
        <v>0</v>
      </c>
      <c r="H7" s="10">
        <f>Drivers!AE9</f>
        <v>0</v>
      </c>
      <c r="I7" s="10">
        <f>Drivers!AF9</f>
        <v>0</v>
      </c>
      <c r="J7" s="10">
        <f>Drivers!AG9</f>
        <v>3409</v>
      </c>
      <c r="K7" s="10">
        <f>Drivers!AH9</f>
        <v>313</v>
      </c>
      <c r="L7" s="45">
        <f>Drivers!AJ9</f>
        <v>59378</v>
      </c>
      <c r="M7" s="45">
        <f>Drivers!AK9</f>
        <v>3695</v>
      </c>
      <c r="N7" s="10">
        <f>Drivers!AL9</f>
        <v>1356</v>
      </c>
      <c r="O7" s="57">
        <f t="shared" si="1"/>
        <v>91351</v>
      </c>
      <c r="P7" s="1"/>
      <c r="Q7" s="43"/>
    </row>
    <row r="8" spans="1:17" ht="30" customHeight="1">
      <c r="A8" s="34">
        <v>4</v>
      </c>
      <c r="B8" s="44" t="s">
        <v>20</v>
      </c>
      <c r="C8" s="9" t="e">
        <f>+Conductors!#REF!</f>
        <v>#REF!</v>
      </c>
      <c r="D8" s="45">
        <f>Conductors!W10+Conductors!X10</f>
        <v>51300</v>
      </c>
      <c r="E8" s="10" t="e">
        <f t="shared" si="0"/>
        <v>#REF!</v>
      </c>
      <c r="F8" s="10">
        <f>Conductors!AB10</f>
        <v>9075</v>
      </c>
      <c r="G8" s="10">
        <f>Conductors!AD10</f>
        <v>0</v>
      </c>
      <c r="H8" s="10">
        <f>Conductors!AE10</f>
        <v>0</v>
      </c>
      <c r="I8" s="10">
        <f>Conductors!AF10</f>
        <v>0</v>
      </c>
      <c r="J8" s="10">
        <f>Conductors!AG10</f>
        <v>1821</v>
      </c>
      <c r="K8" s="10">
        <f>Conductors!AH10</f>
        <v>186</v>
      </c>
      <c r="L8" s="45">
        <f>Conductors!AJ10</f>
        <v>40218</v>
      </c>
      <c r="M8" s="45">
        <f>Conductors!AK10</f>
        <v>1974</v>
      </c>
      <c r="N8" s="10">
        <f>Conductors!AL10</f>
        <v>802</v>
      </c>
      <c r="O8" s="57">
        <f t="shared" si="1"/>
        <v>54076</v>
      </c>
      <c r="P8" s="1"/>
      <c r="Q8" s="43"/>
    </row>
    <row r="9" spans="1:17" ht="30" customHeight="1">
      <c r="A9" s="34">
        <v>5</v>
      </c>
      <c r="B9" s="44" t="s">
        <v>21</v>
      </c>
      <c r="C9" s="9" t="e">
        <f>+Securities!#REF!</f>
        <v>#REF!</v>
      </c>
      <c r="D9" s="45">
        <f>Securities!V8+Securities!X8</f>
        <v>56000</v>
      </c>
      <c r="E9" s="10" t="e">
        <f t="shared" si="0"/>
        <v>#REF!</v>
      </c>
      <c r="F9" s="10">
        <f>Securities!AB8</f>
        <v>405.35714285714283</v>
      </c>
      <c r="G9" s="10">
        <f>Securities!AD8</f>
        <v>0</v>
      </c>
      <c r="H9" s="10">
        <f>Securities!AE8</f>
        <v>10000</v>
      </c>
      <c r="I9" s="10">
        <f>Securities!AF8</f>
        <v>0</v>
      </c>
      <c r="J9" s="10">
        <f>Securities!AG8</f>
        <v>0</v>
      </c>
      <c r="K9" s="10">
        <f>Securities!AH8</f>
        <v>0</v>
      </c>
      <c r="L9" s="45">
        <f>Securities!AJ8</f>
        <v>45595</v>
      </c>
      <c r="M9" s="45">
        <f>Securities!AK8</f>
        <v>0</v>
      </c>
      <c r="N9" s="10">
        <f>Securities!AL8</f>
        <v>0</v>
      </c>
      <c r="O9" s="57">
        <f t="shared" si="1"/>
        <v>56000</v>
      </c>
      <c r="P9" s="1"/>
      <c r="Q9" s="43"/>
    </row>
    <row r="10" spans="1:17" ht="30" customHeight="1">
      <c r="A10" s="34">
        <v>6</v>
      </c>
      <c r="B10" s="44" t="s">
        <v>22</v>
      </c>
      <c r="C10" s="9">
        <v>17</v>
      </c>
      <c r="D10" s="45">
        <f>'House Keeping'!V9</f>
        <v>49100</v>
      </c>
      <c r="E10" s="10">
        <f t="shared" si="0"/>
        <v>2888.2352941176468</v>
      </c>
      <c r="F10" s="10">
        <f>'House Keeping'!AB9</f>
        <v>6869.6428571428569</v>
      </c>
      <c r="G10" s="10">
        <f>'House Keeping'!AD9</f>
        <v>0</v>
      </c>
      <c r="H10" s="10">
        <f>'House Keeping'!AE9</f>
        <v>3000</v>
      </c>
      <c r="I10" s="10">
        <f>'House Keeping'!AF9</f>
        <v>0</v>
      </c>
      <c r="J10" s="10">
        <f>'House Keeping'!AG9</f>
        <v>1772</v>
      </c>
      <c r="K10" s="10">
        <f>'House Keeping'!AH9</f>
        <v>318</v>
      </c>
      <c r="L10" s="45">
        <f>'House Keeping'!AJ9</f>
        <v>37140</v>
      </c>
      <c r="M10" s="45">
        <f>'House Keeping'!AK9</f>
        <v>1921</v>
      </c>
      <c r="N10" s="10">
        <f>'House Keeping'!AL9</f>
        <v>1374</v>
      </c>
      <c r="O10" s="57">
        <f t="shared" si="1"/>
        <v>52395</v>
      </c>
      <c r="P10" s="1"/>
      <c r="Q10" s="43"/>
    </row>
    <row r="11" spans="1:17" ht="30" customHeight="1">
      <c r="A11" s="34">
        <v>7</v>
      </c>
      <c r="B11" s="44" t="s">
        <v>23</v>
      </c>
      <c r="C11" s="9">
        <f>+Hostel!A7</f>
        <v>3</v>
      </c>
      <c r="D11" s="45">
        <f>Hostel!V8</f>
        <v>38000</v>
      </c>
      <c r="E11" s="10">
        <f t="shared" si="0"/>
        <v>12666.666666666666</v>
      </c>
      <c r="F11" s="10">
        <f>Hostel!AB8</f>
        <v>250</v>
      </c>
      <c r="G11" s="10">
        <f>Hostel!AD8</f>
        <v>0</v>
      </c>
      <c r="H11" s="10">
        <f>Hostel!AE8</f>
        <v>0</v>
      </c>
      <c r="I11" s="10">
        <f>Hostel!AF8</f>
        <v>0</v>
      </c>
      <c r="J11" s="10">
        <f>Hostel!AG8</f>
        <v>0</v>
      </c>
      <c r="K11" s="10">
        <f>Hostel!AH8</f>
        <v>0</v>
      </c>
      <c r="L11" s="45">
        <f>Hostel!AJ8</f>
        <v>37750</v>
      </c>
      <c r="M11" s="45">
        <f>Hostel!AK8</f>
        <v>0</v>
      </c>
      <c r="N11" s="10">
        <f>Hostel!AL8</f>
        <v>0</v>
      </c>
      <c r="O11" s="57">
        <f t="shared" si="1"/>
        <v>38000</v>
      </c>
      <c r="P11" s="1"/>
      <c r="Q11" s="43"/>
    </row>
    <row r="12" spans="1:17" ht="30" customHeight="1">
      <c r="A12" s="34">
        <v>8</v>
      </c>
      <c r="B12" s="44" t="s">
        <v>24</v>
      </c>
      <c r="C12" s="9" t="e">
        <f>+'ECA - Regular'!#REF!</f>
        <v>#REF!</v>
      </c>
      <c r="D12" s="45">
        <f>'ECA - Regular'!D9</f>
        <v>53400</v>
      </c>
      <c r="E12" s="10" t="e">
        <f t="shared" si="0"/>
        <v>#REF!</v>
      </c>
      <c r="F12" s="10">
        <f>'ECA - Regular'!K9</f>
        <v>4500</v>
      </c>
      <c r="G12" s="10"/>
      <c r="H12" s="10">
        <f>'ECA - Regular'!J9</f>
        <v>0</v>
      </c>
      <c r="I12" s="10">
        <f>'ECA - Regular'!L9</f>
        <v>0</v>
      </c>
      <c r="J12" s="10"/>
      <c r="K12" s="10"/>
      <c r="L12" s="45">
        <f>'ECA - Regular'!M9</f>
        <v>48900</v>
      </c>
      <c r="M12" s="45"/>
      <c r="N12" s="10"/>
      <c r="O12" s="57">
        <f t="shared" si="1"/>
        <v>53400</v>
      </c>
      <c r="P12" s="1"/>
      <c r="Q12" s="43"/>
    </row>
    <row r="13" spans="1:17" ht="30" customHeight="1">
      <c r="A13" s="34">
        <v>9</v>
      </c>
      <c r="B13" s="44" t="s">
        <v>273</v>
      </c>
      <c r="C13" s="9">
        <f>+' Part Time - Academics'!A8</f>
        <v>5</v>
      </c>
      <c r="D13" s="45">
        <f>' Part Time - Academics'!D9+' Part Time - Academics'!E9</f>
        <v>133550</v>
      </c>
      <c r="E13" s="10">
        <f t="shared" si="0"/>
        <v>26710</v>
      </c>
      <c r="F13" s="10">
        <f>' Part Time - Academics'!M9</f>
        <v>0</v>
      </c>
      <c r="G13" s="10"/>
      <c r="H13" s="10">
        <f>' Part Time - Academics'!I9</f>
        <v>0</v>
      </c>
      <c r="I13" s="10">
        <f>' Part Time - Academics'!L9</f>
        <v>0</v>
      </c>
      <c r="J13" s="10"/>
      <c r="K13" s="10"/>
      <c r="L13" s="45">
        <f>' Part Time - Academics'!O9</f>
        <v>133550</v>
      </c>
      <c r="M13" s="45"/>
      <c r="N13" s="10"/>
      <c r="O13" s="57">
        <f t="shared" si="1"/>
        <v>133550</v>
      </c>
      <c r="P13" s="1"/>
      <c r="Q13" s="43"/>
    </row>
    <row r="14" spans="1:17" ht="30" customHeight="1">
      <c r="A14" s="34">
        <v>10</v>
      </c>
      <c r="B14" s="44" t="s">
        <v>25</v>
      </c>
      <c r="C14" s="9" t="e">
        <f>+'Aca +ECA = Spl'!#REF!</f>
        <v>#REF!</v>
      </c>
      <c r="D14" s="45">
        <f>'Aca +ECA = Spl'!D9</f>
        <v>151825</v>
      </c>
      <c r="E14" s="10" t="e">
        <f t="shared" si="0"/>
        <v>#REF!</v>
      </c>
      <c r="F14" s="10">
        <f>'Aca +ECA = Spl'!I9</f>
        <v>0</v>
      </c>
      <c r="G14" s="10"/>
      <c r="H14" s="10"/>
      <c r="I14" s="10">
        <f>'Aca +ECA = Spl'!H9</f>
        <v>0</v>
      </c>
      <c r="J14" s="10"/>
      <c r="K14" s="10"/>
      <c r="L14" s="45">
        <f>'Aca +ECA = Spl'!J9</f>
        <v>151825</v>
      </c>
      <c r="M14" s="45"/>
      <c r="N14" s="10"/>
      <c r="O14" s="57">
        <f t="shared" si="1"/>
        <v>151825</v>
      </c>
      <c r="P14" s="1"/>
      <c r="Q14" s="43"/>
    </row>
    <row r="15" spans="1:17" ht="30" customHeight="1">
      <c r="A15" s="34">
        <v>11</v>
      </c>
      <c r="B15" s="8" t="s">
        <v>26</v>
      </c>
      <c r="C15" s="46">
        <f>+'Theni - Upparpatti'!A8</f>
        <v>4</v>
      </c>
      <c r="D15" s="47">
        <f>'Theni - Upparpatti'!V9</f>
        <v>34000</v>
      </c>
      <c r="E15" s="10">
        <f t="shared" si="0"/>
        <v>8500</v>
      </c>
      <c r="F15" s="48">
        <f>'Theni - Upparpatti'!AB9</f>
        <v>535.71428571428578</v>
      </c>
      <c r="G15" s="48">
        <f>'Theni - Upparpatti'!AD9</f>
        <v>0</v>
      </c>
      <c r="H15" s="48">
        <f>'Theni - Upparpatti'!AE9</f>
        <v>0</v>
      </c>
      <c r="I15" s="48">
        <f>'Theni - Upparpatti'!AF9</f>
        <v>0</v>
      </c>
      <c r="J15" s="48">
        <f>'Theni - Upparpatti'!AG9</f>
        <v>0</v>
      </c>
      <c r="K15" s="48">
        <f>'Theni - Upparpatti'!AH9</f>
        <v>0</v>
      </c>
      <c r="L15" s="47">
        <f>'Theni - Upparpatti'!AJ9</f>
        <v>33464</v>
      </c>
      <c r="M15" s="47">
        <f>'Theni - Upparpatti'!AK9</f>
        <v>0</v>
      </c>
      <c r="N15" s="48">
        <f>'Theni - Upparpatti'!AL9</f>
        <v>0</v>
      </c>
      <c r="O15" s="57">
        <f t="shared" si="1"/>
        <v>34000</v>
      </c>
      <c r="P15" s="1"/>
      <c r="Q15" s="43"/>
    </row>
    <row r="16" spans="1:17" ht="30" customHeight="1">
      <c r="A16" s="34">
        <v>12</v>
      </c>
      <c r="B16" s="8" t="s">
        <v>27</v>
      </c>
      <c r="C16" s="46">
        <f>+AEP!A9</f>
        <v>6</v>
      </c>
      <c r="D16" s="47">
        <f>AEP!I10</f>
        <v>38050</v>
      </c>
      <c r="E16" s="10">
        <f t="shared" si="0"/>
        <v>6341.666666666667</v>
      </c>
      <c r="F16" s="48">
        <f>AEP!G10</f>
        <v>0</v>
      </c>
      <c r="G16" s="48"/>
      <c r="H16" s="48"/>
      <c r="I16" s="48">
        <f>AEP!F10</f>
        <v>0</v>
      </c>
      <c r="J16" s="48"/>
      <c r="K16" s="48"/>
      <c r="L16" s="48">
        <f>AEP!I10</f>
        <v>38050</v>
      </c>
      <c r="M16" s="47"/>
      <c r="N16" s="48"/>
      <c r="O16" s="57">
        <f t="shared" si="1"/>
        <v>38050</v>
      </c>
      <c r="P16" s="1"/>
      <c r="Q16" s="43"/>
    </row>
    <row r="17" spans="1:17" ht="30" customHeight="1">
      <c r="A17" s="34">
        <v>13</v>
      </c>
      <c r="B17" s="8" t="s">
        <v>28</v>
      </c>
      <c r="C17" s="46">
        <f>Rifle!A4</f>
        <v>1</v>
      </c>
      <c r="D17" s="47">
        <f>Rifle!D5</f>
        <v>60000</v>
      </c>
      <c r="E17" s="10">
        <f t="shared" si="0"/>
        <v>60000</v>
      </c>
      <c r="F17" s="48">
        <f>Rifle!J5</f>
        <v>0</v>
      </c>
      <c r="G17" s="48"/>
      <c r="H17" s="48">
        <f>Rifle!H5</f>
        <v>0</v>
      </c>
      <c r="I17" s="48">
        <f>Rifle!F5</f>
        <v>0</v>
      </c>
      <c r="J17" s="48"/>
      <c r="K17" s="48"/>
      <c r="L17" s="47">
        <f>Rifle!L5</f>
        <v>60000</v>
      </c>
      <c r="M17" s="47"/>
      <c r="N17" s="48"/>
      <c r="O17" s="57">
        <f t="shared" si="1"/>
        <v>60000</v>
      </c>
      <c r="P17" s="1"/>
      <c r="Q17" s="43"/>
    </row>
    <row r="18" spans="1:17" ht="30" customHeight="1">
      <c r="A18" s="34">
        <v>14</v>
      </c>
      <c r="B18" s="8" t="s">
        <v>193</v>
      </c>
      <c r="C18" s="46">
        <f>'Part Time - Admin'!A5</f>
        <v>2</v>
      </c>
      <c r="D18" s="47">
        <f>'Part Time - Admin'!D6</f>
        <v>38382.857142857145</v>
      </c>
      <c r="E18" s="10">
        <f t="shared" si="0"/>
        <v>19191.428571428572</v>
      </c>
      <c r="F18" s="48">
        <f>'Part Time - Admin'!L6</f>
        <v>0</v>
      </c>
      <c r="G18" s="48"/>
      <c r="H18" s="48">
        <v>0</v>
      </c>
      <c r="I18" s="48">
        <f>'Part Time - Admin'!K6</f>
        <v>0</v>
      </c>
      <c r="J18" s="48"/>
      <c r="K18" s="48"/>
      <c r="L18" s="47">
        <f>'Part Time - Admin'!N6</f>
        <v>38383</v>
      </c>
      <c r="M18" s="47"/>
      <c r="N18" s="48"/>
      <c r="O18" s="57">
        <f t="shared" si="1"/>
        <v>38382.857142857145</v>
      </c>
      <c r="P18" s="1"/>
      <c r="Q18" s="43"/>
    </row>
    <row r="19" spans="1:17" ht="30" customHeight="1">
      <c r="A19" s="34">
        <v>15</v>
      </c>
      <c r="B19" s="8" t="s">
        <v>275</v>
      </c>
      <c r="C19" s="46">
        <f>+'Relieved Academics'!A5</f>
        <v>1</v>
      </c>
      <c r="D19" s="47">
        <f>'Relieved Academics'!V6</f>
        <v>7000</v>
      </c>
      <c r="E19" s="10">
        <v>0</v>
      </c>
      <c r="F19" s="48">
        <f>'Relieved Academics'!AB6</f>
        <v>673.07692307692309</v>
      </c>
      <c r="G19" s="48">
        <f>'Relieved Academics'!AD6</f>
        <v>0</v>
      </c>
      <c r="H19" s="48">
        <f>'Relieved Academics'!AE6</f>
        <v>0</v>
      </c>
      <c r="I19" s="48">
        <f>'Relieved Academics'!AF6</f>
        <v>0</v>
      </c>
      <c r="J19" s="48">
        <f>'Relieved Academics'!AG6</f>
        <v>0</v>
      </c>
      <c r="K19" s="48">
        <f>'Relieved Academics'!AH6</f>
        <v>0</v>
      </c>
      <c r="L19" s="47">
        <f>+'Relieved Academics'!AJ7</f>
        <v>0</v>
      </c>
      <c r="M19" s="47">
        <f>'Relieved Academics'!AK6</f>
        <v>0</v>
      </c>
      <c r="N19" s="48">
        <f>'Relieved Academics'!AL6</f>
        <v>0</v>
      </c>
      <c r="O19" s="57">
        <f t="shared" si="1"/>
        <v>7000</v>
      </c>
      <c r="P19" s="1"/>
      <c r="Q19" s="43"/>
    </row>
    <row r="20" spans="1:17" ht="30" customHeight="1">
      <c r="A20" s="34">
        <v>16</v>
      </c>
      <c r="B20" s="8" t="s">
        <v>276</v>
      </c>
      <c r="C20" s="46">
        <v>7</v>
      </c>
      <c r="D20" s="47">
        <f>'Relieved Admin'!V12</f>
        <v>112000</v>
      </c>
      <c r="E20" s="10">
        <v>0</v>
      </c>
      <c r="F20" s="48">
        <f>'Relieved Admin'!AB12</f>
        <v>1928.5714285714287</v>
      </c>
      <c r="G20" s="48">
        <f>'Relieved Admin'!E12</f>
        <v>0</v>
      </c>
      <c r="H20" s="48">
        <f>'Relieved Admin'!AE12</f>
        <v>0</v>
      </c>
      <c r="I20" s="48">
        <f>'Relieved Admin'!AF12</f>
        <v>3353</v>
      </c>
      <c r="J20" s="48">
        <f>'Relieved Admin'!AG12</f>
        <v>0</v>
      </c>
      <c r="K20" s="48">
        <f>'Relieved Admin'!AH12</f>
        <v>0</v>
      </c>
      <c r="L20" s="47">
        <f>'Relieved Admin'!AJ13</f>
        <v>29814</v>
      </c>
      <c r="M20" s="47">
        <f>'Relieved Admin'!AK12</f>
        <v>0</v>
      </c>
      <c r="N20" s="47">
        <f>'Relieved Admin'!AL12</f>
        <v>0</v>
      </c>
      <c r="O20" s="57">
        <f t="shared" si="1"/>
        <v>112000</v>
      </c>
      <c r="P20" s="1"/>
      <c r="Q20" s="43"/>
    </row>
    <row r="21" spans="1:17" s="41" customFormat="1" ht="30" customHeight="1">
      <c r="A21" s="418" t="s">
        <v>29</v>
      </c>
      <c r="B21" s="419"/>
      <c r="C21" s="49" t="e">
        <f>+C5+C6+C7+C8+C9+C10+2+9+5+10+3+1+2</f>
        <v>#REF!</v>
      </c>
      <c r="D21" s="50">
        <f>SUM(D5:D20)</f>
        <v>1410407.857142857</v>
      </c>
      <c r="E21" s="50" t="e">
        <f t="shared" ref="E21:O21" si="2">SUM(E5:E20)</f>
        <v>#REF!</v>
      </c>
      <c r="F21" s="50">
        <f t="shared" si="2"/>
        <v>58508.791208791205</v>
      </c>
      <c r="G21" s="50">
        <f t="shared" si="2"/>
        <v>0</v>
      </c>
      <c r="H21" s="50">
        <f t="shared" si="2"/>
        <v>23000</v>
      </c>
      <c r="I21" s="50">
        <f t="shared" si="2"/>
        <v>3951</v>
      </c>
      <c r="J21" s="50">
        <f t="shared" si="2"/>
        <v>14058</v>
      </c>
      <c r="K21" s="50">
        <f t="shared" si="2"/>
        <v>959</v>
      </c>
      <c r="L21" s="50">
        <f t="shared" si="2"/>
        <v>1226700</v>
      </c>
      <c r="M21" s="50">
        <f t="shared" si="2"/>
        <v>15239.88</v>
      </c>
      <c r="N21" s="50">
        <f t="shared" si="2"/>
        <v>4148</v>
      </c>
      <c r="O21" s="58">
        <f t="shared" si="2"/>
        <v>1429795.7371428569</v>
      </c>
      <c r="P21" s="59"/>
    </row>
    <row r="22" spans="1:17" ht="30" customHeight="1">
      <c r="A22" s="51"/>
      <c r="B22" s="1"/>
      <c r="C22" s="1"/>
      <c r="D22" s="85"/>
      <c r="E22" s="36"/>
      <c r="F22" s="52"/>
      <c r="G22" s="53"/>
      <c r="H22" s="54"/>
      <c r="I22" s="54"/>
      <c r="J22" s="53"/>
      <c r="K22" s="53"/>
      <c r="L22" s="85"/>
      <c r="M22" s="85"/>
      <c r="N22" s="85"/>
      <c r="O22" s="60"/>
      <c r="Q22" s="43"/>
    </row>
    <row r="23" spans="1:17" ht="30" customHeight="1" thickBot="1">
      <c r="A23" s="420" t="s">
        <v>30</v>
      </c>
      <c r="B23" s="421"/>
      <c r="C23" s="421"/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61">
        <f>J21+K21+L21+M21+N21</f>
        <v>1261104.8799999999</v>
      </c>
    </row>
    <row r="24" spans="1:17" s="42" customFormat="1" ht="75" customHeight="1" thickBot="1">
      <c r="A24" s="426" t="s">
        <v>31</v>
      </c>
      <c r="B24" s="425"/>
      <c r="C24" s="425" t="s">
        <v>81</v>
      </c>
      <c r="D24" s="425"/>
      <c r="E24" s="74"/>
      <c r="F24" s="425" t="s">
        <v>32</v>
      </c>
      <c r="G24" s="425"/>
      <c r="H24" s="425"/>
      <c r="I24" s="56"/>
      <c r="J24" s="56" t="s">
        <v>33</v>
      </c>
      <c r="K24" s="56"/>
      <c r="L24" s="55"/>
      <c r="M24" s="55"/>
      <c r="N24" s="422" t="s">
        <v>34</v>
      </c>
      <c r="O24" s="423"/>
      <c r="P24" s="62"/>
    </row>
    <row r="25" spans="1:17" ht="78" customHeight="1"/>
    <row r="26" spans="1:17" ht="20.25" customHeight="1">
      <c r="F26" s="4"/>
      <c r="G26" s="4"/>
      <c r="H26" s="4"/>
      <c r="I26" s="4"/>
      <c r="J26" s="4"/>
      <c r="K26" s="4"/>
    </row>
    <row r="31" spans="1:17" ht="20.25" customHeight="1">
      <c r="F31" s="4"/>
      <c r="G31" s="4"/>
      <c r="H31" s="4"/>
      <c r="I31" s="4"/>
      <c r="J31" s="4"/>
      <c r="K31" s="4"/>
    </row>
    <row r="32" spans="1:17" ht="20.25" customHeight="1">
      <c r="F32" s="4"/>
      <c r="G32" s="4"/>
      <c r="H32" s="4"/>
      <c r="I32" s="4"/>
      <c r="J32" s="4"/>
      <c r="K32" s="4"/>
    </row>
  </sheetData>
  <mergeCells count="17">
    <mergeCell ref="A23:N23"/>
    <mergeCell ref="N24:O24"/>
    <mergeCell ref="A3:A4"/>
    <mergeCell ref="B3:B4"/>
    <mergeCell ref="C3:C4"/>
    <mergeCell ref="D3:D4"/>
    <mergeCell ref="E3:E4"/>
    <mergeCell ref="L3:L4"/>
    <mergeCell ref="O3:O4"/>
    <mergeCell ref="C24:D24"/>
    <mergeCell ref="A24:B24"/>
    <mergeCell ref="F24:H24"/>
    <mergeCell ref="A1:O1"/>
    <mergeCell ref="A2:O2"/>
    <mergeCell ref="F3:K3"/>
    <mergeCell ref="M3:N3"/>
    <mergeCell ref="A21:B21"/>
  </mergeCells>
  <pageMargins left="0.2" right="0.23" top="0.21" bottom="0.36" header="0.2" footer="0.2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  <pageSetUpPr fitToPage="1"/>
  </sheetPr>
  <dimension ref="A1:AN11"/>
  <sheetViews>
    <sheetView zoomScale="55" zoomScaleNormal="55" zoomScaleSheetLayoutView="55" zoomScalePageLayoutView="35" workbookViewId="0">
      <pane xSplit="2" ySplit="4" topLeftCell="AB8" activePane="bottomRight" state="frozen"/>
      <selection pane="topRight"/>
      <selection pane="bottomLeft"/>
      <selection pane="bottomRight" activeCell="A6" sqref="A6"/>
    </sheetView>
  </sheetViews>
  <sheetFormatPr defaultColWidth="9.453125" defaultRowHeight="20.25" customHeight="1" outlineLevelCol="1"/>
  <cols>
    <col min="1" max="1" width="4.453125" style="96" customWidth="1"/>
    <col min="2" max="2" width="36.81640625" style="96" customWidth="1"/>
    <col min="3" max="3" width="29" style="98" bestFit="1" customWidth="1"/>
    <col min="4" max="12" width="7.453125" style="96" customWidth="1" outlineLevel="1"/>
    <col min="13" max="13" width="10.1796875" style="96" customWidth="1" outlineLevel="1"/>
    <col min="14" max="16" width="7.453125" style="96" customWidth="1" outlineLevel="1"/>
    <col min="17" max="17" width="7.7265625" style="102" customWidth="1" outlineLevel="1"/>
    <col min="18" max="18" width="16.7265625" style="103" bestFit="1" customWidth="1" outlineLevel="1"/>
    <col min="19" max="19" width="17.81640625" style="103" customWidth="1" outlineLevel="1"/>
    <col min="20" max="20" width="14.453125" style="103" customWidth="1" outlineLevel="1"/>
    <col min="21" max="21" width="22.26953125" style="103" bestFit="1" customWidth="1" outlineLevel="1"/>
    <col min="22" max="22" width="17.81640625" style="103" customWidth="1" outlineLevel="1"/>
    <col min="23" max="23" width="19.1796875" style="96" customWidth="1" outlineLevel="1"/>
    <col min="24" max="24" width="13.81640625" style="96" customWidth="1" outlineLevel="1"/>
    <col min="25" max="25" width="19.26953125" style="97" customWidth="1" outlineLevel="1"/>
    <col min="26" max="26" width="15.453125" style="97" customWidth="1" outlineLevel="1"/>
    <col min="27" max="27" width="18.453125" style="96" customWidth="1" outlineLevel="1"/>
    <col min="28" max="28" width="16.1796875" style="96" customWidth="1" outlineLevel="1"/>
    <col min="29" max="29" width="15" style="96" customWidth="1" outlineLevel="1"/>
    <col min="30" max="30" width="15.26953125" style="96" customWidth="1" outlineLevel="1"/>
    <col min="31" max="31" width="15.1796875" style="96" customWidth="1" outlineLevel="1"/>
    <col min="32" max="32" width="16.453125" style="96" customWidth="1" outlineLevel="1"/>
    <col min="33" max="33" width="12.1796875" style="96" customWidth="1" outlineLevel="1"/>
    <col min="34" max="34" width="10.1796875" style="96" customWidth="1" outlineLevel="1"/>
    <col min="35" max="35" width="16.453125" style="383" customWidth="1" outlineLevel="1"/>
    <col min="36" max="36" width="19.26953125" style="383" bestFit="1" customWidth="1"/>
    <col min="37" max="37" width="11.453125" style="96" customWidth="1"/>
    <col min="38" max="38" width="12.1796875" style="96" bestFit="1" customWidth="1"/>
    <col min="39" max="39" width="45" style="98" customWidth="1"/>
    <col min="40" max="40" width="26.453125" style="384" bestFit="1" customWidth="1"/>
    <col min="41" max="41" width="34.453125" style="96" bestFit="1" customWidth="1"/>
    <col min="42" max="16384" width="9.453125" style="96"/>
  </cols>
  <sheetData>
    <row r="1" spans="1:40" ht="20.25" customHeight="1">
      <c r="A1" s="427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9"/>
      <c r="AN1" s="145"/>
    </row>
    <row r="2" spans="1:40" ht="20.25" customHeight="1">
      <c r="A2" s="430" t="s">
        <v>296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2"/>
      <c r="AN2" s="145"/>
    </row>
    <row r="3" spans="1:40" s="98" customFormat="1" ht="59.25" customHeight="1">
      <c r="A3" s="439" t="s">
        <v>35</v>
      </c>
      <c r="B3" s="433" t="s">
        <v>36</v>
      </c>
      <c r="C3" s="433" t="s">
        <v>37</v>
      </c>
      <c r="D3" s="433" t="s">
        <v>38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 t="s">
        <v>39</v>
      </c>
      <c r="S3" s="433"/>
      <c r="T3" s="433"/>
      <c r="U3" s="433"/>
      <c r="V3" s="433" t="s">
        <v>40</v>
      </c>
      <c r="W3" s="433" t="s">
        <v>198</v>
      </c>
      <c r="X3" s="433" t="s">
        <v>41</v>
      </c>
      <c r="Y3" s="440" t="s">
        <v>42</v>
      </c>
      <c r="Z3" s="441" t="s">
        <v>43</v>
      </c>
      <c r="AA3" s="442" t="s">
        <v>44</v>
      </c>
      <c r="AB3" s="433" t="s">
        <v>6</v>
      </c>
      <c r="AC3" s="433"/>
      <c r="AD3" s="433"/>
      <c r="AE3" s="433"/>
      <c r="AF3" s="433"/>
      <c r="AG3" s="433"/>
      <c r="AH3" s="433"/>
      <c r="AI3" s="433"/>
      <c r="AJ3" s="443" t="s">
        <v>45</v>
      </c>
      <c r="AK3" s="433" t="s">
        <v>46</v>
      </c>
      <c r="AL3" s="433"/>
      <c r="AM3" s="444" t="s">
        <v>47</v>
      </c>
      <c r="AN3" s="146"/>
    </row>
    <row r="4" spans="1:40" s="100" customFormat="1" ht="193" customHeight="1">
      <c r="A4" s="439"/>
      <c r="B4" s="433"/>
      <c r="C4" s="433"/>
      <c r="D4" s="88" t="s">
        <v>48</v>
      </c>
      <c r="E4" s="358" t="s">
        <v>49</v>
      </c>
      <c r="F4" s="89" t="s">
        <v>50</v>
      </c>
      <c r="G4" s="89" t="s">
        <v>51</v>
      </c>
      <c r="H4" s="358" t="s">
        <v>52</v>
      </c>
      <c r="I4" s="89" t="s">
        <v>53</v>
      </c>
      <c r="J4" s="89" t="s">
        <v>54</v>
      </c>
      <c r="K4" s="88" t="s">
        <v>260</v>
      </c>
      <c r="L4" s="358" t="s">
        <v>189</v>
      </c>
      <c r="M4" s="88" t="s">
        <v>188</v>
      </c>
      <c r="N4" s="88" t="s">
        <v>58</v>
      </c>
      <c r="O4" s="88" t="s">
        <v>59</v>
      </c>
      <c r="P4" s="89" t="s">
        <v>60</v>
      </c>
      <c r="Q4" s="90" t="s">
        <v>61</v>
      </c>
      <c r="R4" s="359" t="s">
        <v>62</v>
      </c>
      <c r="S4" s="359" t="s">
        <v>63</v>
      </c>
      <c r="T4" s="92" t="s">
        <v>64</v>
      </c>
      <c r="U4" s="93" t="s">
        <v>65</v>
      </c>
      <c r="V4" s="433"/>
      <c r="W4" s="433"/>
      <c r="X4" s="433"/>
      <c r="Y4" s="440"/>
      <c r="Z4" s="441"/>
      <c r="AA4" s="442"/>
      <c r="AB4" s="109" t="s">
        <v>66</v>
      </c>
      <c r="AC4" s="86" t="s">
        <v>67</v>
      </c>
      <c r="AD4" s="87" t="s">
        <v>11</v>
      </c>
      <c r="AE4" s="109" t="s">
        <v>12</v>
      </c>
      <c r="AF4" s="108" t="s">
        <v>192</v>
      </c>
      <c r="AG4" s="87" t="s">
        <v>68</v>
      </c>
      <c r="AH4" s="87" t="s">
        <v>69</v>
      </c>
      <c r="AI4" s="94" t="s">
        <v>29</v>
      </c>
      <c r="AJ4" s="443"/>
      <c r="AK4" s="87" t="s">
        <v>70</v>
      </c>
      <c r="AL4" s="87" t="s">
        <v>71</v>
      </c>
      <c r="AM4" s="444"/>
      <c r="AN4" s="147"/>
    </row>
    <row r="5" spans="1:40" s="374" customFormat="1" ht="76" customHeight="1">
      <c r="A5" s="360">
        <v>1</v>
      </c>
      <c r="B5" s="361" t="s">
        <v>72</v>
      </c>
      <c r="C5" s="362" t="s">
        <v>73</v>
      </c>
      <c r="D5" s="362">
        <v>28</v>
      </c>
      <c r="E5" s="363">
        <v>0</v>
      </c>
      <c r="F5" s="364">
        <f t="shared" ref="F5:F9" si="0">IF((E5/3)&gt;=1,TRUNC(E5/3,0),0)</f>
        <v>0</v>
      </c>
      <c r="G5" s="364">
        <f t="shared" ref="G5:G9" si="1">E5-F5*3</f>
        <v>0</v>
      </c>
      <c r="H5" s="363">
        <v>0</v>
      </c>
      <c r="I5" s="364">
        <f t="shared" ref="I5:I9" si="2">IF(H5&lt;1,H5,H5-1)</f>
        <v>0</v>
      </c>
      <c r="J5" s="364">
        <f t="shared" ref="J5:J9" si="3">H5-I5</f>
        <v>0</v>
      </c>
      <c r="K5" s="364">
        <f>0+3+0.5</f>
        <v>3.5</v>
      </c>
      <c r="L5" s="363">
        <v>0</v>
      </c>
      <c r="M5" s="364">
        <v>0</v>
      </c>
      <c r="N5" s="364">
        <v>0</v>
      </c>
      <c r="O5" s="364">
        <v>0</v>
      </c>
      <c r="P5" s="365">
        <f>L5+M5+N5+O5</f>
        <v>0</v>
      </c>
      <c r="Q5" s="366">
        <f t="shared" ref="Q5:Q9" si="4">(F5*0.5)+(I5*0.5)+M5+(N5*2)</f>
        <v>0</v>
      </c>
      <c r="R5" s="367">
        <v>0</v>
      </c>
      <c r="S5" s="367">
        <v>0</v>
      </c>
      <c r="T5" s="367">
        <v>0</v>
      </c>
      <c r="U5" s="367">
        <f>R5-(S5+T5)</f>
        <v>0</v>
      </c>
      <c r="V5" s="367">
        <v>105000</v>
      </c>
      <c r="W5" s="367">
        <f t="shared" ref="W5:W9" si="5">V5</f>
        <v>105000</v>
      </c>
      <c r="X5" s="367">
        <v>0</v>
      </c>
      <c r="Y5" s="367">
        <f t="shared" ref="Y5:Y9" si="6">W5-AB5</f>
        <v>105000</v>
      </c>
      <c r="Z5" s="368">
        <f>V5/D5</f>
        <v>3750</v>
      </c>
      <c r="AA5" s="367">
        <v>15000</v>
      </c>
      <c r="AB5" s="369">
        <f t="shared" ref="AB5:AB9" si="7">Q5*Z5</f>
        <v>0</v>
      </c>
      <c r="AC5" s="369"/>
      <c r="AD5" s="369">
        <f t="shared" ref="AD5:AD9" si="8">(AC5)*Z5</f>
        <v>0</v>
      </c>
      <c r="AE5" s="367">
        <f t="shared" ref="AE5:AE9" si="9">T5</f>
        <v>0</v>
      </c>
      <c r="AF5" s="370"/>
      <c r="AG5" s="369">
        <f>(AA5*12%)</f>
        <v>1800</v>
      </c>
      <c r="AH5" s="369">
        <v>0</v>
      </c>
      <c r="AI5" s="371">
        <f t="shared" ref="AI5:AI9" si="10">SUM(AB5,AD5:AH5)</f>
        <v>1800</v>
      </c>
      <c r="AJ5" s="371">
        <f t="shared" ref="AJ5:AJ9" si="11">ROUND(SUM(W5:X5)-AI5,0)</f>
        <v>103200</v>
      </c>
      <c r="AK5" s="369">
        <f>(AA5*13.01%)</f>
        <v>1951.5</v>
      </c>
      <c r="AL5" s="369">
        <v>0</v>
      </c>
      <c r="AM5" s="372"/>
      <c r="AN5" s="373" t="s">
        <v>288</v>
      </c>
    </row>
    <row r="6" spans="1:40" s="374" customFormat="1" ht="76" customHeight="1">
      <c r="A6" s="360">
        <v>2</v>
      </c>
      <c r="B6" s="361" t="s">
        <v>74</v>
      </c>
      <c r="C6" s="362" t="s">
        <v>200</v>
      </c>
      <c r="D6" s="362">
        <v>28</v>
      </c>
      <c r="E6" s="363">
        <v>3</v>
      </c>
      <c r="F6" s="364">
        <f t="shared" si="0"/>
        <v>1</v>
      </c>
      <c r="G6" s="364">
        <f t="shared" si="1"/>
        <v>0</v>
      </c>
      <c r="H6" s="363">
        <v>0</v>
      </c>
      <c r="I6" s="364">
        <f t="shared" si="2"/>
        <v>0</v>
      </c>
      <c r="J6" s="364">
        <f t="shared" si="3"/>
        <v>0</v>
      </c>
      <c r="K6" s="364">
        <f>3+1.5+0</f>
        <v>4.5</v>
      </c>
      <c r="L6" s="363">
        <v>1</v>
      </c>
      <c r="M6" s="364">
        <v>0</v>
      </c>
      <c r="N6" s="364">
        <v>0</v>
      </c>
      <c r="O6" s="364">
        <v>0</v>
      </c>
      <c r="P6" s="365">
        <f t="shared" ref="P6:P9" si="12">L6+M6+N6+O6</f>
        <v>1</v>
      </c>
      <c r="Q6" s="366">
        <f t="shared" si="4"/>
        <v>0.5</v>
      </c>
      <c r="R6" s="367">
        <v>0</v>
      </c>
      <c r="S6" s="367">
        <v>0</v>
      </c>
      <c r="T6" s="367">
        <v>0</v>
      </c>
      <c r="U6" s="367">
        <f t="shared" ref="U6:U9" si="13">R6-(S6+T6)</f>
        <v>0</v>
      </c>
      <c r="V6" s="367">
        <v>36000</v>
      </c>
      <c r="W6" s="367">
        <f t="shared" si="5"/>
        <v>36000</v>
      </c>
      <c r="X6" s="367">
        <v>5000</v>
      </c>
      <c r="Y6" s="367">
        <f t="shared" si="6"/>
        <v>35357.142857142855</v>
      </c>
      <c r="Z6" s="368">
        <f t="shared" ref="Z6:Z9" si="14">V6/D6</f>
        <v>1285.7142857142858</v>
      </c>
      <c r="AA6" s="367">
        <f t="shared" ref="AA6:AA9" si="15">W6*45%</f>
        <v>16200</v>
      </c>
      <c r="AB6" s="369">
        <f t="shared" si="7"/>
        <v>642.85714285714289</v>
      </c>
      <c r="AC6" s="369">
        <v>0</v>
      </c>
      <c r="AD6" s="369">
        <f t="shared" si="8"/>
        <v>0</v>
      </c>
      <c r="AE6" s="367">
        <f t="shared" si="9"/>
        <v>0</v>
      </c>
      <c r="AF6" s="370">
        <f>299</f>
        <v>299</v>
      </c>
      <c r="AG6" s="369">
        <v>0</v>
      </c>
      <c r="AH6" s="369">
        <v>0</v>
      </c>
      <c r="AI6" s="371">
        <f t="shared" si="10"/>
        <v>941.85714285714289</v>
      </c>
      <c r="AJ6" s="371">
        <f t="shared" si="11"/>
        <v>40058</v>
      </c>
      <c r="AK6" s="369">
        <v>0</v>
      </c>
      <c r="AL6" s="369">
        <v>0</v>
      </c>
      <c r="AM6" s="372" t="s">
        <v>289</v>
      </c>
      <c r="AN6" s="375" t="s">
        <v>234</v>
      </c>
    </row>
    <row r="7" spans="1:40" s="374" customFormat="1" ht="76" customHeight="1">
      <c r="A7" s="360">
        <v>3</v>
      </c>
      <c r="B7" s="361" t="s">
        <v>75</v>
      </c>
      <c r="C7" s="362" t="s">
        <v>203</v>
      </c>
      <c r="D7" s="362">
        <v>28</v>
      </c>
      <c r="E7" s="363">
        <v>0</v>
      </c>
      <c r="F7" s="364">
        <f t="shared" si="0"/>
        <v>0</v>
      </c>
      <c r="G7" s="364">
        <f t="shared" si="1"/>
        <v>0</v>
      </c>
      <c r="H7" s="363">
        <v>0</v>
      </c>
      <c r="I7" s="364">
        <f t="shared" si="2"/>
        <v>0</v>
      </c>
      <c r="J7" s="364">
        <f t="shared" si="3"/>
        <v>0</v>
      </c>
      <c r="K7" s="364">
        <f>3+3+1</f>
        <v>7</v>
      </c>
      <c r="L7" s="363">
        <v>1</v>
      </c>
      <c r="M7" s="364">
        <v>0</v>
      </c>
      <c r="N7" s="364">
        <v>0</v>
      </c>
      <c r="O7" s="364">
        <v>0</v>
      </c>
      <c r="P7" s="365">
        <f t="shared" si="12"/>
        <v>1</v>
      </c>
      <c r="Q7" s="366">
        <f t="shared" si="4"/>
        <v>0</v>
      </c>
      <c r="R7" s="367">
        <v>0</v>
      </c>
      <c r="S7" s="367">
        <v>0</v>
      </c>
      <c r="T7" s="367">
        <v>0</v>
      </c>
      <c r="U7" s="367">
        <f t="shared" si="13"/>
        <v>0</v>
      </c>
      <c r="V7" s="367">
        <v>34500</v>
      </c>
      <c r="W7" s="367">
        <f t="shared" si="5"/>
        <v>34500</v>
      </c>
      <c r="X7" s="367">
        <v>6000</v>
      </c>
      <c r="Y7" s="367">
        <f t="shared" si="6"/>
        <v>34500</v>
      </c>
      <c r="Z7" s="368">
        <f t="shared" si="14"/>
        <v>1232.1428571428571</v>
      </c>
      <c r="AA7" s="367">
        <f t="shared" si="15"/>
        <v>15525</v>
      </c>
      <c r="AB7" s="369">
        <f t="shared" si="7"/>
        <v>0</v>
      </c>
      <c r="AC7" s="369"/>
      <c r="AD7" s="369">
        <f t="shared" si="8"/>
        <v>0</v>
      </c>
      <c r="AE7" s="367">
        <f t="shared" si="9"/>
        <v>0</v>
      </c>
      <c r="AF7" s="370"/>
      <c r="AG7" s="369">
        <v>0</v>
      </c>
      <c r="AH7" s="369">
        <v>0</v>
      </c>
      <c r="AI7" s="371">
        <f t="shared" si="10"/>
        <v>0</v>
      </c>
      <c r="AJ7" s="371">
        <f t="shared" si="11"/>
        <v>40500</v>
      </c>
      <c r="AK7" s="369">
        <v>0</v>
      </c>
      <c r="AL7" s="369">
        <v>0</v>
      </c>
      <c r="AM7" s="372" t="s">
        <v>265</v>
      </c>
      <c r="AN7" s="375" t="s">
        <v>236</v>
      </c>
    </row>
    <row r="8" spans="1:40" s="374" customFormat="1" ht="76" customHeight="1">
      <c r="A8" s="360">
        <v>4</v>
      </c>
      <c r="B8" s="361" t="s">
        <v>76</v>
      </c>
      <c r="C8" s="362" t="s">
        <v>204</v>
      </c>
      <c r="D8" s="362">
        <v>28</v>
      </c>
      <c r="E8" s="363">
        <v>2</v>
      </c>
      <c r="F8" s="364">
        <f t="shared" si="0"/>
        <v>0</v>
      </c>
      <c r="G8" s="364">
        <f t="shared" si="1"/>
        <v>2</v>
      </c>
      <c r="H8" s="363">
        <v>2</v>
      </c>
      <c r="I8" s="364">
        <f t="shared" si="2"/>
        <v>1</v>
      </c>
      <c r="J8" s="364">
        <f t="shared" si="3"/>
        <v>1</v>
      </c>
      <c r="K8" s="364">
        <f>3+2+0</f>
        <v>5</v>
      </c>
      <c r="L8" s="363">
        <v>1</v>
      </c>
      <c r="M8" s="364">
        <v>0</v>
      </c>
      <c r="N8" s="364">
        <v>0</v>
      </c>
      <c r="O8" s="364">
        <v>0</v>
      </c>
      <c r="P8" s="365">
        <f t="shared" si="12"/>
        <v>1</v>
      </c>
      <c r="Q8" s="366">
        <f t="shared" si="4"/>
        <v>0.5</v>
      </c>
      <c r="R8" s="367">
        <v>0</v>
      </c>
      <c r="S8" s="367">
        <v>0</v>
      </c>
      <c r="T8" s="367">
        <v>0</v>
      </c>
      <c r="U8" s="367">
        <f t="shared" si="13"/>
        <v>0</v>
      </c>
      <c r="V8" s="367">
        <v>23000</v>
      </c>
      <c r="W8" s="367">
        <f t="shared" si="5"/>
        <v>23000</v>
      </c>
      <c r="X8" s="367">
        <v>0</v>
      </c>
      <c r="Y8" s="367">
        <f t="shared" si="6"/>
        <v>22589.285714285714</v>
      </c>
      <c r="Z8" s="368">
        <f t="shared" si="14"/>
        <v>821.42857142857144</v>
      </c>
      <c r="AA8" s="367">
        <f t="shared" si="15"/>
        <v>10350</v>
      </c>
      <c r="AB8" s="369">
        <f t="shared" si="7"/>
        <v>410.71428571428572</v>
      </c>
      <c r="AC8" s="369"/>
      <c r="AD8" s="369">
        <f t="shared" si="8"/>
        <v>0</v>
      </c>
      <c r="AE8" s="367">
        <f t="shared" si="9"/>
        <v>0</v>
      </c>
      <c r="AF8" s="370"/>
      <c r="AG8" s="369">
        <f>(AA8*12%)</f>
        <v>1242</v>
      </c>
      <c r="AH8" s="369">
        <v>0</v>
      </c>
      <c r="AI8" s="371">
        <f t="shared" si="10"/>
        <v>1652.7142857142858</v>
      </c>
      <c r="AJ8" s="371">
        <f t="shared" si="11"/>
        <v>21347</v>
      </c>
      <c r="AK8" s="369">
        <f>(AA8*13.01%)</f>
        <v>1346.5349999999999</v>
      </c>
      <c r="AL8" s="369">
        <v>0</v>
      </c>
      <c r="AM8" s="372"/>
      <c r="AN8" s="375" t="s">
        <v>227</v>
      </c>
    </row>
    <row r="9" spans="1:40" s="374" customFormat="1" ht="76" customHeight="1">
      <c r="A9" s="360">
        <v>5</v>
      </c>
      <c r="B9" s="361" t="s">
        <v>77</v>
      </c>
      <c r="C9" s="362" t="s">
        <v>78</v>
      </c>
      <c r="D9" s="362">
        <v>28</v>
      </c>
      <c r="E9" s="363">
        <v>4</v>
      </c>
      <c r="F9" s="364">
        <f t="shared" si="0"/>
        <v>1</v>
      </c>
      <c r="G9" s="364">
        <f t="shared" si="1"/>
        <v>1</v>
      </c>
      <c r="H9" s="363">
        <v>0</v>
      </c>
      <c r="I9" s="364">
        <f t="shared" si="2"/>
        <v>0</v>
      </c>
      <c r="J9" s="364">
        <f t="shared" si="3"/>
        <v>0</v>
      </c>
      <c r="K9" s="364">
        <f>1.5+2+1.5</f>
        <v>5</v>
      </c>
      <c r="L9" s="363">
        <v>1</v>
      </c>
      <c r="M9" s="364">
        <v>0</v>
      </c>
      <c r="N9" s="364">
        <v>0</v>
      </c>
      <c r="O9" s="364">
        <v>0</v>
      </c>
      <c r="P9" s="365">
        <f t="shared" si="12"/>
        <v>1</v>
      </c>
      <c r="Q9" s="366">
        <f t="shared" si="4"/>
        <v>0.5</v>
      </c>
      <c r="R9" s="367">
        <v>0</v>
      </c>
      <c r="S9" s="367">
        <v>0</v>
      </c>
      <c r="T9" s="367">
        <v>0</v>
      </c>
      <c r="U9" s="367">
        <f t="shared" si="13"/>
        <v>0</v>
      </c>
      <c r="V9" s="367">
        <v>21000</v>
      </c>
      <c r="W9" s="367">
        <f t="shared" si="5"/>
        <v>21000</v>
      </c>
      <c r="X9" s="367">
        <v>0</v>
      </c>
      <c r="Y9" s="367">
        <f t="shared" si="6"/>
        <v>20625</v>
      </c>
      <c r="Z9" s="368">
        <f t="shared" si="14"/>
        <v>750</v>
      </c>
      <c r="AA9" s="367">
        <f t="shared" si="15"/>
        <v>9450</v>
      </c>
      <c r="AB9" s="369">
        <f t="shared" si="7"/>
        <v>375</v>
      </c>
      <c r="AC9" s="369"/>
      <c r="AD9" s="369">
        <f t="shared" si="8"/>
        <v>0</v>
      </c>
      <c r="AE9" s="367">
        <f t="shared" si="9"/>
        <v>0</v>
      </c>
      <c r="AF9" s="370"/>
      <c r="AG9" s="369">
        <f>(AA9*12%)</f>
        <v>1134</v>
      </c>
      <c r="AH9" s="369">
        <v>0</v>
      </c>
      <c r="AI9" s="371">
        <f t="shared" si="10"/>
        <v>1509</v>
      </c>
      <c r="AJ9" s="371">
        <f t="shared" si="11"/>
        <v>19491</v>
      </c>
      <c r="AK9" s="369">
        <f>(AA9*13.01%)</f>
        <v>1229.4449999999999</v>
      </c>
      <c r="AL9" s="369">
        <v>0</v>
      </c>
      <c r="AM9" s="372"/>
      <c r="AN9" s="375" t="s">
        <v>218</v>
      </c>
    </row>
    <row r="10" spans="1:40" s="379" customFormat="1" ht="76" customHeight="1">
      <c r="A10" s="434"/>
      <c r="B10" s="435"/>
      <c r="C10" s="435"/>
      <c r="D10" s="435"/>
      <c r="E10" s="435"/>
      <c r="F10" s="435"/>
      <c r="G10" s="435"/>
      <c r="H10" s="435"/>
      <c r="I10" s="435"/>
      <c r="J10" s="435"/>
      <c r="K10" s="435"/>
      <c r="L10" s="435"/>
      <c r="M10" s="435"/>
      <c r="N10" s="435"/>
      <c r="O10" s="435"/>
      <c r="P10" s="435"/>
      <c r="Q10" s="435"/>
      <c r="R10" s="95">
        <f>SUM(R5:R9)</f>
        <v>0</v>
      </c>
      <c r="S10" s="95">
        <f>SUM(S5:S9)</f>
        <v>0</v>
      </c>
      <c r="T10" s="95">
        <f>SUM(T5:T9)</f>
        <v>0</v>
      </c>
      <c r="U10" s="95">
        <f>SUM(U5:U9)</f>
        <v>0</v>
      </c>
      <c r="V10" s="95">
        <f>SUM(V5:V9)</f>
        <v>219500</v>
      </c>
      <c r="W10" s="95">
        <f>SUM(W5:W9)</f>
        <v>219500</v>
      </c>
      <c r="X10" s="95">
        <f>SUM(X5:X9)</f>
        <v>11000</v>
      </c>
      <c r="Y10" s="95">
        <f>SUM(Y5:Y9)</f>
        <v>218071.42857142855</v>
      </c>
      <c r="Z10" s="95">
        <f>SUM(Z5:Z9)</f>
        <v>7839.2857142857147</v>
      </c>
      <c r="AA10" s="95">
        <f>SUM(AA5:AA9)</f>
        <v>66525</v>
      </c>
      <c r="AB10" s="95">
        <f>SUM(AB5:AB9)</f>
        <v>1428.5714285714287</v>
      </c>
      <c r="AC10" s="95">
        <f>SUM(AC5:AC9)</f>
        <v>0</v>
      </c>
      <c r="AD10" s="95">
        <f>SUM(AD5:AD9)</f>
        <v>0</v>
      </c>
      <c r="AE10" s="367">
        <f t="shared" ref="AE10" si="16">T10</f>
        <v>0</v>
      </c>
      <c r="AF10" s="95">
        <f>SUM(AF5:AF9)</f>
        <v>299</v>
      </c>
      <c r="AG10" s="95">
        <f>SUM(AG5:AG9)</f>
        <v>4176</v>
      </c>
      <c r="AH10" s="95">
        <f>SUM(AH5:AH9)</f>
        <v>0</v>
      </c>
      <c r="AI10" s="95">
        <f>SUM(AI5:AI9)</f>
        <v>5903.5714285714294</v>
      </c>
      <c r="AJ10" s="95">
        <f>SUM(AJ5:AJ9)</f>
        <v>224596</v>
      </c>
      <c r="AK10" s="95">
        <f>SUM(AK5:AK9)</f>
        <v>4527.4799999999996</v>
      </c>
      <c r="AL10" s="95">
        <f>SUM(AL5:AL9)</f>
        <v>0</v>
      </c>
      <c r="AM10" s="377">
        <f>SUM(AM5:AM9)</f>
        <v>0</v>
      </c>
      <c r="AN10" s="378"/>
    </row>
    <row r="11" spans="1:40" s="382" customFormat="1" ht="129" customHeight="1" thickBot="1">
      <c r="A11" s="436" t="s">
        <v>31</v>
      </c>
      <c r="B11" s="437"/>
      <c r="C11" s="380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 t="s">
        <v>33</v>
      </c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437" t="s">
        <v>81</v>
      </c>
      <c r="AM11" s="438"/>
      <c r="AN11" s="145"/>
    </row>
  </sheetData>
  <autoFilter ref="A4:AR11" xr:uid="{00000000-0001-0000-0100-000000000000}"/>
  <mergeCells count="20">
    <mergeCell ref="A10:Q10"/>
    <mergeCell ref="A11:B11"/>
    <mergeCell ref="AL11:AM11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V3:V4"/>
    <mergeCell ref="A1:AM1"/>
    <mergeCell ref="A2:AM2"/>
    <mergeCell ref="D3:Q3"/>
    <mergeCell ref="R3:U3"/>
    <mergeCell ref="AB3:AI3"/>
    <mergeCell ref="AK3:AL3"/>
  </mergeCells>
  <phoneticPr fontId="10" type="noConversion"/>
  <conditionalFormatting sqref="J5:J9 M5:N9">
    <cfRule type="cellIs" dxfId="30" priority="5" stopIfTrue="1" operator="equal">
      <formula>"ER"</formula>
    </cfRule>
  </conditionalFormatting>
  <printOptions horizontalCentered="1"/>
  <pageMargins left="0.2" right="0" top="0.23622047244094499" bottom="0" header="0.31496062992126" footer="0"/>
  <pageSetup paperSize="9" scale="2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499984740745262"/>
    <pageSetUpPr fitToPage="1"/>
  </sheetPr>
  <dimension ref="A1:AN16"/>
  <sheetViews>
    <sheetView zoomScale="60" zoomScaleNormal="60" zoomScaleSheetLayoutView="70" zoomScalePageLayoutView="35" workbookViewId="0">
      <pane ySplit="4" topLeftCell="A5" activePane="bottomLeft" state="frozen"/>
      <selection pane="bottomLeft" activeCell="B7" sqref="B7"/>
    </sheetView>
  </sheetViews>
  <sheetFormatPr defaultColWidth="9.453125" defaultRowHeight="20.25" customHeight="1"/>
  <cols>
    <col min="1" max="1" width="4.453125" style="5" customWidth="1"/>
    <col min="2" max="2" width="27.453125" style="5" customWidth="1"/>
    <col min="3" max="3" width="15.453125" style="1" customWidth="1"/>
    <col min="4" max="12" width="5.1796875" style="5" customWidth="1"/>
    <col min="13" max="13" width="7" style="5" customWidth="1"/>
    <col min="14" max="15" width="5.1796875" style="5" customWidth="1"/>
    <col min="16" max="16" width="7.453125" style="5" customWidth="1"/>
    <col min="17" max="17" width="7.1796875" style="6" customWidth="1"/>
    <col min="18" max="20" width="9.1796875" style="6" customWidth="1"/>
    <col min="21" max="21" width="15" style="6" customWidth="1"/>
    <col min="22" max="22" width="16.453125" style="6" bestFit="1" customWidth="1"/>
    <col min="23" max="23" width="13.453125" style="5" customWidth="1"/>
    <col min="24" max="24" width="15.453125" style="5" bestFit="1" customWidth="1"/>
    <col min="25" max="25" width="13.81640625" style="7" bestFit="1" customWidth="1"/>
    <col min="26" max="26" width="14" style="7" customWidth="1"/>
    <col min="27" max="27" width="14.81640625" style="5" customWidth="1"/>
    <col min="28" max="28" width="11" style="5" bestFit="1" customWidth="1"/>
    <col min="29" max="29" width="8.453125" style="5" bestFit="1" customWidth="1"/>
    <col min="30" max="30" width="8.453125" style="5" customWidth="1"/>
    <col min="31" max="31" width="9.1796875" style="5" customWidth="1"/>
    <col min="32" max="32" width="10.453125" style="5" customWidth="1"/>
    <col min="33" max="34" width="9.1796875" style="5" customWidth="1"/>
    <col min="35" max="36" width="13.453125" style="5" customWidth="1"/>
    <col min="37" max="38" width="9.1796875" style="5" customWidth="1"/>
    <col min="39" max="39" width="34" style="1" customWidth="1"/>
    <col min="40" max="40" width="25.81640625" style="5" bestFit="1" customWidth="1"/>
    <col min="41" max="41" width="18" style="5" bestFit="1" customWidth="1"/>
    <col min="42" max="16384" width="9.453125" style="5"/>
  </cols>
  <sheetData>
    <row r="1" spans="1:40" ht="20.25" customHeight="1">
      <c r="A1" s="445" t="s">
        <v>0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7"/>
    </row>
    <row r="2" spans="1:40" ht="20.25" customHeight="1">
      <c r="A2" s="448" t="s">
        <v>310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50"/>
    </row>
    <row r="3" spans="1:40" s="1" customFormat="1" ht="46" customHeight="1">
      <c r="A3" s="459" t="s">
        <v>35</v>
      </c>
      <c r="B3" s="451" t="s">
        <v>36</v>
      </c>
      <c r="C3" s="451" t="s">
        <v>37</v>
      </c>
      <c r="D3" s="451" t="s">
        <v>38</v>
      </c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 t="s">
        <v>39</v>
      </c>
      <c r="S3" s="451"/>
      <c r="T3" s="451"/>
      <c r="U3" s="451"/>
      <c r="V3" s="452" t="s">
        <v>40</v>
      </c>
      <c r="W3" s="451" t="s">
        <v>198</v>
      </c>
      <c r="X3" s="451" t="s">
        <v>143</v>
      </c>
      <c r="Y3" s="460" t="s">
        <v>179</v>
      </c>
      <c r="Z3" s="460" t="s">
        <v>43</v>
      </c>
      <c r="AA3" s="461" t="s">
        <v>44</v>
      </c>
      <c r="AB3" s="451" t="s">
        <v>6</v>
      </c>
      <c r="AC3" s="451"/>
      <c r="AD3" s="451"/>
      <c r="AE3" s="451"/>
      <c r="AF3" s="451"/>
      <c r="AG3" s="451"/>
      <c r="AH3" s="451"/>
      <c r="AI3" s="451"/>
      <c r="AJ3" s="461" t="s">
        <v>45</v>
      </c>
      <c r="AK3" s="451" t="s">
        <v>46</v>
      </c>
      <c r="AL3" s="451"/>
      <c r="AM3" s="462" t="s">
        <v>47</v>
      </c>
    </row>
    <row r="4" spans="1:40" s="2" customFormat="1" ht="157" customHeight="1">
      <c r="A4" s="459"/>
      <c r="B4" s="451"/>
      <c r="C4" s="451"/>
      <c r="D4" s="78" t="s">
        <v>48</v>
      </c>
      <c r="E4" s="78" t="s">
        <v>49</v>
      </c>
      <c r="F4" s="79" t="s">
        <v>50</v>
      </c>
      <c r="G4" s="79" t="s">
        <v>51</v>
      </c>
      <c r="H4" s="78" t="s">
        <v>180</v>
      </c>
      <c r="I4" s="79" t="s">
        <v>53</v>
      </c>
      <c r="J4" s="79" t="s">
        <v>54</v>
      </c>
      <c r="K4" s="78" t="s">
        <v>260</v>
      </c>
      <c r="L4" s="78" t="s">
        <v>56</v>
      </c>
      <c r="M4" s="78" t="s">
        <v>57</v>
      </c>
      <c r="N4" s="78" t="s">
        <v>181</v>
      </c>
      <c r="O4" s="78" t="s">
        <v>59</v>
      </c>
      <c r="P4" s="79" t="s">
        <v>182</v>
      </c>
      <c r="Q4" s="80" t="s">
        <v>61</v>
      </c>
      <c r="R4" s="82" t="s">
        <v>62</v>
      </c>
      <c r="S4" s="82" t="s">
        <v>63</v>
      </c>
      <c r="T4" s="83" t="s">
        <v>64</v>
      </c>
      <c r="U4" s="84" t="s">
        <v>65</v>
      </c>
      <c r="V4" s="453"/>
      <c r="W4" s="451"/>
      <c r="X4" s="451"/>
      <c r="Y4" s="460"/>
      <c r="Z4" s="460"/>
      <c r="AA4" s="461"/>
      <c r="AB4" s="77" t="s">
        <v>66</v>
      </c>
      <c r="AC4" s="76" t="s">
        <v>67</v>
      </c>
      <c r="AD4" s="77" t="s">
        <v>11</v>
      </c>
      <c r="AE4" s="77" t="s">
        <v>12</v>
      </c>
      <c r="AF4" s="76" t="s">
        <v>13</v>
      </c>
      <c r="AG4" s="77" t="s">
        <v>68</v>
      </c>
      <c r="AH4" s="77" t="s">
        <v>183</v>
      </c>
      <c r="AI4" s="81" t="s">
        <v>29</v>
      </c>
      <c r="AJ4" s="461"/>
      <c r="AK4" s="77" t="s">
        <v>70</v>
      </c>
      <c r="AL4" s="77" t="s">
        <v>184</v>
      </c>
      <c r="AM4" s="462"/>
    </row>
    <row r="5" spans="1:40" s="289" customFormat="1" ht="93">
      <c r="A5" s="295">
        <v>1</v>
      </c>
      <c r="B5" s="235" t="s">
        <v>312</v>
      </c>
      <c r="C5" s="236" t="s">
        <v>325</v>
      </c>
      <c r="D5" s="228">
        <v>26</v>
      </c>
      <c r="E5" s="292">
        <v>2</v>
      </c>
      <c r="F5" s="237">
        <f>IF((E5/3)&gt;=1,TRUNC(E5/3,0),0)</f>
        <v>0</v>
      </c>
      <c r="G5" s="237">
        <f>E5-F5*3</f>
        <v>2</v>
      </c>
      <c r="H5" s="292">
        <v>0</v>
      </c>
      <c r="I5" s="237">
        <f>IF(H5&lt;1,H5,H5-1)</f>
        <v>0</v>
      </c>
      <c r="J5" s="229">
        <f>H5-I5</f>
        <v>0</v>
      </c>
      <c r="K5" s="229">
        <v>0</v>
      </c>
      <c r="L5" s="292">
        <v>1</v>
      </c>
      <c r="M5" s="229">
        <v>2.5</v>
      </c>
      <c r="N5" s="229">
        <v>0</v>
      </c>
      <c r="O5" s="229">
        <v>0</v>
      </c>
      <c r="P5" s="230">
        <f>L5+M5+N5+O5</f>
        <v>3.5</v>
      </c>
      <c r="Q5" s="231">
        <f>(F5*0.5)+(I5*0.5)+M5+(N5*2)</f>
        <v>2.5</v>
      </c>
      <c r="R5" s="259"/>
      <c r="S5" s="259"/>
      <c r="T5" s="259"/>
      <c r="U5" s="301">
        <f>R5-(S5+T5)</f>
        <v>0</v>
      </c>
      <c r="V5" s="227">
        <v>7000</v>
      </c>
      <c r="W5" s="181">
        <f>V5/28*26</f>
        <v>6500</v>
      </c>
      <c r="X5" s="238"/>
      <c r="Y5" s="171">
        <f>W5-AB5</f>
        <v>5826.9230769230771</v>
      </c>
      <c r="Z5" s="232">
        <f>V5/D5</f>
        <v>269.23076923076923</v>
      </c>
      <c r="AA5" s="171">
        <f>W5*45%</f>
        <v>2925</v>
      </c>
      <c r="AB5" s="233">
        <f>Q5*Z5</f>
        <v>673.07692307692309</v>
      </c>
      <c r="AC5" s="238"/>
      <c r="AD5" s="238">
        <f>(AC5)*Z5</f>
        <v>0</v>
      </c>
      <c r="AE5" s="181">
        <f>T5</f>
        <v>0</v>
      </c>
      <c r="AF5" s="293">
        <v>0</v>
      </c>
      <c r="AG5" s="238">
        <v>0</v>
      </c>
      <c r="AH5" s="238">
        <v>0</v>
      </c>
      <c r="AI5" s="234">
        <f>SUM(AB5,AD5:AH5)</f>
        <v>673.07692307692309</v>
      </c>
      <c r="AJ5" s="302">
        <f>ROUND(SUM(W5:X5)-AI5,0)</f>
        <v>5827</v>
      </c>
      <c r="AK5" s="238"/>
      <c r="AL5" s="238"/>
      <c r="AM5" s="280" t="s">
        <v>327</v>
      </c>
      <c r="AN5" s="277"/>
    </row>
    <row r="6" spans="1:40" s="3" customFormat="1" ht="50.25" customHeight="1">
      <c r="A6" s="454" t="s">
        <v>105</v>
      </c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/>
      <c r="P6" s="455"/>
      <c r="Q6" s="455"/>
      <c r="R6" s="217">
        <f>R5</f>
        <v>0</v>
      </c>
      <c r="S6" s="217">
        <f t="shared" ref="S6:AL6" si="0">S5</f>
        <v>0</v>
      </c>
      <c r="T6" s="217">
        <f t="shared" si="0"/>
        <v>0</v>
      </c>
      <c r="U6" s="217">
        <f t="shared" si="0"/>
        <v>0</v>
      </c>
      <c r="V6" s="217">
        <f t="shared" si="0"/>
        <v>7000</v>
      </c>
      <c r="W6" s="217">
        <f t="shared" si="0"/>
        <v>6500</v>
      </c>
      <c r="X6" s="217">
        <f t="shared" si="0"/>
        <v>0</v>
      </c>
      <c r="Y6" s="217">
        <f t="shared" si="0"/>
        <v>5826.9230769230771</v>
      </c>
      <c r="Z6" s="217">
        <f t="shared" si="0"/>
        <v>269.23076923076923</v>
      </c>
      <c r="AA6" s="217">
        <f t="shared" si="0"/>
        <v>2925</v>
      </c>
      <c r="AB6" s="217">
        <f t="shared" si="0"/>
        <v>673.07692307692309</v>
      </c>
      <c r="AC6" s="217">
        <f t="shared" si="0"/>
        <v>0</v>
      </c>
      <c r="AD6" s="217">
        <f t="shared" si="0"/>
        <v>0</v>
      </c>
      <c r="AE6" s="217">
        <f t="shared" si="0"/>
        <v>0</v>
      </c>
      <c r="AF6" s="217">
        <f t="shared" si="0"/>
        <v>0</v>
      </c>
      <c r="AG6" s="217">
        <f t="shared" si="0"/>
        <v>0</v>
      </c>
      <c r="AH6" s="217">
        <f t="shared" si="0"/>
        <v>0</v>
      </c>
      <c r="AI6" s="217">
        <f t="shared" si="0"/>
        <v>673.07692307692309</v>
      </c>
      <c r="AJ6" s="217">
        <f t="shared" si="0"/>
        <v>5827</v>
      </c>
      <c r="AK6" s="217">
        <f t="shared" si="0"/>
        <v>0</v>
      </c>
      <c r="AL6" s="217">
        <f t="shared" si="0"/>
        <v>0</v>
      </c>
      <c r="AM6" s="218"/>
    </row>
    <row r="7" spans="1:40" s="3" customFormat="1" ht="29.25" customHeight="1">
      <c r="A7" s="290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463" t="s">
        <v>175</v>
      </c>
      <c r="AE7" s="463"/>
      <c r="AF7" s="463"/>
      <c r="AG7" s="463"/>
      <c r="AH7" s="463"/>
      <c r="AI7" s="463"/>
      <c r="AJ7" s="217">
        <v>0</v>
      </c>
      <c r="AK7" s="288"/>
      <c r="AL7" s="288"/>
      <c r="AM7" s="291"/>
    </row>
    <row r="8" spans="1:40" s="63" customFormat="1" ht="108" customHeight="1" thickBot="1">
      <c r="A8" s="456" t="s">
        <v>31</v>
      </c>
      <c r="B8" s="457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457" t="s">
        <v>33</v>
      </c>
      <c r="V8" s="457"/>
      <c r="W8" s="457"/>
      <c r="X8" s="457"/>
      <c r="Y8" s="457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457" t="s">
        <v>81</v>
      </c>
      <c r="AL8" s="457"/>
      <c r="AM8" s="458"/>
    </row>
    <row r="9" spans="1:40" ht="20.25" customHeight="1">
      <c r="C9" s="5"/>
      <c r="R9" s="5"/>
      <c r="S9" s="5"/>
      <c r="T9" s="5"/>
      <c r="U9" s="5"/>
      <c r="V9" s="5"/>
      <c r="Y9" s="5"/>
      <c r="Z9" s="5"/>
      <c r="AK9" s="11"/>
      <c r="AM9" s="5"/>
    </row>
    <row r="10" spans="1:40" ht="20.25" customHeight="1">
      <c r="A10" s="4"/>
      <c r="B10" s="4"/>
      <c r="C10" s="4"/>
      <c r="D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40" s="4" customFormat="1" ht="20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  <c r="R11" s="5"/>
      <c r="S11" s="5"/>
      <c r="T11" s="5"/>
      <c r="U11" s="5"/>
      <c r="V11" s="5"/>
      <c r="W11" s="11"/>
      <c r="X11" s="11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40" s="4" customFormat="1" ht="20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40" ht="20.25" customHeight="1">
      <c r="C13" s="5"/>
      <c r="R13" s="5"/>
      <c r="S13" s="5"/>
      <c r="T13" s="5"/>
      <c r="U13" s="5"/>
      <c r="V13" s="5"/>
      <c r="W13" s="11"/>
      <c r="X13" s="11"/>
      <c r="Y13" s="5"/>
      <c r="Z13" s="5"/>
      <c r="AJ13" s="11"/>
      <c r="AM13" s="5"/>
    </row>
    <row r="14" spans="1:40" ht="20.25" customHeight="1">
      <c r="A14" s="4"/>
      <c r="B14" s="4"/>
      <c r="C14" s="4"/>
      <c r="D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40" ht="20.25" customHeight="1">
      <c r="A15" s="4"/>
      <c r="B15" s="4"/>
      <c r="C15" s="4"/>
      <c r="D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40" ht="20.25" customHeight="1">
      <c r="C16" s="5"/>
      <c r="R16" s="5"/>
      <c r="S16" s="5"/>
      <c r="T16" s="5"/>
      <c r="U16" s="5"/>
      <c r="V16" s="5"/>
      <c r="Y16" s="5"/>
      <c r="Z16" s="5"/>
      <c r="AM16" s="5"/>
    </row>
  </sheetData>
  <autoFilter ref="AG4:AH20" xr:uid="{00000000-0009-0000-0000-00000F000000}"/>
  <mergeCells count="22">
    <mergeCell ref="A6:Q6"/>
    <mergeCell ref="A8:B8"/>
    <mergeCell ref="U8:Y8"/>
    <mergeCell ref="AK8:AM8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AD7:AI7"/>
    <mergeCell ref="A1:AM1"/>
    <mergeCell ref="A2:AM2"/>
    <mergeCell ref="D3:Q3"/>
    <mergeCell ref="R3:U3"/>
    <mergeCell ref="AB3:AI3"/>
    <mergeCell ref="AK3:AL3"/>
    <mergeCell ref="V3:V4"/>
  </mergeCells>
  <conditionalFormatting sqref="J5 M5:N5">
    <cfRule type="cellIs" dxfId="29" priority="1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34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  <pageSetUpPr fitToPage="1"/>
  </sheetPr>
  <dimension ref="A1:AS200"/>
  <sheetViews>
    <sheetView zoomScale="46" zoomScaleNormal="70" zoomScaleSheetLayoutView="56" zoomScalePageLayoutView="35" workbookViewId="0">
      <pane xSplit="2" ySplit="4" topLeftCell="C5" activePane="bottomRight" state="frozen"/>
      <selection pane="topRight"/>
      <selection pane="bottomLeft"/>
      <selection pane="bottomRight" activeCell="A11" sqref="A11:XFD45"/>
    </sheetView>
  </sheetViews>
  <sheetFormatPr defaultColWidth="9.453125" defaultRowHeight="20.25" customHeight="1" outlineLevelCol="1"/>
  <cols>
    <col min="1" max="1" width="4.453125" style="96" customWidth="1"/>
    <col min="2" max="2" width="27" style="96" bestFit="1" customWidth="1"/>
    <col min="3" max="3" width="21.453125" style="98" bestFit="1" customWidth="1"/>
    <col min="4" max="5" width="5.453125" style="96" customWidth="1" outlineLevel="1"/>
    <col min="6" max="7" width="8" style="96" bestFit="1" customWidth="1" outlineLevel="1"/>
    <col min="8" max="10" width="5.453125" style="96" customWidth="1" outlineLevel="1"/>
    <col min="11" max="13" width="8" style="96" bestFit="1" customWidth="1" outlineLevel="1"/>
    <col min="14" max="14" width="4.81640625" style="96" bestFit="1" customWidth="1" outlineLevel="1"/>
    <col min="15" max="15" width="5.453125" style="96" customWidth="1" outlineLevel="1"/>
    <col min="16" max="16" width="6.453125" style="96" customWidth="1" outlineLevel="1"/>
    <col min="17" max="17" width="7.26953125" style="102" customWidth="1" outlineLevel="1"/>
    <col min="18" max="18" width="14.453125" style="103" customWidth="1" outlineLevel="1"/>
    <col min="19" max="19" width="13.453125" style="103" bestFit="1" customWidth="1" outlineLevel="1"/>
    <col min="20" max="20" width="12.1796875" style="103" bestFit="1" customWidth="1" outlineLevel="1"/>
    <col min="21" max="21" width="16.81640625" style="103" bestFit="1" customWidth="1" outlineLevel="1"/>
    <col min="22" max="22" width="15.81640625" style="103" customWidth="1" outlineLevel="1"/>
    <col min="23" max="23" width="16.81640625" style="96" customWidth="1" outlineLevel="1"/>
    <col min="24" max="24" width="14.453125" style="96" customWidth="1" outlineLevel="1"/>
    <col min="25" max="25" width="17.1796875" style="97" customWidth="1" outlineLevel="1"/>
    <col min="26" max="26" width="13.453125" style="97" customWidth="1" outlineLevel="1"/>
    <col min="27" max="27" width="15.1796875" style="96" customWidth="1" outlineLevel="1"/>
    <col min="28" max="28" width="13.1796875" style="96" customWidth="1" outlineLevel="1"/>
    <col min="29" max="30" width="9.7265625" style="96" customWidth="1" outlineLevel="1"/>
    <col min="31" max="31" width="13.453125" style="96" customWidth="1" outlineLevel="1"/>
    <col min="32" max="32" width="12.81640625" style="96" customWidth="1" outlineLevel="1"/>
    <col min="33" max="33" width="12.1796875" style="96" customWidth="1" outlineLevel="1"/>
    <col min="34" max="34" width="13.7265625" style="96" customWidth="1" outlineLevel="1"/>
    <col min="35" max="35" width="15.453125" style="96" customWidth="1" outlineLevel="1"/>
    <col min="36" max="36" width="16.26953125" style="96" customWidth="1"/>
    <col min="37" max="37" width="12.7265625" style="96" customWidth="1"/>
    <col min="38" max="38" width="10.81640625" style="96" customWidth="1"/>
    <col min="39" max="39" width="49.26953125" style="98" customWidth="1"/>
    <col min="40" max="40" width="27.81640625" style="411" customWidth="1"/>
    <col min="41" max="43" width="9.453125" style="96"/>
    <col min="44" max="44" width="39.453125" style="96" customWidth="1"/>
    <col min="45" max="45" width="17.453125" style="97" customWidth="1"/>
    <col min="46" max="46" width="6.453125" style="96" customWidth="1"/>
    <col min="47" max="16384" width="9.453125" style="96"/>
  </cols>
  <sheetData>
    <row r="1" spans="1:45" ht="20.25" customHeight="1" thickBot="1">
      <c r="A1" s="464" t="s">
        <v>0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6"/>
      <c r="AN1" s="385"/>
    </row>
    <row r="2" spans="1:45" ht="20.25" customHeight="1">
      <c r="A2" s="467" t="s">
        <v>297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9"/>
      <c r="AN2" s="385"/>
    </row>
    <row r="3" spans="1:45" s="98" customFormat="1" ht="44.25" customHeight="1">
      <c r="A3" s="439" t="s">
        <v>35</v>
      </c>
      <c r="B3" s="433" t="s">
        <v>36</v>
      </c>
      <c r="C3" s="433" t="s">
        <v>37</v>
      </c>
      <c r="D3" s="433" t="s">
        <v>38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 t="s">
        <v>39</v>
      </c>
      <c r="S3" s="433"/>
      <c r="T3" s="433"/>
      <c r="U3" s="433"/>
      <c r="V3" s="433" t="s">
        <v>40</v>
      </c>
      <c r="W3" s="433" t="s">
        <v>198</v>
      </c>
      <c r="X3" s="433" t="s">
        <v>41</v>
      </c>
      <c r="Y3" s="440" t="s">
        <v>42</v>
      </c>
      <c r="Z3" s="440" t="s">
        <v>43</v>
      </c>
      <c r="AA3" s="442" t="s">
        <v>44</v>
      </c>
      <c r="AB3" s="433" t="s">
        <v>6</v>
      </c>
      <c r="AC3" s="433"/>
      <c r="AD3" s="433"/>
      <c r="AE3" s="433"/>
      <c r="AF3" s="433"/>
      <c r="AG3" s="433"/>
      <c r="AH3" s="433"/>
      <c r="AI3" s="433"/>
      <c r="AJ3" s="442" t="s">
        <v>45</v>
      </c>
      <c r="AK3" s="433" t="s">
        <v>46</v>
      </c>
      <c r="AL3" s="433"/>
      <c r="AM3" s="444" t="s">
        <v>47</v>
      </c>
      <c r="AN3" s="386"/>
      <c r="AS3" s="99"/>
    </row>
    <row r="4" spans="1:45" s="100" customFormat="1" ht="241" customHeight="1">
      <c r="A4" s="439"/>
      <c r="B4" s="433"/>
      <c r="C4" s="433"/>
      <c r="D4" s="88" t="s">
        <v>48</v>
      </c>
      <c r="E4" s="358" t="s">
        <v>49</v>
      </c>
      <c r="F4" s="89" t="s">
        <v>50</v>
      </c>
      <c r="G4" s="89" t="s">
        <v>51</v>
      </c>
      <c r="H4" s="358" t="s">
        <v>52</v>
      </c>
      <c r="I4" s="89" t="s">
        <v>53</v>
      </c>
      <c r="J4" s="89" t="s">
        <v>54</v>
      </c>
      <c r="K4" s="88" t="s">
        <v>260</v>
      </c>
      <c r="L4" s="358" t="s">
        <v>189</v>
      </c>
      <c r="M4" s="88" t="s">
        <v>188</v>
      </c>
      <c r="N4" s="88" t="s">
        <v>58</v>
      </c>
      <c r="O4" s="88" t="s">
        <v>59</v>
      </c>
      <c r="P4" s="89" t="s">
        <v>60</v>
      </c>
      <c r="Q4" s="90" t="s">
        <v>61</v>
      </c>
      <c r="R4" s="91" t="s">
        <v>62</v>
      </c>
      <c r="S4" s="91" t="s">
        <v>63</v>
      </c>
      <c r="T4" s="92" t="s">
        <v>64</v>
      </c>
      <c r="U4" s="93" t="s">
        <v>65</v>
      </c>
      <c r="V4" s="433"/>
      <c r="W4" s="433"/>
      <c r="X4" s="433"/>
      <c r="Y4" s="440"/>
      <c r="Z4" s="440"/>
      <c r="AA4" s="442"/>
      <c r="AB4" s="87" t="s">
        <v>66</v>
      </c>
      <c r="AC4" s="86" t="s">
        <v>67</v>
      </c>
      <c r="AD4" s="87" t="s">
        <v>11</v>
      </c>
      <c r="AE4" s="87" t="s">
        <v>12</v>
      </c>
      <c r="AF4" s="86" t="s">
        <v>330</v>
      </c>
      <c r="AG4" s="87" t="s">
        <v>68</v>
      </c>
      <c r="AH4" s="87" t="s">
        <v>331</v>
      </c>
      <c r="AI4" s="87" t="s">
        <v>29</v>
      </c>
      <c r="AJ4" s="442"/>
      <c r="AK4" s="87" t="s">
        <v>70</v>
      </c>
      <c r="AL4" s="87" t="s">
        <v>71</v>
      </c>
      <c r="AM4" s="444"/>
      <c r="AN4" s="387"/>
      <c r="AS4" s="101"/>
    </row>
    <row r="5" spans="1:45" s="398" customFormat="1" ht="62.25" customHeight="1">
      <c r="A5" s="388">
        <v>1</v>
      </c>
      <c r="B5" s="389" t="s">
        <v>82</v>
      </c>
      <c r="C5" s="389" t="s">
        <v>83</v>
      </c>
      <c r="D5" s="389">
        <v>28</v>
      </c>
      <c r="E5" s="390">
        <v>0</v>
      </c>
      <c r="F5" s="391">
        <f t="shared" ref="F5:F10" si="0">IF((E5/3)&gt;=1,TRUNC(E5/3,0),0)</f>
        <v>0</v>
      </c>
      <c r="G5" s="391">
        <f t="shared" ref="G5:G10" si="1">E5-F5*3</f>
        <v>0</v>
      </c>
      <c r="H5" s="390">
        <v>0</v>
      </c>
      <c r="I5" s="391">
        <f t="shared" ref="I5:I10" si="2">IF(H5&lt;1,H5,H5-1)</f>
        <v>0</v>
      </c>
      <c r="J5" s="391">
        <f t="shared" ref="J5:J10" si="3">H5-I5</f>
        <v>0</v>
      </c>
      <c r="K5" s="391">
        <f>3+0+3</f>
        <v>6</v>
      </c>
      <c r="L5" s="390">
        <v>0</v>
      </c>
      <c r="M5" s="391">
        <v>0</v>
      </c>
      <c r="N5" s="391">
        <v>0</v>
      </c>
      <c r="O5" s="391">
        <v>0</v>
      </c>
      <c r="P5" s="392">
        <f t="shared" ref="P5:P10" si="4">L5+M5+N5+O5</f>
        <v>0</v>
      </c>
      <c r="Q5" s="393">
        <f t="shared" ref="Q5:Q10" si="5">(F5*0.5)+(I5*0.5)+M5+(N5*2)</f>
        <v>0</v>
      </c>
      <c r="R5" s="577">
        <v>100000</v>
      </c>
      <c r="S5" s="577">
        <f>10000+10000+10000+10000+10000+10000+10000</f>
        <v>70000</v>
      </c>
      <c r="T5" s="577">
        <v>10000</v>
      </c>
      <c r="U5" s="577">
        <f>R5-(S5+T5)</f>
        <v>20000</v>
      </c>
      <c r="V5" s="394">
        <v>85000</v>
      </c>
      <c r="W5" s="394">
        <f t="shared" ref="W5:W10" si="6">V5</f>
        <v>85000</v>
      </c>
      <c r="X5" s="394">
        <v>0</v>
      </c>
      <c r="Y5" s="394">
        <f t="shared" ref="Y5:Y10" si="7">W5-AB5</f>
        <v>85000</v>
      </c>
      <c r="Z5" s="394">
        <f t="shared" ref="Z5:Z10" si="8">V5/D5</f>
        <v>3035.7142857142858</v>
      </c>
      <c r="AA5" s="394">
        <v>15000</v>
      </c>
      <c r="AB5" s="394">
        <f t="shared" ref="AB5:AB10" si="9">Q5*Z5</f>
        <v>0</v>
      </c>
      <c r="AC5" s="394"/>
      <c r="AD5" s="394">
        <f t="shared" ref="AD5:AD10" si="10">(AC5)*Z5</f>
        <v>0</v>
      </c>
      <c r="AE5" s="394">
        <f t="shared" ref="AE5:AE10" si="11">T5</f>
        <v>10000</v>
      </c>
      <c r="AF5" s="395"/>
      <c r="AG5" s="394">
        <f>(AA5*12%)</f>
        <v>1800</v>
      </c>
      <c r="AH5" s="394">
        <v>0</v>
      </c>
      <c r="AI5" s="394">
        <f t="shared" ref="AI5:AI10" si="12">SUM(AB5,AD5:AH5)</f>
        <v>11800</v>
      </c>
      <c r="AJ5" s="394">
        <f t="shared" ref="AJ5:AJ10" si="13">ROUND(SUM(W5:X5)-AI5,0)</f>
        <v>73200</v>
      </c>
      <c r="AK5" s="394">
        <f>(AA5*13.01%)</f>
        <v>1951.5</v>
      </c>
      <c r="AL5" s="394">
        <v>0</v>
      </c>
      <c r="AM5" s="396" t="s">
        <v>323</v>
      </c>
      <c r="AN5" s="397" t="s">
        <v>247</v>
      </c>
    </row>
    <row r="6" spans="1:45" s="398" customFormat="1" ht="66" customHeight="1">
      <c r="A6" s="388">
        <v>2</v>
      </c>
      <c r="B6" s="389" t="s">
        <v>84</v>
      </c>
      <c r="C6" s="389" t="s">
        <v>85</v>
      </c>
      <c r="D6" s="389">
        <v>28</v>
      </c>
      <c r="E6" s="390">
        <v>0</v>
      </c>
      <c r="F6" s="391">
        <f t="shared" si="0"/>
        <v>0</v>
      </c>
      <c r="G6" s="391">
        <f t="shared" si="1"/>
        <v>0</v>
      </c>
      <c r="H6" s="390">
        <v>0</v>
      </c>
      <c r="I6" s="391">
        <f t="shared" si="2"/>
        <v>0</v>
      </c>
      <c r="J6" s="391">
        <f t="shared" si="3"/>
        <v>0</v>
      </c>
      <c r="K6" s="391">
        <v>0</v>
      </c>
      <c r="L6" s="390">
        <v>0</v>
      </c>
      <c r="M6" s="391">
        <v>0</v>
      </c>
      <c r="N6" s="391">
        <v>0</v>
      </c>
      <c r="O6" s="391">
        <v>0</v>
      </c>
      <c r="P6" s="392">
        <f t="shared" si="4"/>
        <v>0</v>
      </c>
      <c r="Q6" s="393">
        <f t="shared" si="5"/>
        <v>0</v>
      </c>
      <c r="R6" s="394"/>
      <c r="S6" s="394"/>
      <c r="T6" s="394"/>
      <c r="U6" s="394">
        <f>R6-(S6+T6)</f>
        <v>0</v>
      </c>
      <c r="V6" s="394">
        <v>25000</v>
      </c>
      <c r="W6" s="394">
        <f t="shared" si="6"/>
        <v>25000</v>
      </c>
      <c r="X6" s="394">
        <v>0</v>
      </c>
      <c r="Y6" s="394">
        <f t="shared" si="7"/>
        <v>25000</v>
      </c>
      <c r="Z6" s="394">
        <f t="shared" si="8"/>
        <v>892.85714285714289</v>
      </c>
      <c r="AA6" s="394">
        <f t="shared" ref="AA6:AA10" si="14">W6*45%</f>
        <v>11250</v>
      </c>
      <c r="AB6" s="394">
        <f t="shared" si="9"/>
        <v>0</v>
      </c>
      <c r="AC6" s="394"/>
      <c r="AD6" s="394">
        <f t="shared" si="10"/>
        <v>0</v>
      </c>
      <c r="AE6" s="394">
        <f t="shared" si="11"/>
        <v>0</v>
      </c>
      <c r="AF6" s="395"/>
      <c r="AG6" s="394">
        <v>0</v>
      </c>
      <c r="AH6" s="394">
        <v>0</v>
      </c>
      <c r="AI6" s="394">
        <f t="shared" si="12"/>
        <v>0</v>
      </c>
      <c r="AJ6" s="394">
        <f t="shared" si="13"/>
        <v>25000</v>
      </c>
      <c r="AK6" s="394">
        <v>0</v>
      </c>
      <c r="AL6" s="394">
        <v>0</v>
      </c>
      <c r="AM6" s="396"/>
      <c r="AN6" s="578"/>
    </row>
    <row r="7" spans="1:45" s="398" customFormat="1" ht="66" customHeight="1">
      <c r="A7" s="388">
        <v>3</v>
      </c>
      <c r="B7" s="389" t="s">
        <v>86</v>
      </c>
      <c r="C7" s="389" t="s">
        <v>87</v>
      </c>
      <c r="D7" s="389">
        <v>28</v>
      </c>
      <c r="E7" s="390">
        <v>0</v>
      </c>
      <c r="F7" s="391">
        <f t="shared" si="0"/>
        <v>0</v>
      </c>
      <c r="G7" s="391">
        <f t="shared" si="1"/>
        <v>0</v>
      </c>
      <c r="H7" s="390">
        <v>0</v>
      </c>
      <c r="I7" s="391">
        <f t="shared" si="2"/>
        <v>0</v>
      </c>
      <c r="J7" s="391">
        <f t="shared" si="3"/>
        <v>0</v>
      </c>
      <c r="K7" s="391">
        <v>0</v>
      </c>
      <c r="L7" s="390">
        <v>0</v>
      </c>
      <c r="M7" s="391">
        <v>0</v>
      </c>
      <c r="N7" s="391">
        <v>0</v>
      </c>
      <c r="O7" s="391">
        <v>0</v>
      </c>
      <c r="P7" s="392">
        <f t="shared" si="4"/>
        <v>0</v>
      </c>
      <c r="Q7" s="393">
        <f t="shared" si="5"/>
        <v>0</v>
      </c>
      <c r="R7" s="394"/>
      <c r="S7" s="394"/>
      <c r="T7" s="394"/>
      <c r="U7" s="394">
        <f>R7-(S7+T7)</f>
        <v>0</v>
      </c>
      <c r="V7" s="394">
        <v>75000</v>
      </c>
      <c r="W7" s="394">
        <f t="shared" si="6"/>
        <v>75000</v>
      </c>
      <c r="X7" s="394">
        <v>0</v>
      </c>
      <c r="Y7" s="394">
        <f t="shared" si="7"/>
        <v>75000</v>
      </c>
      <c r="Z7" s="394">
        <f t="shared" si="8"/>
        <v>2678.5714285714284</v>
      </c>
      <c r="AA7" s="394">
        <f t="shared" si="14"/>
        <v>33750</v>
      </c>
      <c r="AB7" s="394">
        <f t="shared" si="9"/>
        <v>0</v>
      </c>
      <c r="AC7" s="394"/>
      <c r="AD7" s="394">
        <f t="shared" si="10"/>
        <v>0</v>
      </c>
      <c r="AE7" s="394">
        <f t="shared" si="11"/>
        <v>0</v>
      </c>
      <c r="AF7" s="395">
        <v>0</v>
      </c>
      <c r="AG7" s="394">
        <v>0</v>
      </c>
      <c r="AH7" s="394">
        <v>0</v>
      </c>
      <c r="AI7" s="394">
        <f t="shared" si="12"/>
        <v>0</v>
      </c>
      <c r="AJ7" s="394">
        <f t="shared" si="13"/>
        <v>75000</v>
      </c>
      <c r="AK7" s="394">
        <v>0</v>
      </c>
      <c r="AL7" s="394">
        <v>0</v>
      </c>
      <c r="AM7" s="396"/>
      <c r="AN7" s="578"/>
    </row>
    <row r="8" spans="1:45" s="398" customFormat="1" ht="66" customHeight="1">
      <c r="A8" s="388">
        <v>4</v>
      </c>
      <c r="B8" s="389" t="s">
        <v>88</v>
      </c>
      <c r="C8" s="389" t="s">
        <v>205</v>
      </c>
      <c r="D8" s="389">
        <v>28</v>
      </c>
      <c r="E8" s="390">
        <v>15</v>
      </c>
      <c r="F8" s="391">
        <f t="shared" si="0"/>
        <v>5</v>
      </c>
      <c r="G8" s="391">
        <f t="shared" si="1"/>
        <v>0</v>
      </c>
      <c r="H8" s="390">
        <v>0</v>
      </c>
      <c r="I8" s="391">
        <f t="shared" si="2"/>
        <v>0</v>
      </c>
      <c r="J8" s="391">
        <f t="shared" si="3"/>
        <v>0</v>
      </c>
      <c r="K8" s="391">
        <f>2.5+4+1.5</f>
        <v>8</v>
      </c>
      <c r="L8" s="390">
        <v>1</v>
      </c>
      <c r="M8" s="391">
        <v>5</v>
      </c>
      <c r="N8" s="391">
        <v>0</v>
      </c>
      <c r="O8" s="391">
        <v>0</v>
      </c>
      <c r="P8" s="392">
        <f t="shared" si="4"/>
        <v>6</v>
      </c>
      <c r="Q8" s="393">
        <f t="shared" si="5"/>
        <v>7.5</v>
      </c>
      <c r="R8" s="394"/>
      <c r="S8" s="394"/>
      <c r="T8" s="394"/>
      <c r="U8" s="394"/>
      <c r="V8" s="394">
        <v>32000</v>
      </c>
      <c r="W8" s="394">
        <f t="shared" si="6"/>
        <v>32000</v>
      </c>
      <c r="X8" s="394">
        <v>0</v>
      </c>
      <c r="Y8" s="394">
        <f t="shared" si="7"/>
        <v>23428.571428571428</v>
      </c>
      <c r="Z8" s="394">
        <f t="shared" si="8"/>
        <v>1142.8571428571429</v>
      </c>
      <c r="AA8" s="394">
        <f t="shared" si="14"/>
        <v>14400</v>
      </c>
      <c r="AB8" s="394">
        <f t="shared" si="9"/>
        <v>8571.4285714285725</v>
      </c>
      <c r="AC8" s="394"/>
      <c r="AD8" s="394">
        <f t="shared" si="10"/>
        <v>0</v>
      </c>
      <c r="AE8" s="394">
        <f t="shared" si="11"/>
        <v>0</v>
      </c>
      <c r="AF8" s="395">
        <f>299</f>
        <v>299</v>
      </c>
      <c r="AG8" s="394">
        <v>0</v>
      </c>
      <c r="AH8" s="394">
        <v>0</v>
      </c>
      <c r="AI8" s="394">
        <f t="shared" si="12"/>
        <v>8870.4285714285725</v>
      </c>
      <c r="AJ8" s="394">
        <f t="shared" si="13"/>
        <v>23130</v>
      </c>
      <c r="AK8" s="394">
        <v>0</v>
      </c>
      <c r="AL8" s="394">
        <v>0</v>
      </c>
      <c r="AM8" s="396" t="s">
        <v>313</v>
      </c>
      <c r="AN8" s="578">
        <v>1750061000000480</v>
      </c>
    </row>
    <row r="9" spans="1:45" s="398" customFormat="1" ht="66" customHeight="1">
      <c r="A9" s="388">
        <v>5</v>
      </c>
      <c r="B9" s="389" t="s">
        <v>89</v>
      </c>
      <c r="C9" s="389" t="s">
        <v>90</v>
      </c>
      <c r="D9" s="389">
        <v>28</v>
      </c>
      <c r="E9" s="390">
        <v>0</v>
      </c>
      <c r="F9" s="391">
        <f t="shared" si="0"/>
        <v>0</v>
      </c>
      <c r="G9" s="391">
        <f t="shared" si="1"/>
        <v>0</v>
      </c>
      <c r="H9" s="390">
        <v>0</v>
      </c>
      <c r="I9" s="391">
        <f t="shared" si="2"/>
        <v>0</v>
      </c>
      <c r="J9" s="391">
        <f t="shared" si="3"/>
        <v>0</v>
      </c>
      <c r="K9" s="391">
        <f>5+2.5+4.5</f>
        <v>12</v>
      </c>
      <c r="L9" s="390">
        <v>1</v>
      </c>
      <c r="M9" s="391">
        <v>0</v>
      </c>
      <c r="N9" s="391">
        <v>0</v>
      </c>
      <c r="O9" s="391">
        <v>0</v>
      </c>
      <c r="P9" s="392">
        <f t="shared" si="4"/>
        <v>1</v>
      </c>
      <c r="Q9" s="393">
        <f t="shared" si="5"/>
        <v>0</v>
      </c>
      <c r="R9" s="394"/>
      <c r="S9" s="394"/>
      <c r="T9" s="394"/>
      <c r="U9" s="394">
        <f t="shared" ref="U9:U10" si="15">R9-(S9+T9)</f>
        <v>0</v>
      </c>
      <c r="V9" s="394">
        <v>34000</v>
      </c>
      <c r="W9" s="394">
        <f t="shared" si="6"/>
        <v>34000</v>
      </c>
      <c r="X9" s="394">
        <v>0</v>
      </c>
      <c r="Y9" s="394">
        <f t="shared" si="7"/>
        <v>34000</v>
      </c>
      <c r="Z9" s="394">
        <f t="shared" si="8"/>
        <v>1214.2857142857142</v>
      </c>
      <c r="AA9" s="394">
        <f>W9*45%</f>
        <v>15300</v>
      </c>
      <c r="AB9" s="394">
        <f t="shared" si="9"/>
        <v>0</v>
      </c>
      <c r="AC9" s="394"/>
      <c r="AD9" s="394">
        <f t="shared" si="10"/>
        <v>0</v>
      </c>
      <c r="AE9" s="394">
        <f t="shared" si="11"/>
        <v>0</v>
      </c>
      <c r="AF9" s="395"/>
      <c r="AG9" s="394">
        <v>0</v>
      </c>
      <c r="AH9" s="394">
        <v>0</v>
      </c>
      <c r="AI9" s="394">
        <f t="shared" si="12"/>
        <v>0</v>
      </c>
      <c r="AJ9" s="394">
        <f t="shared" si="13"/>
        <v>34000</v>
      </c>
      <c r="AK9" s="394">
        <v>0</v>
      </c>
      <c r="AL9" s="394">
        <v>0</v>
      </c>
      <c r="AM9" s="396" t="s">
        <v>314</v>
      </c>
      <c r="AN9" s="397" t="s">
        <v>237</v>
      </c>
    </row>
    <row r="10" spans="1:45" s="398" customFormat="1" ht="66" customHeight="1">
      <c r="A10" s="388">
        <v>6</v>
      </c>
      <c r="B10" s="389" t="s">
        <v>91</v>
      </c>
      <c r="C10" s="389" t="s">
        <v>92</v>
      </c>
      <c r="D10" s="389">
        <v>28</v>
      </c>
      <c r="E10" s="390">
        <v>0</v>
      </c>
      <c r="F10" s="391">
        <f t="shared" si="0"/>
        <v>0</v>
      </c>
      <c r="G10" s="391">
        <f t="shared" si="1"/>
        <v>0</v>
      </c>
      <c r="H10" s="390">
        <v>0</v>
      </c>
      <c r="I10" s="391">
        <f t="shared" si="2"/>
        <v>0</v>
      </c>
      <c r="J10" s="391">
        <f t="shared" si="3"/>
        <v>0</v>
      </c>
      <c r="K10" s="391">
        <f>5+5+4.5</f>
        <v>14.5</v>
      </c>
      <c r="L10" s="390">
        <v>0.5</v>
      </c>
      <c r="M10" s="391">
        <v>1.5</v>
      </c>
      <c r="N10" s="391">
        <v>0</v>
      </c>
      <c r="O10" s="391">
        <v>0</v>
      </c>
      <c r="P10" s="392">
        <f t="shared" si="4"/>
        <v>2</v>
      </c>
      <c r="Q10" s="393">
        <f t="shared" si="5"/>
        <v>1.5</v>
      </c>
      <c r="R10" s="394"/>
      <c r="S10" s="394"/>
      <c r="T10" s="394"/>
      <c r="U10" s="394">
        <f t="shared" si="15"/>
        <v>0</v>
      </c>
      <c r="V10" s="394">
        <v>20000</v>
      </c>
      <c r="W10" s="394">
        <f t="shared" si="6"/>
        <v>20000</v>
      </c>
      <c r="X10" s="394">
        <v>0</v>
      </c>
      <c r="Y10" s="394">
        <f t="shared" si="7"/>
        <v>18928.571428571428</v>
      </c>
      <c r="Z10" s="394">
        <f t="shared" si="8"/>
        <v>714.28571428571433</v>
      </c>
      <c r="AA10" s="394">
        <f t="shared" si="14"/>
        <v>9000</v>
      </c>
      <c r="AB10" s="394">
        <f t="shared" si="9"/>
        <v>1071.4285714285716</v>
      </c>
      <c r="AC10" s="394"/>
      <c r="AD10" s="394">
        <f t="shared" si="10"/>
        <v>0</v>
      </c>
      <c r="AE10" s="394">
        <f t="shared" si="11"/>
        <v>0</v>
      </c>
      <c r="AF10" s="395"/>
      <c r="AG10" s="394">
        <f>(AA10*12%)</f>
        <v>1080</v>
      </c>
      <c r="AH10" s="394">
        <f>ROUNDUP(Y10*0.75%,0)</f>
        <v>142</v>
      </c>
      <c r="AI10" s="394">
        <f t="shared" si="12"/>
        <v>2293.4285714285716</v>
      </c>
      <c r="AJ10" s="394">
        <f t="shared" si="13"/>
        <v>17707</v>
      </c>
      <c r="AK10" s="394">
        <f>(AA10*13.01%)</f>
        <v>1170.8999999999999</v>
      </c>
      <c r="AL10" s="394">
        <f>ROUNDUP((Y10+X10)*3.25%,0)</f>
        <v>616</v>
      </c>
      <c r="AM10" s="396" t="s">
        <v>315</v>
      </c>
      <c r="AN10" s="397" t="s">
        <v>243</v>
      </c>
    </row>
    <row r="11" spans="1:45" s="402" customFormat="1" ht="66" customHeight="1">
      <c r="A11" s="470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  <c r="Q11" s="471"/>
      <c r="R11" s="400">
        <f>SUM(R5:R10)</f>
        <v>100000</v>
      </c>
      <c r="S11" s="400">
        <f>SUM(S5:S10)</f>
        <v>70000</v>
      </c>
      <c r="T11" s="400">
        <f>SUM(T5:T10)</f>
        <v>10000</v>
      </c>
      <c r="U11" s="400">
        <f>SUM(U5:U10)</f>
        <v>20000</v>
      </c>
      <c r="V11" s="400">
        <f>SUM(V5:V10)</f>
        <v>271000</v>
      </c>
      <c r="W11" s="400">
        <f>SUM(W5:W10)</f>
        <v>271000</v>
      </c>
      <c r="X11" s="400">
        <f>SUM(X5:X10)</f>
        <v>0</v>
      </c>
      <c r="Y11" s="400">
        <f>SUM(Y5:Y10)</f>
        <v>261357.14285714284</v>
      </c>
      <c r="Z11" s="400">
        <f>SUM(Z5:Z10)</f>
        <v>9678.5714285714275</v>
      </c>
      <c r="AA11" s="400">
        <f>SUM(AA5:AA10)</f>
        <v>98700</v>
      </c>
      <c r="AB11" s="400">
        <f>SUM(AB5:AB10)</f>
        <v>9642.8571428571449</v>
      </c>
      <c r="AC11" s="400">
        <f>SUM(AC5:AC10)</f>
        <v>0</v>
      </c>
      <c r="AD11" s="400">
        <f>SUM(AD5:AD10)</f>
        <v>0</v>
      </c>
      <c r="AE11" s="400">
        <f>SUM(AE5:AE10)</f>
        <v>10000</v>
      </c>
      <c r="AF11" s="400">
        <f>SUM(AF5:AF10)</f>
        <v>299</v>
      </c>
      <c r="AG11" s="400">
        <f>SUM(AG5:AG10)</f>
        <v>2880</v>
      </c>
      <c r="AH11" s="400">
        <f>SUM(AH5:AH10)</f>
        <v>142</v>
      </c>
      <c r="AI11" s="400">
        <f>SUM(AI5:AI10)</f>
        <v>22963.857142857145</v>
      </c>
      <c r="AJ11" s="400">
        <f>SUM(AJ5:AJ10)</f>
        <v>248037</v>
      </c>
      <c r="AK11" s="400">
        <f>SUM(AK5:AK10)</f>
        <v>3122.3999999999996</v>
      </c>
      <c r="AL11" s="400">
        <f>SUM(AL5:AL10)</f>
        <v>616</v>
      </c>
      <c r="AM11" s="401"/>
      <c r="AN11" s="376"/>
      <c r="AS11" s="403"/>
    </row>
    <row r="12" spans="1:45" s="591" customFormat="1" ht="135" customHeight="1" thickBot="1">
      <c r="A12" s="585" t="s">
        <v>31</v>
      </c>
      <c r="B12" s="586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587"/>
      <c r="O12" s="587"/>
      <c r="P12" s="587"/>
      <c r="Q12" s="587"/>
      <c r="R12" s="587"/>
      <c r="S12" s="587"/>
      <c r="T12" s="587"/>
      <c r="U12" s="587"/>
      <c r="V12" s="587"/>
      <c r="W12" s="587" t="s">
        <v>98</v>
      </c>
      <c r="X12" s="587"/>
      <c r="Y12" s="587"/>
      <c r="Z12" s="587"/>
      <c r="AA12" s="587"/>
      <c r="AB12" s="587"/>
      <c r="AC12" s="587"/>
      <c r="AD12" s="587"/>
      <c r="AE12" s="587"/>
      <c r="AF12" s="587"/>
      <c r="AG12" s="587"/>
      <c r="AH12" s="587"/>
      <c r="AI12" s="587"/>
      <c r="AJ12" s="587"/>
      <c r="AK12" s="587"/>
      <c r="AL12" s="588" t="s">
        <v>81</v>
      </c>
      <c r="AM12" s="589"/>
      <c r="AN12" s="590"/>
      <c r="AS12" s="592"/>
    </row>
    <row r="13" spans="1:45" s="404" customFormat="1" ht="20.25" customHeight="1">
      <c r="C13" s="405"/>
      <c r="Q13" s="406"/>
      <c r="R13" s="407"/>
      <c r="S13" s="407"/>
      <c r="T13" s="407"/>
      <c r="U13" s="407"/>
      <c r="V13" s="407"/>
      <c r="Y13" s="408"/>
      <c r="Z13" s="408"/>
      <c r="AM13" s="405"/>
      <c r="AN13" s="409"/>
      <c r="AS13" s="408"/>
    </row>
    <row r="14" spans="1:45" ht="20.25" customHeight="1">
      <c r="Q14" s="96"/>
      <c r="AN14" s="410"/>
    </row>
    <row r="15" spans="1:45" ht="20.25" customHeight="1">
      <c r="Q15" s="96"/>
      <c r="AN15" s="410"/>
    </row>
    <row r="16" spans="1:45" ht="20.25" customHeight="1">
      <c r="Q16" s="96"/>
      <c r="AN16" s="410"/>
    </row>
    <row r="17" spans="4:40" ht="20.25" customHeight="1"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AN17" s="410"/>
    </row>
    <row r="18" spans="4:40" ht="20.25" customHeight="1">
      <c r="G18" s="96">
        <f>43-15</f>
        <v>28</v>
      </c>
      <c r="Q18" s="96"/>
      <c r="AN18" s="410"/>
    </row>
    <row r="19" spans="4:40" ht="20.25" customHeight="1">
      <c r="Q19" s="96"/>
      <c r="AN19" s="410"/>
    </row>
    <row r="20" spans="4:40" ht="20.25" customHeight="1">
      <c r="Q20" s="96"/>
      <c r="AN20" s="410"/>
    </row>
    <row r="21" spans="4:40" ht="20.25" customHeight="1">
      <c r="Q21" s="96"/>
      <c r="AN21" s="410"/>
    </row>
    <row r="22" spans="4:40" ht="20.25" customHeight="1"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AN22" s="410"/>
    </row>
    <row r="23" spans="4:40" ht="20.25" customHeight="1"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AN23" s="410"/>
    </row>
    <row r="24" spans="4:40" ht="20.25" customHeight="1">
      <c r="Q24" s="96"/>
      <c r="AN24" s="410"/>
    </row>
    <row r="25" spans="4:40" ht="20.25" customHeight="1">
      <c r="AN25" s="410"/>
    </row>
    <row r="26" spans="4:40" ht="20.25" customHeight="1">
      <c r="AN26" s="410"/>
    </row>
    <row r="27" spans="4:40" ht="20.25" customHeight="1">
      <c r="AN27" s="410"/>
    </row>
    <row r="28" spans="4:40" ht="20.25" customHeight="1">
      <c r="AN28" s="410"/>
    </row>
    <row r="29" spans="4:40" ht="20.25" customHeight="1">
      <c r="AN29" s="410"/>
    </row>
    <row r="30" spans="4:40" ht="20.25" customHeight="1">
      <c r="AN30" s="410"/>
    </row>
    <row r="31" spans="4:40" ht="20.25" customHeight="1">
      <c r="AN31" s="410"/>
    </row>
    <row r="32" spans="4:40" ht="20.25" customHeight="1">
      <c r="AN32" s="410"/>
    </row>
    <row r="33" spans="40:40" ht="20.25" customHeight="1">
      <c r="AN33" s="410"/>
    </row>
    <row r="34" spans="40:40" ht="20.25" customHeight="1">
      <c r="AN34" s="410"/>
    </row>
    <row r="35" spans="40:40" ht="20.25" customHeight="1">
      <c r="AN35" s="410"/>
    </row>
    <row r="36" spans="40:40" ht="20.25" customHeight="1">
      <c r="AN36" s="410"/>
    </row>
    <row r="37" spans="40:40" ht="20.25" customHeight="1">
      <c r="AN37" s="410"/>
    </row>
    <row r="38" spans="40:40" ht="20.25" customHeight="1">
      <c r="AN38" s="410"/>
    </row>
    <row r="39" spans="40:40" ht="20.25" customHeight="1">
      <c r="AN39" s="410"/>
    </row>
    <row r="40" spans="40:40" ht="20.25" customHeight="1">
      <c r="AN40" s="410"/>
    </row>
    <row r="41" spans="40:40" ht="20.25" customHeight="1">
      <c r="AN41" s="410"/>
    </row>
    <row r="42" spans="40:40" ht="20.25" customHeight="1">
      <c r="AN42" s="410"/>
    </row>
    <row r="43" spans="40:40" ht="20.25" customHeight="1">
      <c r="AN43" s="410"/>
    </row>
    <row r="44" spans="40:40" ht="20.25" customHeight="1">
      <c r="AN44" s="410"/>
    </row>
    <row r="45" spans="40:40" ht="20.25" customHeight="1">
      <c r="AN45" s="410"/>
    </row>
    <row r="46" spans="40:40" ht="20.25" customHeight="1">
      <c r="AN46" s="410"/>
    </row>
    <row r="47" spans="40:40" ht="20.25" customHeight="1">
      <c r="AN47" s="410"/>
    </row>
    <row r="48" spans="40:40" ht="20.25" customHeight="1">
      <c r="AN48" s="410"/>
    </row>
    <row r="49" spans="40:40" ht="20.25" customHeight="1">
      <c r="AN49" s="410"/>
    </row>
    <row r="50" spans="40:40" ht="20.25" customHeight="1">
      <c r="AN50" s="410"/>
    </row>
    <row r="51" spans="40:40" ht="20.25" customHeight="1">
      <c r="AN51" s="410"/>
    </row>
    <row r="52" spans="40:40" ht="20.25" customHeight="1">
      <c r="AN52" s="410"/>
    </row>
    <row r="53" spans="40:40" ht="20.25" customHeight="1">
      <c r="AN53" s="410"/>
    </row>
    <row r="54" spans="40:40" ht="20.25" customHeight="1">
      <c r="AN54" s="410"/>
    </row>
    <row r="55" spans="40:40" ht="20.25" customHeight="1">
      <c r="AN55" s="410"/>
    </row>
    <row r="56" spans="40:40" ht="20.25" customHeight="1">
      <c r="AN56" s="410"/>
    </row>
    <row r="57" spans="40:40" ht="20.25" customHeight="1">
      <c r="AN57" s="410"/>
    </row>
    <row r="58" spans="40:40" ht="20.25" customHeight="1">
      <c r="AN58" s="410"/>
    </row>
    <row r="59" spans="40:40" ht="20.25" customHeight="1">
      <c r="AN59" s="410"/>
    </row>
    <row r="60" spans="40:40" ht="20.25" customHeight="1">
      <c r="AN60" s="410"/>
    </row>
    <row r="61" spans="40:40" ht="20.25" customHeight="1">
      <c r="AN61" s="410"/>
    </row>
    <row r="62" spans="40:40" ht="20.25" customHeight="1">
      <c r="AN62" s="410"/>
    </row>
    <row r="63" spans="40:40" ht="20.25" customHeight="1">
      <c r="AN63" s="410"/>
    </row>
    <row r="64" spans="40:40" ht="20.25" customHeight="1">
      <c r="AN64" s="410"/>
    </row>
    <row r="65" spans="40:40" ht="20.25" customHeight="1">
      <c r="AN65" s="410"/>
    </row>
    <row r="66" spans="40:40" ht="20.25" customHeight="1">
      <c r="AN66" s="410"/>
    </row>
    <row r="67" spans="40:40" ht="20.25" customHeight="1">
      <c r="AN67" s="410"/>
    </row>
    <row r="68" spans="40:40" ht="20.25" customHeight="1">
      <c r="AN68" s="410"/>
    </row>
    <row r="69" spans="40:40" ht="20.25" customHeight="1">
      <c r="AN69" s="410"/>
    </row>
    <row r="70" spans="40:40" ht="20.25" customHeight="1">
      <c r="AN70" s="410"/>
    </row>
    <row r="71" spans="40:40" ht="20.25" customHeight="1">
      <c r="AN71" s="410"/>
    </row>
    <row r="72" spans="40:40" ht="20.25" customHeight="1">
      <c r="AN72" s="410"/>
    </row>
    <row r="73" spans="40:40" ht="20.25" customHeight="1">
      <c r="AN73" s="410"/>
    </row>
    <row r="74" spans="40:40" ht="20.25" customHeight="1">
      <c r="AN74" s="410"/>
    </row>
    <row r="75" spans="40:40" ht="20.25" customHeight="1">
      <c r="AN75" s="410"/>
    </row>
    <row r="76" spans="40:40" ht="20.25" customHeight="1">
      <c r="AN76" s="410"/>
    </row>
    <row r="77" spans="40:40" ht="20.25" customHeight="1">
      <c r="AN77" s="410"/>
    </row>
    <row r="78" spans="40:40" ht="20.25" customHeight="1">
      <c r="AN78" s="410"/>
    </row>
    <row r="79" spans="40:40" ht="20.25" customHeight="1">
      <c r="AN79" s="410"/>
    </row>
    <row r="80" spans="40:40" ht="20.25" customHeight="1">
      <c r="AN80" s="410"/>
    </row>
    <row r="81" spans="40:40" ht="20.25" customHeight="1">
      <c r="AN81" s="410"/>
    </row>
    <row r="82" spans="40:40" ht="20.25" customHeight="1">
      <c r="AN82" s="410"/>
    </row>
    <row r="83" spans="40:40" ht="20.25" customHeight="1">
      <c r="AN83" s="410"/>
    </row>
    <row r="84" spans="40:40" ht="20.25" customHeight="1">
      <c r="AN84" s="410"/>
    </row>
    <row r="85" spans="40:40" ht="20.25" customHeight="1">
      <c r="AN85" s="410"/>
    </row>
    <row r="86" spans="40:40" ht="20.25" customHeight="1">
      <c r="AN86" s="410"/>
    </row>
    <row r="87" spans="40:40" ht="20.25" customHeight="1">
      <c r="AN87" s="410"/>
    </row>
    <row r="88" spans="40:40" ht="20.25" customHeight="1">
      <c r="AN88" s="410"/>
    </row>
    <row r="89" spans="40:40" ht="20.25" customHeight="1">
      <c r="AN89" s="410"/>
    </row>
    <row r="90" spans="40:40" ht="20.25" customHeight="1">
      <c r="AN90" s="410"/>
    </row>
    <row r="91" spans="40:40" ht="20.25" customHeight="1">
      <c r="AN91" s="410"/>
    </row>
    <row r="92" spans="40:40" ht="20.25" customHeight="1">
      <c r="AN92" s="410"/>
    </row>
    <row r="93" spans="40:40" ht="20.25" customHeight="1">
      <c r="AN93" s="410"/>
    </row>
    <row r="94" spans="40:40" ht="20.25" customHeight="1">
      <c r="AN94" s="410"/>
    </row>
    <row r="95" spans="40:40" ht="20.25" customHeight="1">
      <c r="AN95" s="410"/>
    </row>
    <row r="96" spans="40:40" ht="20.25" customHeight="1">
      <c r="AN96" s="410"/>
    </row>
    <row r="97" spans="40:40" ht="20.25" customHeight="1">
      <c r="AN97" s="410"/>
    </row>
    <row r="98" spans="40:40" ht="20.25" customHeight="1">
      <c r="AN98" s="410"/>
    </row>
    <row r="99" spans="40:40" ht="20.25" customHeight="1">
      <c r="AN99" s="410"/>
    </row>
    <row r="100" spans="40:40" ht="20.25" customHeight="1">
      <c r="AN100" s="410"/>
    </row>
    <row r="101" spans="40:40" ht="20.25" customHeight="1">
      <c r="AN101" s="410"/>
    </row>
    <row r="102" spans="40:40" ht="20.25" customHeight="1">
      <c r="AN102" s="410"/>
    </row>
    <row r="103" spans="40:40" ht="20.25" customHeight="1">
      <c r="AN103" s="410"/>
    </row>
    <row r="104" spans="40:40" ht="20.25" customHeight="1">
      <c r="AN104" s="410"/>
    </row>
    <row r="105" spans="40:40" ht="20.25" customHeight="1">
      <c r="AN105" s="410"/>
    </row>
    <row r="106" spans="40:40" ht="20.25" customHeight="1">
      <c r="AN106" s="410"/>
    </row>
    <row r="107" spans="40:40" ht="20.25" customHeight="1">
      <c r="AN107" s="410"/>
    </row>
    <row r="108" spans="40:40" ht="20.25" customHeight="1">
      <c r="AN108" s="410"/>
    </row>
    <row r="109" spans="40:40" ht="20.25" customHeight="1">
      <c r="AN109" s="410"/>
    </row>
    <row r="110" spans="40:40" ht="20.25" customHeight="1">
      <c r="AN110" s="410"/>
    </row>
    <row r="111" spans="40:40" ht="20.25" customHeight="1">
      <c r="AN111" s="410"/>
    </row>
    <row r="112" spans="40:40" ht="20.25" customHeight="1">
      <c r="AN112" s="410"/>
    </row>
    <row r="113" spans="40:40" ht="20.25" customHeight="1">
      <c r="AN113" s="410"/>
    </row>
    <row r="114" spans="40:40" ht="20.25" customHeight="1">
      <c r="AN114" s="410"/>
    </row>
    <row r="115" spans="40:40" ht="20.25" customHeight="1">
      <c r="AN115" s="410"/>
    </row>
    <row r="116" spans="40:40" ht="20.25" customHeight="1">
      <c r="AN116" s="410"/>
    </row>
    <row r="117" spans="40:40" ht="20.25" customHeight="1">
      <c r="AN117" s="410"/>
    </row>
    <row r="118" spans="40:40" ht="20.25" customHeight="1">
      <c r="AN118" s="410"/>
    </row>
    <row r="119" spans="40:40" ht="20.25" customHeight="1">
      <c r="AN119" s="410"/>
    </row>
    <row r="120" spans="40:40" ht="20.25" customHeight="1">
      <c r="AN120" s="410"/>
    </row>
    <row r="121" spans="40:40" ht="20.25" customHeight="1">
      <c r="AN121" s="410"/>
    </row>
    <row r="122" spans="40:40" ht="20.25" customHeight="1">
      <c r="AN122" s="410"/>
    </row>
    <row r="123" spans="40:40" ht="20.25" customHeight="1">
      <c r="AN123" s="410"/>
    </row>
    <row r="124" spans="40:40" ht="20.25" customHeight="1">
      <c r="AN124" s="410"/>
    </row>
    <row r="125" spans="40:40" ht="20.25" customHeight="1">
      <c r="AN125" s="410"/>
    </row>
    <row r="126" spans="40:40" ht="20.25" customHeight="1">
      <c r="AN126" s="410"/>
    </row>
    <row r="127" spans="40:40" ht="20.25" customHeight="1">
      <c r="AN127" s="410"/>
    </row>
    <row r="128" spans="40:40" ht="20.25" customHeight="1">
      <c r="AN128" s="410"/>
    </row>
    <row r="129" spans="40:40" ht="20.25" customHeight="1">
      <c r="AN129" s="410"/>
    </row>
    <row r="130" spans="40:40" ht="20.25" customHeight="1">
      <c r="AN130" s="410"/>
    </row>
    <row r="131" spans="40:40" ht="20.25" customHeight="1">
      <c r="AN131" s="410"/>
    </row>
    <row r="132" spans="40:40" ht="20.25" customHeight="1">
      <c r="AN132" s="410"/>
    </row>
    <row r="133" spans="40:40" ht="20.25" customHeight="1">
      <c r="AN133" s="410"/>
    </row>
    <row r="134" spans="40:40" ht="20.25" customHeight="1">
      <c r="AN134" s="410"/>
    </row>
    <row r="135" spans="40:40" ht="20.25" customHeight="1">
      <c r="AN135" s="410"/>
    </row>
    <row r="136" spans="40:40" ht="20.25" customHeight="1">
      <c r="AN136" s="410"/>
    </row>
    <row r="137" spans="40:40" ht="20.25" customHeight="1">
      <c r="AN137" s="410"/>
    </row>
    <row r="138" spans="40:40" ht="20.25" customHeight="1">
      <c r="AN138" s="410"/>
    </row>
    <row r="139" spans="40:40" ht="20.25" customHeight="1">
      <c r="AN139" s="410"/>
    </row>
    <row r="140" spans="40:40" ht="20.25" customHeight="1">
      <c r="AN140" s="410"/>
    </row>
    <row r="141" spans="40:40" ht="20.25" customHeight="1">
      <c r="AN141" s="410"/>
    </row>
    <row r="142" spans="40:40" ht="20.25" customHeight="1">
      <c r="AN142" s="410"/>
    </row>
    <row r="143" spans="40:40" ht="20.25" customHeight="1">
      <c r="AN143" s="410"/>
    </row>
    <row r="144" spans="40:40" ht="20.25" customHeight="1">
      <c r="AN144" s="410"/>
    </row>
    <row r="145" spans="40:40" ht="20.25" customHeight="1">
      <c r="AN145" s="410"/>
    </row>
    <row r="146" spans="40:40" ht="20.25" customHeight="1">
      <c r="AN146" s="410"/>
    </row>
    <row r="147" spans="40:40" ht="20.25" customHeight="1">
      <c r="AN147" s="410"/>
    </row>
    <row r="148" spans="40:40" ht="20.25" customHeight="1">
      <c r="AN148" s="410"/>
    </row>
    <row r="149" spans="40:40" ht="20.25" customHeight="1">
      <c r="AN149" s="410"/>
    </row>
    <row r="150" spans="40:40" ht="20.25" customHeight="1">
      <c r="AN150" s="410"/>
    </row>
    <row r="151" spans="40:40" ht="20.25" customHeight="1">
      <c r="AN151" s="410"/>
    </row>
    <row r="152" spans="40:40" ht="20.25" customHeight="1">
      <c r="AN152" s="410"/>
    </row>
    <row r="153" spans="40:40" ht="20.25" customHeight="1">
      <c r="AN153" s="410"/>
    </row>
    <row r="154" spans="40:40" ht="20.25" customHeight="1">
      <c r="AN154" s="410"/>
    </row>
    <row r="155" spans="40:40" ht="20.25" customHeight="1">
      <c r="AN155" s="410"/>
    </row>
    <row r="156" spans="40:40" ht="20.25" customHeight="1">
      <c r="AN156" s="410"/>
    </row>
    <row r="157" spans="40:40" ht="20.25" customHeight="1">
      <c r="AN157" s="410"/>
    </row>
    <row r="158" spans="40:40" ht="20.25" customHeight="1">
      <c r="AN158" s="410"/>
    </row>
    <row r="159" spans="40:40" ht="20.25" customHeight="1">
      <c r="AN159" s="410"/>
    </row>
    <row r="160" spans="40:40" ht="20.25" customHeight="1">
      <c r="AN160" s="410"/>
    </row>
    <row r="161" spans="40:40" ht="20.25" customHeight="1">
      <c r="AN161" s="410"/>
    </row>
    <row r="162" spans="40:40" ht="20.25" customHeight="1">
      <c r="AN162" s="410"/>
    </row>
    <row r="163" spans="40:40" ht="20.25" customHeight="1">
      <c r="AN163" s="410"/>
    </row>
    <row r="164" spans="40:40" ht="20.25" customHeight="1">
      <c r="AN164" s="410"/>
    </row>
    <row r="165" spans="40:40" ht="20.25" customHeight="1">
      <c r="AN165" s="410"/>
    </row>
    <row r="166" spans="40:40" ht="20.25" customHeight="1">
      <c r="AN166" s="410"/>
    </row>
    <row r="167" spans="40:40" ht="20.25" customHeight="1">
      <c r="AN167" s="410"/>
    </row>
    <row r="168" spans="40:40" ht="20.25" customHeight="1">
      <c r="AN168" s="410"/>
    </row>
    <row r="169" spans="40:40" ht="20.25" customHeight="1">
      <c r="AN169" s="410"/>
    </row>
    <row r="170" spans="40:40" ht="20.25" customHeight="1">
      <c r="AN170" s="410"/>
    </row>
    <row r="171" spans="40:40" ht="20.25" customHeight="1">
      <c r="AN171" s="410"/>
    </row>
    <row r="172" spans="40:40" ht="20.25" customHeight="1">
      <c r="AN172" s="410"/>
    </row>
    <row r="173" spans="40:40" ht="20.25" customHeight="1">
      <c r="AN173" s="410"/>
    </row>
    <row r="174" spans="40:40" ht="20.25" customHeight="1">
      <c r="AN174" s="410"/>
    </row>
    <row r="175" spans="40:40" ht="20.25" customHeight="1">
      <c r="AN175" s="410"/>
    </row>
    <row r="176" spans="40:40" ht="20.25" customHeight="1">
      <c r="AN176" s="410"/>
    </row>
    <row r="177" spans="40:40" ht="20.25" customHeight="1">
      <c r="AN177" s="410"/>
    </row>
    <row r="178" spans="40:40" ht="20.25" customHeight="1">
      <c r="AN178" s="410"/>
    </row>
    <row r="179" spans="40:40" ht="20.25" customHeight="1">
      <c r="AN179" s="410"/>
    </row>
    <row r="180" spans="40:40" ht="20.25" customHeight="1">
      <c r="AN180" s="410"/>
    </row>
    <row r="181" spans="40:40" ht="20.25" customHeight="1">
      <c r="AN181" s="410"/>
    </row>
    <row r="182" spans="40:40" ht="20.25" customHeight="1">
      <c r="AN182" s="410"/>
    </row>
    <row r="183" spans="40:40" ht="20.25" customHeight="1">
      <c r="AN183" s="410"/>
    </row>
    <row r="184" spans="40:40" ht="20.25" customHeight="1">
      <c r="AN184" s="410"/>
    </row>
    <row r="185" spans="40:40" ht="20.25" customHeight="1">
      <c r="AN185" s="410"/>
    </row>
    <row r="186" spans="40:40" ht="20.25" customHeight="1">
      <c r="AN186" s="410"/>
    </row>
    <row r="187" spans="40:40" ht="20.25" customHeight="1">
      <c r="AN187" s="410"/>
    </row>
    <row r="188" spans="40:40" ht="20.25" customHeight="1">
      <c r="AN188" s="410"/>
    </row>
    <row r="189" spans="40:40" ht="20.25" customHeight="1">
      <c r="AN189" s="410"/>
    </row>
    <row r="190" spans="40:40" ht="20.25" customHeight="1">
      <c r="AN190" s="410"/>
    </row>
    <row r="191" spans="40:40" ht="20.25" customHeight="1">
      <c r="AN191" s="410"/>
    </row>
    <row r="192" spans="40:40" ht="20.25" customHeight="1">
      <c r="AN192" s="410"/>
    </row>
    <row r="193" spans="40:40" ht="20.25" customHeight="1">
      <c r="AN193" s="410"/>
    </row>
    <row r="194" spans="40:40" ht="20.25" customHeight="1">
      <c r="AN194" s="410"/>
    </row>
    <row r="195" spans="40:40" ht="20.25" customHeight="1">
      <c r="AN195" s="410"/>
    </row>
    <row r="196" spans="40:40" ht="20.25" customHeight="1">
      <c r="AN196" s="410"/>
    </row>
    <row r="197" spans="40:40" ht="20.25" customHeight="1">
      <c r="AN197" s="410"/>
    </row>
    <row r="198" spans="40:40" ht="20.25" customHeight="1">
      <c r="AN198" s="410"/>
    </row>
    <row r="199" spans="40:40" ht="20.25" customHeight="1">
      <c r="AN199" s="410"/>
    </row>
    <row r="200" spans="40:40" ht="20.25" customHeight="1">
      <c r="AN200" s="410"/>
    </row>
  </sheetData>
  <autoFilter ref="A4:AS12" xr:uid="{00000000-0001-0000-0200-000000000000}"/>
  <mergeCells count="20">
    <mergeCell ref="A11:Q11"/>
    <mergeCell ref="A12:B12"/>
    <mergeCell ref="AL12:AM12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A1:AM1"/>
    <mergeCell ref="A2:AM2"/>
    <mergeCell ref="D3:Q3"/>
    <mergeCell ref="R3:U3"/>
    <mergeCell ref="AB3:AI3"/>
    <mergeCell ref="AK3:AL3"/>
    <mergeCell ref="V3:V4"/>
  </mergeCells>
  <conditionalFormatting sqref="J5:J10">
    <cfRule type="cellIs" dxfId="28" priority="1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2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499984740745262"/>
    <pageSetUpPr fitToPage="1"/>
  </sheetPr>
  <dimension ref="A1:AS23"/>
  <sheetViews>
    <sheetView topLeftCell="B1" zoomScale="55" zoomScaleNormal="55" zoomScaleSheetLayoutView="70" zoomScalePageLayoutView="35" workbookViewId="0">
      <pane ySplit="4" topLeftCell="A11" activePane="bottomLeft" state="frozen"/>
      <selection pane="bottomLeft" activeCell="AJ13" sqref="AJ13"/>
    </sheetView>
  </sheetViews>
  <sheetFormatPr defaultColWidth="9.453125" defaultRowHeight="20.25" customHeight="1"/>
  <cols>
    <col min="1" max="1" width="4.453125" style="96" customWidth="1"/>
    <col min="2" max="2" width="25.1796875" style="96" customWidth="1"/>
    <col min="3" max="3" width="15.453125" style="98" customWidth="1"/>
    <col min="4" max="5" width="5.1796875" style="96" customWidth="1"/>
    <col min="6" max="7" width="6.453125" style="96" bestFit="1" customWidth="1"/>
    <col min="8" max="10" width="5.1796875" style="96" customWidth="1"/>
    <col min="11" max="13" width="7" style="96" customWidth="1"/>
    <col min="14" max="15" width="5.1796875" style="96" customWidth="1"/>
    <col min="16" max="16" width="6.453125" style="96" customWidth="1"/>
    <col min="17" max="17" width="6.453125" style="102" customWidth="1"/>
    <col min="18" max="18" width="9.1796875" style="102" bestFit="1" customWidth="1"/>
    <col min="19" max="19" width="9.7265625" style="102" bestFit="1" customWidth="1"/>
    <col min="20" max="20" width="10.453125" style="102" customWidth="1"/>
    <col min="21" max="21" width="12" style="102" bestFit="1" customWidth="1"/>
    <col min="22" max="22" width="15.453125" style="102" bestFit="1" customWidth="1"/>
    <col min="23" max="23" width="21.1796875" style="96" customWidth="1"/>
    <col min="24" max="24" width="9.1796875" style="96" customWidth="1"/>
    <col min="25" max="25" width="13.81640625" style="97" bestFit="1" customWidth="1"/>
    <col min="26" max="26" width="22.54296875" style="97" customWidth="1"/>
    <col min="27" max="27" width="13.453125" style="96" customWidth="1"/>
    <col min="28" max="28" width="11.453125" style="96" customWidth="1"/>
    <col min="29" max="30" width="9.1796875" style="96" customWidth="1"/>
    <col min="31" max="31" width="11" style="96" customWidth="1"/>
    <col min="32" max="32" width="12.26953125" style="96" customWidth="1"/>
    <col min="33" max="34" width="9.1796875" style="96" customWidth="1"/>
    <col min="35" max="35" width="11.81640625" style="96" customWidth="1"/>
    <col min="36" max="36" width="16" style="96" bestFit="1" customWidth="1"/>
    <col min="37" max="38" width="9.1796875" style="96" customWidth="1"/>
    <col min="39" max="39" width="34.453125" style="98" customWidth="1"/>
    <col min="40" max="40" width="25.81640625" style="96" customWidth="1"/>
    <col min="41" max="16384" width="9.453125" style="96"/>
  </cols>
  <sheetData>
    <row r="1" spans="1:45" ht="20.25" customHeight="1">
      <c r="A1" s="445" t="s">
        <v>0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7"/>
    </row>
    <row r="2" spans="1:45" ht="20.25" customHeight="1">
      <c r="A2" s="448" t="s">
        <v>311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50"/>
    </row>
    <row r="3" spans="1:45" s="98" customFormat="1" ht="29.25" customHeight="1">
      <c r="A3" s="459" t="s">
        <v>35</v>
      </c>
      <c r="B3" s="451" t="s">
        <v>36</v>
      </c>
      <c r="C3" s="451" t="s">
        <v>37</v>
      </c>
      <c r="D3" s="451" t="s">
        <v>38</v>
      </c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 t="s">
        <v>39</v>
      </c>
      <c r="S3" s="451"/>
      <c r="T3" s="451"/>
      <c r="U3" s="451"/>
      <c r="V3" s="452" t="s">
        <v>199</v>
      </c>
      <c r="W3" s="451" t="s">
        <v>198</v>
      </c>
      <c r="X3" s="451" t="s">
        <v>41</v>
      </c>
      <c r="Y3" s="460" t="s">
        <v>42</v>
      </c>
      <c r="Z3" s="460" t="s">
        <v>43</v>
      </c>
      <c r="AA3" s="461" t="s">
        <v>44</v>
      </c>
      <c r="AB3" s="451" t="s">
        <v>6</v>
      </c>
      <c r="AC3" s="451"/>
      <c r="AD3" s="451"/>
      <c r="AE3" s="451"/>
      <c r="AF3" s="451"/>
      <c r="AG3" s="451"/>
      <c r="AH3" s="451"/>
      <c r="AI3" s="451"/>
      <c r="AJ3" s="461" t="s">
        <v>45</v>
      </c>
      <c r="AK3" s="451" t="s">
        <v>46</v>
      </c>
      <c r="AL3" s="451"/>
      <c r="AM3" s="462" t="s">
        <v>47</v>
      </c>
    </row>
    <row r="4" spans="1:45" s="100" customFormat="1" ht="147" customHeight="1">
      <c r="A4" s="459"/>
      <c r="B4" s="451"/>
      <c r="C4" s="451"/>
      <c r="D4" s="78" t="s">
        <v>48</v>
      </c>
      <c r="E4" s="78" t="s">
        <v>49</v>
      </c>
      <c r="F4" s="79" t="s">
        <v>50</v>
      </c>
      <c r="G4" s="79" t="s">
        <v>51</v>
      </c>
      <c r="H4" s="78" t="s">
        <v>52</v>
      </c>
      <c r="I4" s="79" t="s">
        <v>53</v>
      </c>
      <c r="J4" s="79" t="s">
        <v>54</v>
      </c>
      <c r="K4" s="78" t="s">
        <v>260</v>
      </c>
      <c r="L4" s="78" t="s">
        <v>56</v>
      </c>
      <c r="M4" s="78" t="s">
        <v>57</v>
      </c>
      <c r="N4" s="78" t="s">
        <v>58</v>
      </c>
      <c r="O4" s="78" t="s">
        <v>59</v>
      </c>
      <c r="P4" s="79" t="s">
        <v>60</v>
      </c>
      <c r="Q4" s="80" t="s">
        <v>61</v>
      </c>
      <c r="R4" s="148" t="s">
        <v>62</v>
      </c>
      <c r="S4" s="148" t="s">
        <v>63</v>
      </c>
      <c r="T4" s="149" t="s">
        <v>64</v>
      </c>
      <c r="U4" s="150" t="s">
        <v>65</v>
      </c>
      <c r="V4" s="453"/>
      <c r="W4" s="451"/>
      <c r="X4" s="451"/>
      <c r="Y4" s="460"/>
      <c r="Z4" s="460"/>
      <c r="AA4" s="461"/>
      <c r="AB4" s="77" t="s">
        <v>66</v>
      </c>
      <c r="AC4" s="76" t="s">
        <v>67</v>
      </c>
      <c r="AD4" s="77" t="s">
        <v>11</v>
      </c>
      <c r="AE4" s="77" t="s">
        <v>12</v>
      </c>
      <c r="AF4" s="76" t="s">
        <v>13</v>
      </c>
      <c r="AG4" s="77" t="s">
        <v>68</v>
      </c>
      <c r="AH4" s="77" t="s">
        <v>69</v>
      </c>
      <c r="AI4" s="81" t="s">
        <v>29</v>
      </c>
      <c r="AJ4" s="461"/>
      <c r="AK4" s="77" t="s">
        <v>70</v>
      </c>
      <c r="AL4" s="77" t="s">
        <v>71</v>
      </c>
      <c r="AM4" s="462"/>
    </row>
    <row r="5" spans="1:45" s="100" customFormat="1" ht="147" customHeight="1">
      <c r="A5" s="303">
        <v>1</v>
      </c>
      <c r="B5" s="314" t="s">
        <v>263</v>
      </c>
      <c r="C5" s="304" t="s">
        <v>266</v>
      </c>
      <c r="D5" s="304">
        <v>9</v>
      </c>
      <c r="E5" s="305">
        <v>0</v>
      </c>
      <c r="F5" s="311">
        <f t="shared" ref="F5:F11" si="0">IF((E5/3)&gt;=1,TRUNC(E5/3,0),0)</f>
        <v>0</v>
      </c>
      <c r="G5" s="311">
        <f t="shared" ref="G5:G11" si="1">E5-F5*3</f>
        <v>0</v>
      </c>
      <c r="H5" s="305">
        <v>0</v>
      </c>
      <c r="I5" s="311">
        <f>IF(H5&lt;1,H5,H5-1)</f>
        <v>0</v>
      </c>
      <c r="J5" s="311">
        <f t="shared" ref="J5:J11" si="2">H5-I5</f>
        <v>0</v>
      </c>
      <c r="K5" s="311">
        <f>0+0+1</f>
        <v>1</v>
      </c>
      <c r="L5" s="305">
        <v>0</v>
      </c>
      <c r="M5" s="306">
        <v>0</v>
      </c>
      <c r="N5" s="306">
        <v>0</v>
      </c>
      <c r="O5" s="306">
        <v>0</v>
      </c>
      <c r="P5" s="307">
        <f t="shared" ref="P5:P11" si="3">L5+M5+N5+O5</f>
        <v>0</v>
      </c>
      <c r="Q5" s="308">
        <f t="shared" ref="Q5:Q11" si="4">(F5*0.5)+(I5*0.5)+M5+(N5*2)</f>
        <v>0</v>
      </c>
      <c r="R5" s="315"/>
      <c r="S5" s="315"/>
      <c r="T5" s="315"/>
      <c r="U5" s="315">
        <f>R5-(S5+T5)</f>
        <v>0</v>
      </c>
      <c r="V5" s="262">
        <v>18000</v>
      </c>
      <c r="W5" s="262">
        <f>V5/28*9</f>
        <v>5785.7142857142862</v>
      </c>
      <c r="X5" s="262">
        <v>0</v>
      </c>
      <c r="Y5" s="260">
        <f>W5-AB5</f>
        <v>5785.7142857142862</v>
      </c>
      <c r="Z5" s="260">
        <f>+W5/9</f>
        <v>642.85714285714289</v>
      </c>
      <c r="AA5" s="260">
        <f t="shared" ref="AA5:AA11" si="5">W5*45%</f>
        <v>2603.5714285714289</v>
      </c>
      <c r="AB5" s="260">
        <f t="shared" ref="AB5:AB11" si="6">Q5*Z5</f>
        <v>0</v>
      </c>
      <c r="AC5" s="260"/>
      <c r="AD5" s="260">
        <f t="shared" ref="AD5:AD11" si="7">(AC5)*Z5</f>
        <v>0</v>
      </c>
      <c r="AE5" s="262">
        <f t="shared" ref="AE5:AE11" si="8">T5</f>
        <v>0</v>
      </c>
      <c r="AF5" s="312">
        <v>0</v>
      </c>
      <c r="AG5" s="260">
        <v>0</v>
      </c>
      <c r="AH5" s="260">
        <v>0</v>
      </c>
      <c r="AI5" s="260">
        <f t="shared" ref="AI5:AI11" si="9">SUM(AB5,AD5:AH5)</f>
        <v>0</v>
      </c>
      <c r="AJ5" s="260">
        <f>ROUND(SUM(W5:X5)-AI5,0)</f>
        <v>5786</v>
      </c>
      <c r="AK5" s="260"/>
      <c r="AL5" s="260"/>
      <c r="AM5" s="316" t="s">
        <v>316</v>
      </c>
      <c r="AN5" s="263" t="s">
        <v>262</v>
      </c>
    </row>
    <row r="6" spans="1:45" s="100" customFormat="1" ht="147" customHeight="1">
      <c r="A6" s="303">
        <v>2</v>
      </c>
      <c r="B6" s="304" t="s">
        <v>178</v>
      </c>
      <c r="C6" s="304" t="s">
        <v>97</v>
      </c>
      <c r="D6" s="304">
        <v>28</v>
      </c>
      <c r="E6" s="305">
        <v>0</v>
      </c>
      <c r="F6" s="306">
        <f t="shared" si="0"/>
        <v>0</v>
      </c>
      <c r="G6" s="306">
        <f t="shared" si="1"/>
        <v>0</v>
      </c>
      <c r="H6" s="305">
        <v>1</v>
      </c>
      <c r="I6" s="306">
        <f>IF(H6&lt;1,H6,H6-1)</f>
        <v>0</v>
      </c>
      <c r="J6" s="306">
        <f t="shared" si="2"/>
        <v>1</v>
      </c>
      <c r="K6" s="306">
        <f>5+5+4</f>
        <v>14</v>
      </c>
      <c r="L6" s="305">
        <v>1</v>
      </c>
      <c r="M6" s="306">
        <v>2</v>
      </c>
      <c r="N6" s="306">
        <v>0</v>
      </c>
      <c r="O6" s="306">
        <v>0</v>
      </c>
      <c r="P6" s="307">
        <f t="shared" si="3"/>
        <v>3</v>
      </c>
      <c r="Q6" s="308">
        <f t="shared" si="4"/>
        <v>2</v>
      </c>
      <c r="R6" s="260"/>
      <c r="S6" s="260"/>
      <c r="T6" s="260"/>
      <c r="U6" s="260"/>
      <c r="V6" s="260">
        <v>27000</v>
      </c>
      <c r="W6" s="260">
        <f>V6</f>
        <v>27000</v>
      </c>
      <c r="X6" s="260"/>
      <c r="Y6" s="260">
        <f t="shared" ref="Y6:Y11" si="10">W6-AB6</f>
        <v>25071.428571428572</v>
      </c>
      <c r="Z6" s="260">
        <f>V6/D6</f>
        <v>964.28571428571433</v>
      </c>
      <c r="AA6" s="260">
        <f t="shared" si="5"/>
        <v>12150</v>
      </c>
      <c r="AB6" s="260">
        <f t="shared" si="6"/>
        <v>1928.5714285714287</v>
      </c>
      <c r="AC6" s="260"/>
      <c r="AD6" s="260">
        <f t="shared" si="7"/>
        <v>0</v>
      </c>
      <c r="AE6" s="260">
        <f t="shared" si="8"/>
        <v>0</v>
      </c>
      <c r="AF6" s="309">
        <v>1043</v>
      </c>
      <c r="AG6" s="260">
        <v>0</v>
      </c>
      <c r="AH6" s="260"/>
      <c r="AI6" s="260">
        <f t="shared" si="9"/>
        <v>2971.5714285714284</v>
      </c>
      <c r="AJ6" s="260">
        <f>ROUND(SUM(W6:X6)-AI6,0)</f>
        <v>24028</v>
      </c>
      <c r="AK6" s="260"/>
      <c r="AL6" s="260"/>
      <c r="AM6" s="310" t="s">
        <v>324</v>
      </c>
      <c r="AN6" s="261" t="s">
        <v>235</v>
      </c>
    </row>
    <row r="7" spans="1:45" s="100" customFormat="1" ht="147" customHeight="1">
      <c r="A7" s="303">
        <v>3</v>
      </c>
      <c r="B7" s="304" t="s">
        <v>283</v>
      </c>
      <c r="C7" s="304" t="s">
        <v>104</v>
      </c>
      <c r="D7" s="304">
        <v>11</v>
      </c>
      <c r="E7" s="317">
        <v>0</v>
      </c>
      <c r="F7" s="311">
        <f t="shared" si="0"/>
        <v>0</v>
      </c>
      <c r="G7" s="311">
        <f t="shared" si="1"/>
        <v>0</v>
      </c>
      <c r="H7" s="317">
        <v>0</v>
      </c>
      <c r="I7" s="311">
        <f>IF(H7&lt;2,H7,H7-2)</f>
        <v>0</v>
      </c>
      <c r="J7" s="311">
        <f t="shared" si="2"/>
        <v>0</v>
      </c>
      <c r="K7" s="311">
        <f>0+1</f>
        <v>1</v>
      </c>
      <c r="L7" s="317">
        <v>0.5</v>
      </c>
      <c r="M7" s="311">
        <v>0</v>
      </c>
      <c r="N7" s="311">
        <v>0</v>
      </c>
      <c r="O7" s="311">
        <v>0</v>
      </c>
      <c r="P7" s="318">
        <f t="shared" si="3"/>
        <v>0.5</v>
      </c>
      <c r="Q7" s="315">
        <f t="shared" si="4"/>
        <v>0</v>
      </c>
      <c r="R7" s="262"/>
      <c r="S7" s="262"/>
      <c r="T7" s="262"/>
      <c r="U7" s="262">
        <f>R7-(S7+T7)</f>
        <v>0</v>
      </c>
      <c r="V7" s="262">
        <v>15000</v>
      </c>
      <c r="W7" s="262">
        <f>V7/28*11</f>
        <v>5892.8571428571422</v>
      </c>
      <c r="X7" s="262">
        <v>0</v>
      </c>
      <c r="Y7" s="260">
        <f t="shared" si="10"/>
        <v>5892.8571428571422</v>
      </c>
      <c r="Z7" s="262">
        <f>(W7+X7)/D7</f>
        <v>535.71428571428567</v>
      </c>
      <c r="AA7" s="260">
        <f t="shared" si="5"/>
        <v>2651.7857142857142</v>
      </c>
      <c r="AB7" s="260">
        <f t="shared" si="6"/>
        <v>0</v>
      </c>
      <c r="AC7" s="260"/>
      <c r="AD7" s="260">
        <f t="shared" si="7"/>
        <v>0</v>
      </c>
      <c r="AE7" s="262">
        <f t="shared" si="8"/>
        <v>0</v>
      </c>
      <c r="AF7" s="312">
        <v>2310</v>
      </c>
      <c r="AG7" s="260"/>
      <c r="AH7" s="260"/>
      <c r="AI7" s="260">
        <f t="shared" si="9"/>
        <v>2310</v>
      </c>
      <c r="AJ7" s="260">
        <f>ROUND(SUM(W7:X7)-AI7,0)</f>
        <v>3583</v>
      </c>
      <c r="AK7" s="260"/>
      <c r="AL7" s="260"/>
      <c r="AM7" s="313" t="s">
        <v>329</v>
      </c>
      <c r="AN7" s="264" t="s">
        <v>293</v>
      </c>
    </row>
    <row r="8" spans="1:45" s="100" customFormat="1" ht="147" customHeight="1">
      <c r="A8" s="303">
        <v>4</v>
      </c>
      <c r="B8" s="304" t="s">
        <v>278</v>
      </c>
      <c r="C8" s="304" t="s">
        <v>104</v>
      </c>
      <c r="D8" s="304">
        <v>28</v>
      </c>
      <c r="E8" s="317">
        <v>0</v>
      </c>
      <c r="F8" s="311">
        <f t="shared" si="0"/>
        <v>0</v>
      </c>
      <c r="G8" s="311">
        <f t="shared" si="1"/>
        <v>0</v>
      </c>
      <c r="H8" s="317">
        <v>0</v>
      </c>
      <c r="I8" s="311">
        <f>IF(H8&lt;2,H8,H8-2)</f>
        <v>0</v>
      </c>
      <c r="J8" s="311">
        <f t="shared" si="2"/>
        <v>0</v>
      </c>
      <c r="K8" s="311">
        <f>0+4+7</f>
        <v>11</v>
      </c>
      <c r="L8" s="317">
        <v>0</v>
      </c>
      <c r="M8" s="311">
        <v>0</v>
      </c>
      <c r="N8" s="311">
        <v>0</v>
      </c>
      <c r="O8" s="311">
        <v>0</v>
      </c>
      <c r="P8" s="318">
        <f t="shared" si="3"/>
        <v>0</v>
      </c>
      <c r="Q8" s="315">
        <f t="shared" si="4"/>
        <v>0</v>
      </c>
      <c r="R8" s="262"/>
      <c r="S8" s="262"/>
      <c r="T8" s="262"/>
      <c r="U8" s="262">
        <f>R8-(S8+T8)</f>
        <v>0</v>
      </c>
      <c r="V8" s="262">
        <v>15000</v>
      </c>
      <c r="W8" s="262">
        <f>V8</f>
        <v>15000</v>
      </c>
      <c r="X8" s="262">
        <v>0</v>
      </c>
      <c r="Y8" s="260">
        <f t="shared" si="10"/>
        <v>15000</v>
      </c>
      <c r="Z8" s="262">
        <f>(W8+X8)/D8</f>
        <v>535.71428571428567</v>
      </c>
      <c r="AA8" s="260">
        <f t="shared" si="5"/>
        <v>6750</v>
      </c>
      <c r="AB8" s="260">
        <f t="shared" si="6"/>
        <v>0</v>
      </c>
      <c r="AC8" s="260"/>
      <c r="AD8" s="260">
        <f t="shared" si="7"/>
        <v>0</v>
      </c>
      <c r="AE8" s="262">
        <f t="shared" si="8"/>
        <v>0</v>
      </c>
      <c r="AF8" s="312"/>
      <c r="AG8" s="260"/>
      <c r="AH8" s="260"/>
      <c r="AI8" s="260">
        <f t="shared" si="9"/>
        <v>0</v>
      </c>
      <c r="AJ8" s="260">
        <v>0</v>
      </c>
      <c r="AK8" s="260"/>
      <c r="AL8" s="260"/>
      <c r="AM8" s="313" t="s">
        <v>318</v>
      </c>
      <c r="AN8" s="258" t="s">
        <v>219</v>
      </c>
    </row>
    <row r="9" spans="1:45" s="100" customFormat="1" ht="147" customHeight="1">
      <c r="A9" s="303">
        <v>5</v>
      </c>
      <c r="B9" s="304" t="s">
        <v>268</v>
      </c>
      <c r="C9" s="304" t="s">
        <v>104</v>
      </c>
      <c r="D9" s="304">
        <v>28</v>
      </c>
      <c r="E9" s="317">
        <v>0</v>
      </c>
      <c r="F9" s="311">
        <f t="shared" si="0"/>
        <v>0</v>
      </c>
      <c r="G9" s="311">
        <f t="shared" si="1"/>
        <v>0</v>
      </c>
      <c r="H9" s="317">
        <v>0</v>
      </c>
      <c r="I9" s="311">
        <f>IF(H9&lt;2,H9,H9-2)</f>
        <v>0</v>
      </c>
      <c r="J9" s="311">
        <f t="shared" si="2"/>
        <v>0</v>
      </c>
      <c r="K9" s="311">
        <f>0+2+3</f>
        <v>5</v>
      </c>
      <c r="L9" s="317">
        <v>0</v>
      </c>
      <c r="M9" s="311">
        <v>0</v>
      </c>
      <c r="N9" s="311">
        <v>0</v>
      </c>
      <c r="O9" s="311">
        <v>0</v>
      </c>
      <c r="P9" s="318">
        <f t="shared" si="3"/>
        <v>0</v>
      </c>
      <c r="Q9" s="315">
        <f t="shared" si="4"/>
        <v>0</v>
      </c>
      <c r="R9" s="262"/>
      <c r="S9" s="262"/>
      <c r="T9" s="262"/>
      <c r="U9" s="262">
        <f>R9-(S9+T9)</f>
        <v>0</v>
      </c>
      <c r="V9" s="262">
        <v>15000</v>
      </c>
      <c r="W9" s="262">
        <f>V9</f>
        <v>15000</v>
      </c>
      <c r="X9" s="262">
        <v>0</v>
      </c>
      <c r="Y9" s="260">
        <f t="shared" si="10"/>
        <v>15000</v>
      </c>
      <c r="Z9" s="262">
        <f>(W9+X9)/D9</f>
        <v>535.71428571428567</v>
      </c>
      <c r="AA9" s="260">
        <f t="shared" si="5"/>
        <v>6750</v>
      </c>
      <c r="AB9" s="260">
        <f t="shared" si="6"/>
        <v>0</v>
      </c>
      <c r="AC9" s="260"/>
      <c r="AD9" s="260">
        <f t="shared" si="7"/>
        <v>0</v>
      </c>
      <c r="AE9" s="262">
        <f t="shared" si="8"/>
        <v>0</v>
      </c>
      <c r="AF9" s="312"/>
      <c r="AG9" s="260"/>
      <c r="AH9" s="260"/>
      <c r="AI9" s="260">
        <f t="shared" si="9"/>
        <v>0</v>
      </c>
      <c r="AJ9" s="260"/>
      <c r="AK9" s="260"/>
      <c r="AL9" s="260"/>
      <c r="AM9" s="313" t="s">
        <v>317</v>
      </c>
      <c r="AN9" s="264" t="s">
        <v>270</v>
      </c>
    </row>
    <row r="10" spans="1:45" s="100" customFormat="1" ht="147" customHeight="1">
      <c r="A10" s="303">
        <v>6</v>
      </c>
      <c r="B10" s="304" t="s">
        <v>185</v>
      </c>
      <c r="C10" s="304" t="s">
        <v>123</v>
      </c>
      <c r="D10" s="304">
        <v>28</v>
      </c>
      <c r="E10" s="317">
        <v>0</v>
      </c>
      <c r="F10" s="311">
        <f t="shared" si="0"/>
        <v>0</v>
      </c>
      <c r="G10" s="311">
        <f t="shared" si="1"/>
        <v>0</v>
      </c>
      <c r="H10" s="317">
        <v>0</v>
      </c>
      <c r="I10" s="311">
        <f>IF(H10&lt;2,H10,H10-2)</f>
        <v>0</v>
      </c>
      <c r="J10" s="311">
        <f t="shared" si="2"/>
        <v>0</v>
      </c>
      <c r="K10" s="311">
        <f>5+5+5</f>
        <v>15</v>
      </c>
      <c r="L10" s="317">
        <v>0</v>
      </c>
      <c r="M10" s="311">
        <v>0</v>
      </c>
      <c r="N10" s="311">
        <v>0</v>
      </c>
      <c r="O10" s="311">
        <v>0</v>
      </c>
      <c r="P10" s="318">
        <f t="shared" si="3"/>
        <v>0</v>
      </c>
      <c r="Q10" s="315">
        <f t="shared" si="4"/>
        <v>0</v>
      </c>
      <c r="R10" s="262"/>
      <c r="S10" s="262"/>
      <c r="T10" s="262"/>
      <c r="U10" s="262">
        <f>R10-(S10+T10)</f>
        <v>0</v>
      </c>
      <c r="V10" s="262">
        <v>7000</v>
      </c>
      <c r="W10" s="260">
        <f>V10</f>
        <v>7000</v>
      </c>
      <c r="X10" s="260">
        <v>0</v>
      </c>
      <c r="Y10" s="260">
        <f t="shared" si="10"/>
        <v>7000</v>
      </c>
      <c r="Z10" s="262">
        <f>V10/D10</f>
        <v>250</v>
      </c>
      <c r="AA10" s="260">
        <f t="shared" si="5"/>
        <v>3150</v>
      </c>
      <c r="AB10" s="260">
        <f t="shared" si="6"/>
        <v>0</v>
      </c>
      <c r="AC10" s="260"/>
      <c r="AD10" s="260">
        <f t="shared" si="7"/>
        <v>0</v>
      </c>
      <c r="AE10" s="262">
        <f t="shared" si="8"/>
        <v>0</v>
      </c>
      <c r="AF10" s="312">
        <v>0</v>
      </c>
      <c r="AG10" s="260">
        <v>0</v>
      </c>
      <c r="AH10" s="260">
        <v>0</v>
      </c>
      <c r="AI10" s="260">
        <f t="shared" si="9"/>
        <v>0</v>
      </c>
      <c r="AJ10" s="260"/>
      <c r="AK10" s="260">
        <v>0</v>
      </c>
      <c r="AL10" s="260">
        <v>0</v>
      </c>
      <c r="AM10" s="321" t="s">
        <v>321</v>
      </c>
      <c r="AN10" s="320" t="s">
        <v>212</v>
      </c>
    </row>
    <row r="11" spans="1:45" s="35" customFormat="1" ht="57" customHeight="1">
      <c r="A11" s="303">
        <v>7</v>
      </c>
      <c r="B11" s="304" t="s">
        <v>259</v>
      </c>
      <c r="C11" s="304" t="s">
        <v>104</v>
      </c>
      <c r="D11" s="304">
        <v>28</v>
      </c>
      <c r="E11" s="317">
        <v>0</v>
      </c>
      <c r="F11" s="311">
        <f t="shared" si="0"/>
        <v>0</v>
      </c>
      <c r="G11" s="311">
        <f t="shared" si="1"/>
        <v>0</v>
      </c>
      <c r="H11" s="317">
        <v>0</v>
      </c>
      <c r="I11" s="311">
        <f>IF(H11&lt;2,H11,H11-2)</f>
        <v>0</v>
      </c>
      <c r="J11" s="311">
        <f t="shared" si="2"/>
        <v>0</v>
      </c>
      <c r="K11" s="311">
        <f>0+1.5+4.5</f>
        <v>6</v>
      </c>
      <c r="L11" s="317">
        <v>0</v>
      </c>
      <c r="M11" s="311">
        <v>0</v>
      </c>
      <c r="N11" s="311">
        <v>0</v>
      </c>
      <c r="O11" s="311">
        <v>0</v>
      </c>
      <c r="P11" s="318">
        <f t="shared" si="3"/>
        <v>0</v>
      </c>
      <c r="Q11" s="315">
        <f t="shared" si="4"/>
        <v>0</v>
      </c>
      <c r="R11" s="262"/>
      <c r="S11" s="262"/>
      <c r="T11" s="262"/>
      <c r="U11" s="262">
        <f>R11-(S11+T11)</f>
        <v>0</v>
      </c>
      <c r="V11" s="262">
        <v>15000</v>
      </c>
      <c r="W11" s="262">
        <f>V11</f>
        <v>15000</v>
      </c>
      <c r="X11" s="262">
        <v>0</v>
      </c>
      <c r="Y11" s="260">
        <f t="shared" si="10"/>
        <v>15000</v>
      </c>
      <c r="Z11" s="262">
        <f>(W11+X11)/D11</f>
        <v>535.71428571428567</v>
      </c>
      <c r="AA11" s="260">
        <f t="shared" si="5"/>
        <v>6750</v>
      </c>
      <c r="AB11" s="260">
        <f t="shared" si="6"/>
        <v>0</v>
      </c>
      <c r="AC11" s="260"/>
      <c r="AD11" s="260">
        <f t="shared" si="7"/>
        <v>0</v>
      </c>
      <c r="AE11" s="262">
        <f t="shared" si="8"/>
        <v>0</v>
      </c>
      <c r="AF11" s="312"/>
      <c r="AG11" s="260"/>
      <c r="AH11" s="260"/>
      <c r="AI11" s="260">
        <f t="shared" si="9"/>
        <v>0</v>
      </c>
      <c r="AJ11" s="260"/>
      <c r="AK11" s="260"/>
      <c r="AL11" s="260"/>
      <c r="AM11" s="313" t="s">
        <v>318</v>
      </c>
      <c r="AN11" s="258" t="s">
        <v>271</v>
      </c>
      <c r="AP11" s="151"/>
      <c r="AQ11" s="151"/>
      <c r="AR11" s="151"/>
      <c r="AS11" s="151"/>
    </row>
    <row r="12" spans="1:45" s="122" customFormat="1" ht="45.75" customHeight="1">
      <c r="A12" s="474" t="s">
        <v>105</v>
      </c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475"/>
      <c r="N12" s="475"/>
      <c r="O12" s="475"/>
      <c r="P12" s="475"/>
      <c r="Q12" s="475"/>
      <c r="R12" s="217">
        <f>SUM(R5:R11)</f>
        <v>0</v>
      </c>
      <c r="S12" s="217">
        <f t="shared" ref="S12:AL12" si="11">SUM(S5:S11)</f>
        <v>0</v>
      </c>
      <c r="T12" s="217">
        <f t="shared" si="11"/>
        <v>0</v>
      </c>
      <c r="U12" s="217">
        <f t="shared" si="11"/>
        <v>0</v>
      </c>
      <c r="V12" s="217">
        <f t="shared" si="11"/>
        <v>112000</v>
      </c>
      <c r="W12" s="217">
        <f t="shared" si="11"/>
        <v>90678.571428571435</v>
      </c>
      <c r="X12" s="217">
        <f t="shared" si="11"/>
        <v>0</v>
      </c>
      <c r="Y12" s="217">
        <f t="shared" si="11"/>
        <v>88750</v>
      </c>
      <c r="Z12" s="217">
        <f t="shared" si="11"/>
        <v>4000.0000000000005</v>
      </c>
      <c r="AA12" s="217">
        <f t="shared" si="11"/>
        <v>40805.357142857145</v>
      </c>
      <c r="AB12" s="217">
        <f t="shared" si="11"/>
        <v>1928.5714285714287</v>
      </c>
      <c r="AC12" s="217">
        <f t="shared" si="11"/>
        <v>0</v>
      </c>
      <c r="AD12" s="217">
        <f t="shared" si="11"/>
        <v>0</v>
      </c>
      <c r="AE12" s="217">
        <f t="shared" si="11"/>
        <v>0</v>
      </c>
      <c r="AF12" s="217">
        <f t="shared" si="11"/>
        <v>3353</v>
      </c>
      <c r="AG12" s="217">
        <f t="shared" si="11"/>
        <v>0</v>
      </c>
      <c r="AH12" s="217">
        <f t="shared" si="11"/>
        <v>0</v>
      </c>
      <c r="AI12" s="217">
        <f t="shared" si="11"/>
        <v>5281.5714285714284</v>
      </c>
      <c r="AJ12" s="217">
        <f t="shared" si="11"/>
        <v>33397</v>
      </c>
      <c r="AK12" s="217">
        <f t="shared" si="11"/>
        <v>0</v>
      </c>
      <c r="AL12" s="217">
        <f t="shared" si="11"/>
        <v>0</v>
      </c>
      <c r="AM12" s="218"/>
    </row>
    <row r="13" spans="1:45" ht="45.75" customHeight="1">
      <c r="A13" s="219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476" t="s">
        <v>175</v>
      </c>
      <c r="AE13" s="476"/>
      <c r="AF13" s="476"/>
      <c r="AG13" s="476"/>
      <c r="AH13" s="476"/>
      <c r="AI13" s="476"/>
      <c r="AJ13" s="64">
        <f>+AJ5+AJ6</f>
        <v>29814</v>
      </c>
      <c r="AK13" s="65"/>
      <c r="AL13" s="65"/>
      <c r="AM13" s="221"/>
    </row>
    <row r="14" spans="1:45" s="121" customFormat="1" ht="118" customHeight="1" thickBot="1">
      <c r="A14" s="477" t="s">
        <v>31</v>
      </c>
      <c r="B14" s="47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472" t="s">
        <v>176</v>
      </c>
      <c r="V14" s="472"/>
      <c r="W14" s="472"/>
      <c r="X14" s="472"/>
      <c r="Y14" s="47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472" t="s">
        <v>81</v>
      </c>
      <c r="AL14" s="472"/>
      <c r="AM14" s="473"/>
    </row>
    <row r="15" spans="1:45" s="104" customFormat="1" ht="20.25" customHeight="1"/>
    <row r="16" spans="1:45" ht="20.25" customHeight="1">
      <c r="C16" s="96"/>
      <c r="R16" s="96"/>
      <c r="S16" s="96"/>
      <c r="T16" s="96"/>
      <c r="U16" s="96"/>
      <c r="V16" s="96"/>
      <c r="Y16" s="96"/>
      <c r="Z16" s="96"/>
      <c r="AK16" s="103"/>
      <c r="AM16" s="96"/>
    </row>
    <row r="17" spans="1:39" ht="67" customHeight="1">
      <c r="C17" s="96"/>
      <c r="Q17" s="96"/>
      <c r="R17" s="96"/>
      <c r="S17" s="96"/>
      <c r="T17" s="96"/>
      <c r="U17" s="96"/>
      <c r="V17" s="96"/>
      <c r="Y17" s="96"/>
      <c r="Z17" s="96"/>
      <c r="AF17" s="103"/>
      <c r="AM17" s="96"/>
    </row>
    <row r="18" spans="1:39" s="104" customFormat="1" ht="20.2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102"/>
      <c r="R18" s="96"/>
      <c r="S18" s="96"/>
      <c r="T18" s="96"/>
      <c r="U18" s="96"/>
      <c r="V18" s="96"/>
      <c r="W18" s="103"/>
      <c r="X18" s="103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</row>
    <row r="19" spans="1:39" s="104" customFormat="1" ht="20.2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102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</row>
    <row r="20" spans="1:39" ht="20.25" customHeight="1">
      <c r="C20" s="96"/>
      <c r="R20" s="96"/>
      <c r="S20" s="96"/>
      <c r="T20" s="96"/>
      <c r="U20" s="96"/>
      <c r="V20" s="96"/>
      <c r="W20" s="103"/>
      <c r="X20" s="103"/>
      <c r="Y20" s="96"/>
      <c r="Z20" s="96"/>
      <c r="AJ20" s="103"/>
      <c r="AM20" s="96"/>
    </row>
    <row r="21" spans="1:39" ht="20.25" customHeight="1">
      <c r="A21" s="104"/>
      <c r="C21" s="104"/>
      <c r="D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</row>
    <row r="22" spans="1:39" ht="20.25" customHeight="1">
      <c r="A22" s="104"/>
      <c r="C22" s="104"/>
      <c r="D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</row>
    <row r="23" spans="1:39" ht="20.25" customHeight="1">
      <c r="C23" s="96"/>
      <c r="R23" s="96"/>
      <c r="S23" s="96"/>
      <c r="T23" s="96"/>
      <c r="U23" s="96"/>
      <c r="V23" s="96"/>
      <c r="Y23" s="96"/>
      <c r="Z23" s="96"/>
      <c r="AM23" s="96"/>
    </row>
  </sheetData>
  <autoFilter ref="AG4:AH27" xr:uid="{00000000-0009-0000-0000-000010000000}"/>
  <mergeCells count="22">
    <mergeCell ref="AJ3:AJ4"/>
    <mergeCell ref="V3:V4"/>
    <mergeCell ref="A12:Q12"/>
    <mergeCell ref="AD13:AI13"/>
    <mergeCell ref="A14:B14"/>
    <mergeCell ref="U14:Y14"/>
    <mergeCell ref="AM3:AM4"/>
    <mergeCell ref="AK14:AM14"/>
    <mergeCell ref="A1:AM1"/>
    <mergeCell ref="A2:AM2"/>
    <mergeCell ref="D3:Q3"/>
    <mergeCell ref="R3:U3"/>
    <mergeCell ref="AB3:AI3"/>
    <mergeCell ref="AK3:AL3"/>
    <mergeCell ref="A3:A4"/>
    <mergeCell ref="B3:B4"/>
    <mergeCell ref="C3:C4"/>
    <mergeCell ref="W3:W4"/>
    <mergeCell ref="X3:X4"/>
    <mergeCell ref="Y3:Y4"/>
    <mergeCell ref="Z3:Z4"/>
    <mergeCell ref="AA3:AA4"/>
  </mergeCells>
  <conditionalFormatting sqref="J5:J6">
    <cfRule type="cellIs" dxfId="26" priority="4" stopIfTrue="1" operator="equal">
      <formula>"ER"</formula>
    </cfRule>
  </conditionalFormatting>
  <conditionalFormatting sqref="J7:N11">
    <cfRule type="cellIs" dxfId="25" priority="1" stopIfTrue="1" operator="equal">
      <formula>"ER"</formula>
    </cfRule>
  </conditionalFormatting>
  <conditionalFormatting sqref="K5">
    <cfRule type="cellIs" dxfId="24" priority="6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2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  <pageSetUpPr fitToPage="1"/>
  </sheetPr>
  <dimension ref="A1:AU21"/>
  <sheetViews>
    <sheetView zoomScale="70" zoomScaleNormal="70" zoomScaleSheetLayoutView="112" zoomScalePageLayoutView="35" workbookViewId="0">
      <pane xSplit="2" ySplit="4" topLeftCell="C5" activePane="bottomRight" state="frozen"/>
      <selection pane="topRight"/>
      <selection pane="bottomLeft"/>
      <selection pane="bottomRight" activeCell="A9" sqref="A9:XFD21"/>
    </sheetView>
  </sheetViews>
  <sheetFormatPr defaultColWidth="9.453125" defaultRowHeight="20.25" customHeight="1" outlineLevelCol="1"/>
  <cols>
    <col min="1" max="1" width="4.453125" style="96" customWidth="1"/>
    <col min="2" max="2" width="24.81640625" style="96" customWidth="1"/>
    <col min="3" max="3" width="14.453125" style="98" customWidth="1"/>
    <col min="4" max="4" width="5" style="96" customWidth="1" outlineLevel="1"/>
    <col min="5" max="5" width="3.453125" style="96" bestFit="1" customWidth="1" outlineLevel="1"/>
    <col min="6" max="7" width="5.81640625" style="96" bestFit="1" customWidth="1" outlineLevel="1"/>
    <col min="8" max="8" width="3.453125" style="96" bestFit="1" customWidth="1" outlineLevel="1"/>
    <col min="9" max="9" width="5.81640625" style="96" bestFit="1" customWidth="1" outlineLevel="1"/>
    <col min="10" max="10" width="3.453125" style="96" bestFit="1" customWidth="1" outlineLevel="1"/>
    <col min="11" max="11" width="7.453125" style="96" customWidth="1" outlineLevel="1"/>
    <col min="12" max="13" width="5.81640625" style="96" bestFit="1" customWidth="1" outlineLevel="1"/>
    <col min="14" max="14" width="3.453125" style="96" bestFit="1" customWidth="1" outlineLevel="1"/>
    <col min="15" max="15" width="4.453125" style="96" bestFit="1" customWidth="1" outlineLevel="1"/>
    <col min="16" max="16" width="7.453125" style="96" customWidth="1" outlineLevel="1"/>
    <col min="17" max="17" width="6.26953125" style="102" customWidth="1" outlineLevel="1"/>
    <col min="18" max="18" width="14.26953125" style="103" customWidth="1" outlineLevel="1"/>
    <col min="19" max="19" width="13.1796875" style="103" bestFit="1" customWidth="1" outlineLevel="1"/>
    <col min="20" max="20" width="13.1796875" style="103" customWidth="1" outlineLevel="1"/>
    <col min="21" max="21" width="17.1796875" style="103" bestFit="1" customWidth="1" outlineLevel="1"/>
    <col min="22" max="22" width="15.7265625" style="103" customWidth="1" outlineLevel="1"/>
    <col min="23" max="23" width="15.453125" style="96" customWidth="1" outlineLevel="1"/>
    <col min="24" max="24" width="15" style="96" customWidth="1" outlineLevel="1"/>
    <col min="25" max="25" width="15.7265625" style="97" customWidth="1" outlineLevel="1"/>
    <col min="26" max="26" width="14" style="97" customWidth="1" outlineLevel="1"/>
    <col min="27" max="27" width="15.453125" style="96" customWidth="1" outlineLevel="1"/>
    <col min="28" max="28" width="12.81640625" style="96" customWidth="1" outlineLevel="1"/>
    <col min="29" max="30" width="9.26953125" style="96" customWidth="1" outlineLevel="1"/>
    <col min="31" max="31" width="13.453125" style="96" customWidth="1" outlineLevel="1"/>
    <col min="32" max="32" width="14.453125" style="96" bestFit="1" customWidth="1" outlineLevel="1"/>
    <col min="33" max="33" width="12.1796875" style="96" bestFit="1" customWidth="1" outlineLevel="1"/>
    <col min="34" max="34" width="14.1796875" style="96" bestFit="1" customWidth="1" outlineLevel="1"/>
    <col min="35" max="35" width="12.453125" style="96" customWidth="1" outlineLevel="1"/>
    <col min="36" max="36" width="16.453125" style="96" customWidth="1"/>
    <col min="37" max="37" width="10.7265625" style="96" customWidth="1"/>
    <col min="38" max="38" width="11.1796875" style="96" customWidth="1"/>
    <col min="39" max="39" width="29" style="98" bestFit="1" customWidth="1"/>
    <col min="40" max="40" width="41.81640625" style="97" bestFit="1" customWidth="1"/>
    <col min="41" max="45" width="9.453125" style="96"/>
    <col min="46" max="46" width="30.453125" style="96" customWidth="1"/>
    <col min="47" max="47" width="17.453125" style="97" customWidth="1"/>
    <col min="48" max="48" width="6.453125" style="96" customWidth="1"/>
    <col min="49" max="16384" width="9.453125" style="96"/>
  </cols>
  <sheetData>
    <row r="1" spans="1:47" ht="20.25" customHeight="1">
      <c r="A1" s="427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9"/>
    </row>
    <row r="2" spans="1:47" ht="20.25" customHeight="1">
      <c r="A2" s="430" t="s">
        <v>298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2"/>
    </row>
    <row r="3" spans="1:47" s="98" customFormat="1" ht="43" customHeight="1">
      <c r="A3" s="439" t="s">
        <v>35</v>
      </c>
      <c r="B3" s="433" t="s">
        <v>36</v>
      </c>
      <c r="C3" s="433" t="s">
        <v>37</v>
      </c>
      <c r="D3" s="433" t="s">
        <v>38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 t="s">
        <v>39</v>
      </c>
      <c r="S3" s="433"/>
      <c r="T3" s="433"/>
      <c r="U3" s="433"/>
      <c r="V3" s="433" t="s">
        <v>40</v>
      </c>
      <c r="W3" s="433" t="s">
        <v>198</v>
      </c>
      <c r="X3" s="433" t="s">
        <v>41</v>
      </c>
      <c r="Y3" s="440" t="s">
        <v>42</v>
      </c>
      <c r="Z3" s="440" t="s">
        <v>43</v>
      </c>
      <c r="AA3" s="442" t="s">
        <v>44</v>
      </c>
      <c r="AB3" s="433" t="s">
        <v>6</v>
      </c>
      <c r="AC3" s="433"/>
      <c r="AD3" s="433"/>
      <c r="AE3" s="433"/>
      <c r="AF3" s="433"/>
      <c r="AG3" s="433"/>
      <c r="AH3" s="433"/>
      <c r="AI3" s="433"/>
      <c r="AJ3" s="443" t="s">
        <v>45</v>
      </c>
      <c r="AK3" s="433" t="s">
        <v>46</v>
      </c>
      <c r="AL3" s="433"/>
      <c r="AM3" s="444" t="s">
        <v>47</v>
      </c>
      <c r="AN3" s="99"/>
      <c r="AU3" s="99"/>
    </row>
    <row r="4" spans="1:47" s="100" customFormat="1" ht="175" customHeight="1">
      <c r="A4" s="439"/>
      <c r="B4" s="433"/>
      <c r="C4" s="433"/>
      <c r="D4" s="88" t="s">
        <v>48</v>
      </c>
      <c r="E4" s="358" t="s">
        <v>49</v>
      </c>
      <c r="F4" s="89" t="s">
        <v>50</v>
      </c>
      <c r="G4" s="89" t="s">
        <v>51</v>
      </c>
      <c r="H4" s="358" t="s">
        <v>52</v>
      </c>
      <c r="I4" s="89" t="s">
        <v>53</v>
      </c>
      <c r="J4" s="89" t="s">
        <v>54</v>
      </c>
      <c r="K4" s="88" t="s">
        <v>260</v>
      </c>
      <c r="L4" s="358" t="s">
        <v>189</v>
      </c>
      <c r="M4" s="88" t="s">
        <v>188</v>
      </c>
      <c r="N4" s="88" t="s">
        <v>58</v>
      </c>
      <c r="O4" s="88" t="s">
        <v>59</v>
      </c>
      <c r="P4" s="89" t="s">
        <v>60</v>
      </c>
      <c r="Q4" s="90" t="s">
        <v>61</v>
      </c>
      <c r="R4" s="91" t="s">
        <v>62</v>
      </c>
      <c r="S4" s="91" t="s">
        <v>63</v>
      </c>
      <c r="T4" s="92" t="s">
        <v>64</v>
      </c>
      <c r="U4" s="93" t="s">
        <v>65</v>
      </c>
      <c r="V4" s="433"/>
      <c r="W4" s="433"/>
      <c r="X4" s="433"/>
      <c r="Y4" s="440"/>
      <c r="Z4" s="440"/>
      <c r="AA4" s="442"/>
      <c r="AB4" s="87" t="s">
        <v>66</v>
      </c>
      <c r="AC4" s="86" t="s">
        <v>67</v>
      </c>
      <c r="AD4" s="87" t="s">
        <v>11</v>
      </c>
      <c r="AE4" s="87" t="s">
        <v>12</v>
      </c>
      <c r="AF4" s="86" t="s">
        <v>332</v>
      </c>
      <c r="AG4" s="87" t="s">
        <v>68</v>
      </c>
      <c r="AH4" s="87" t="s">
        <v>69</v>
      </c>
      <c r="AI4" s="87" t="s">
        <v>29</v>
      </c>
      <c r="AJ4" s="443"/>
      <c r="AK4" s="87" t="s">
        <v>70</v>
      </c>
      <c r="AL4" s="87" t="s">
        <v>71</v>
      </c>
      <c r="AM4" s="444"/>
      <c r="AN4" s="101"/>
      <c r="AU4" s="101"/>
    </row>
    <row r="5" spans="1:47" s="402" customFormat="1" ht="59.25" customHeight="1">
      <c r="A5" s="399">
        <v>1</v>
      </c>
      <c r="B5" s="389" t="s">
        <v>99</v>
      </c>
      <c r="C5" s="389" t="s">
        <v>100</v>
      </c>
      <c r="D5" s="389">
        <v>28</v>
      </c>
      <c r="E5" s="593">
        <v>0</v>
      </c>
      <c r="F5" s="580">
        <f t="shared" ref="F5:F8" si="0">IF((E5/3)&gt;=1,TRUNC(E5/3,0),0)</f>
        <v>0</v>
      </c>
      <c r="G5" s="580">
        <f t="shared" ref="G5:G8" si="1">E5-F5*3</f>
        <v>0</v>
      </c>
      <c r="H5" s="593">
        <v>2</v>
      </c>
      <c r="I5" s="580">
        <f>IF(H5&lt;2,H5,H5-2)</f>
        <v>0</v>
      </c>
      <c r="J5" s="580">
        <f t="shared" ref="J5:J8" si="2">H5-I5</f>
        <v>2</v>
      </c>
      <c r="K5" s="580">
        <f>1+5.5+1</f>
        <v>7.5</v>
      </c>
      <c r="L5" s="593">
        <v>0.5</v>
      </c>
      <c r="M5" s="580">
        <v>0</v>
      </c>
      <c r="N5" s="580">
        <v>0</v>
      </c>
      <c r="O5" s="580">
        <v>0</v>
      </c>
      <c r="P5" s="594">
        <f t="shared" ref="P5:P8" si="3">L5+M5+N5+O5</f>
        <v>0.5</v>
      </c>
      <c r="Q5" s="584">
        <f t="shared" ref="Q5:Q7" si="4">(F5*0.5)+(I5*0.5)+M5+(N5*2)</f>
        <v>0</v>
      </c>
      <c r="R5" s="581"/>
      <c r="S5" s="581"/>
      <c r="T5" s="581"/>
      <c r="U5" s="581">
        <f t="shared" ref="U5:U8" si="5">R5-(S5+T5)</f>
        <v>0</v>
      </c>
      <c r="V5" s="581">
        <v>21400</v>
      </c>
      <c r="W5" s="581">
        <f t="shared" ref="W5:W8" si="6">V5</f>
        <v>21400</v>
      </c>
      <c r="X5" s="581">
        <v>0</v>
      </c>
      <c r="Y5" s="581">
        <f t="shared" ref="Y5:Y8" si="7">(W5+X5)-AB5</f>
        <v>21400</v>
      </c>
      <c r="Z5" s="581">
        <f t="shared" ref="Z5:Z8" si="8">(W5+X5)/D5</f>
        <v>764.28571428571433</v>
      </c>
      <c r="AA5" s="581">
        <f t="shared" ref="AA5:AA8" si="9">W5*45%</f>
        <v>9630</v>
      </c>
      <c r="AB5" s="394">
        <f t="shared" ref="AB5:AB8" si="10">Q5*Z5</f>
        <v>0</v>
      </c>
      <c r="AC5" s="394"/>
      <c r="AD5" s="394">
        <f t="shared" ref="AD5:AD8" si="11">(AC5)*Z5</f>
        <v>0</v>
      </c>
      <c r="AE5" s="581">
        <f t="shared" ref="AE5:AE8" si="12">T5</f>
        <v>0</v>
      </c>
      <c r="AF5" s="582"/>
      <c r="AG5" s="394">
        <f>ROUNDUP(AA5*12%,0)</f>
        <v>1156</v>
      </c>
      <c r="AH5" s="394">
        <v>0</v>
      </c>
      <c r="AI5" s="394">
        <f t="shared" ref="AI5:AI8" si="13">SUM(AB5,AD5:AH5)</f>
        <v>1156</v>
      </c>
      <c r="AJ5" s="394">
        <f>ROUND(SUM(W5:X5)-AI5,0)</f>
        <v>20244</v>
      </c>
      <c r="AK5" s="394">
        <f>ROUNDUP(AA5*13.01%,0)</f>
        <v>1253</v>
      </c>
      <c r="AL5" s="394">
        <v>0</v>
      </c>
      <c r="AM5" s="583"/>
      <c r="AN5" s="375" t="s">
        <v>228</v>
      </c>
      <c r="AU5" s="403"/>
    </row>
    <row r="6" spans="1:47" s="402" customFormat="1" ht="59.25" customHeight="1">
      <c r="A6" s="399">
        <v>2</v>
      </c>
      <c r="B6" s="389" t="s">
        <v>101</v>
      </c>
      <c r="C6" s="389" t="s">
        <v>100</v>
      </c>
      <c r="D6" s="389">
        <v>28</v>
      </c>
      <c r="E6" s="593">
        <v>0</v>
      </c>
      <c r="F6" s="580">
        <f t="shared" si="0"/>
        <v>0</v>
      </c>
      <c r="G6" s="580">
        <f t="shared" si="1"/>
        <v>0</v>
      </c>
      <c r="H6" s="593">
        <v>0</v>
      </c>
      <c r="I6" s="580">
        <f>IF(H6&lt;2,H6,H6-2)</f>
        <v>0</v>
      </c>
      <c r="J6" s="580">
        <f t="shared" si="2"/>
        <v>0</v>
      </c>
      <c r="K6" s="580">
        <f>4+4+2.5</f>
        <v>10.5</v>
      </c>
      <c r="L6" s="593">
        <v>2.5</v>
      </c>
      <c r="M6" s="580">
        <v>0</v>
      </c>
      <c r="N6" s="580">
        <v>0</v>
      </c>
      <c r="O6" s="580">
        <v>0</v>
      </c>
      <c r="P6" s="594">
        <f t="shared" si="3"/>
        <v>2.5</v>
      </c>
      <c r="Q6" s="584">
        <f t="shared" si="4"/>
        <v>0</v>
      </c>
      <c r="R6" s="581"/>
      <c r="S6" s="581"/>
      <c r="T6" s="581"/>
      <c r="U6" s="581"/>
      <c r="V6" s="581">
        <v>20800</v>
      </c>
      <c r="W6" s="581">
        <f t="shared" si="6"/>
        <v>20800</v>
      </c>
      <c r="X6" s="581"/>
      <c r="Y6" s="581">
        <f t="shared" si="7"/>
        <v>20800</v>
      </c>
      <c r="Z6" s="581">
        <f t="shared" si="8"/>
        <v>742.85714285714289</v>
      </c>
      <c r="AA6" s="581">
        <f t="shared" si="9"/>
        <v>9360</v>
      </c>
      <c r="AB6" s="394">
        <f t="shared" si="10"/>
        <v>0</v>
      </c>
      <c r="AC6" s="394"/>
      <c r="AD6" s="394">
        <f t="shared" si="11"/>
        <v>0</v>
      </c>
      <c r="AE6" s="581">
        <f t="shared" si="12"/>
        <v>0</v>
      </c>
      <c r="AF6" s="582"/>
      <c r="AG6" s="394">
        <f>ROUNDUP(AA6*12%,0)</f>
        <v>1124</v>
      </c>
      <c r="AH6" s="394">
        <f>ROUNDUP((Y6+X6)*0.75%,0)</f>
        <v>156</v>
      </c>
      <c r="AI6" s="394">
        <f t="shared" si="13"/>
        <v>1280</v>
      </c>
      <c r="AJ6" s="394">
        <f t="shared" ref="AJ6:AJ8" si="14">ROUND(SUM(W6:X6)-AI6,0)</f>
        <v>19520</v>
      </c>
      <c r="AK6" s="394">
        <f>ROUNDUP(AA6*13.01%,0)</f>
        <v>1218</v>
      </c>
      <c r="AL6" s="394">
        <f>ROUNDUP((Y6+X6)*3.25%,0)</f>
        <v>676</v>
      </c>
      <c r="AM6" s="583"/>
      <c r="AN6" s="375" t="s">
        <v>223</v>
      </c>
      <c r="AU6" s="403"/>
    </row>
    <row r="7" spans="1:47" s="402" customFormat="1" ht="59.25" customHeight="1">
      <c r="A7" s="399">
        <v>3</v>
      </c>
      <c r="B7" s="389" t="s">
        <v>102</v>
      </c>
      <c r="C7" s="389" t="s">
        <v>100</v>
      </c>
      <c r="D7" s="389">
        <v>28</v>
      </c>
      <c r="E7" s="593">
        <v>0</v>
      </c>
      <c r="F7" s="580">
        <f t="shared" si="0"/>
        <v>0</v>
      </c>
      <c r="G7" s="580">
        <f t="shared" si="1"/>
        <v>0</v>
      </c>
      <c r="H7" s="593">
        <v>0</v>
      </c>
      <c r="I7" s="580">
        <f t="shared" ref="I7" si="15">IF(H7&lt;2,H7,H7-2)</f>
        <v>0</v>
      </c>
      <c r="J7" s="580">
        <f t="shared" si="2"/>
        <v>0</v>
      </c>
      <c r="K7" s="580">
        <f>2.5+7.5+3</f>
        <v>13</v>
      </c>
      <c r="L7" s="593">
        <v>0</v>
      </c>
      <c r="M7" s="580">
        <v>28</v>
      </c>
      <c r="N7" s="580">
        <v>0</v>
      </c>
      <c r="O7" s="580">
        <v>0</v>
      </c>
      <c r="P7" s="594">
        <f t="shared" si="3"/>
        <v>28</v>
      </c>
      <c r="Q7" s="584">
        <f t="shared" si="4"/>
        <v>28</v>
      </c>
      <c r="R7" s="581"/>
      <c r="S7" s="581"/>
      <c r="T7" s="581"/>
      <c r="U7" s="581">
        <f t="shared" si="5"/>
        <v>0</v>
      </c>
      <c r="V7" s="581">
        <v>23200</v>
      </c>
      <c r="W7" s="581">
        <f t="shared" si="6"/>
        <v>23200</v>
      </c>
      <c r="X7" s="581"/>
      <c r="Y7" s="581">
        <f t="shared" si="7"/>
        <v>0</v>
      </c>
      <c r="Z7" s="581">
        <f t="shared" si="8"/>
        <v>828.57142857142856</v>
      </c>
      <c r="AA7" s="581">
        <f t="shared" si="9"/>
        <v>10440</v>
      </c>
      <c r="AB7" s="394">
        <f t="shared" si="10"/>
        <v>23200</v>
      </c>
      <c r="AC7" s="394"/>
      <c r="AD7" s="394">
        <f t="shared" si="11"/>
        <v>0</v>
      </c>
      <c r="AE7" s="581">
        <f t="shared" si="12"/>
        <v>0</v>
      </c>
      <c r="AF7" s="582"/>
      <c r="AG7" s="394">
        <v>0</v>
      </c>
      <c r="AH7" s="394">
        <v>0</v>
      </c>
      <c r="AI7" s="394">
        <f t="shared" si="13"/>
        <v>23200</v>
      </c>
      <c r="AJ7" s="394">
        <f t="shared" si="14"/>
        <v>0</v>
      </c>
      <c r="AK7" s="394">
        <v>0</v>
      </c>
      <c r="AL7" s="394">
        <v>0</v>
      </c>
      <c r="AM7" s="583" t="s">
        <v>317</v>
      </c>
      <c r="AN7" s="375" t="s">
        <v>222</v>
      </c>
      <c r="AU7" s="403"/>
    </row>
    <row r="8" spans="1:47" s="402" customFormat="1" ht="58.75" customHeight="1">
      <c r="A8" s="399">
        <v>4</v>
      </c>
      <c r="B8" s="389" t="s">
        <v>103</v>
      </c>
      <c r="C8" s="389" t="s">
        <v>100</v>
      </c>
      <c r="D8" s="389">
        <v>28</v>
      </c>
      <c r="E8" s="593">
        <v>0</v>
      </c>
      <c r="F8" s="580">
        <f t="shared" si="0"/>
        <v>0</v>
      </c>
      <c r="G8" s="580">
        <f t="shared" si="1"/>
        <v>0</v>
      </c>
      <c r="H8" s="593">
        <v>0</v>
      </c>
      <c r="I8" s="580">
        <f>IF(H8&lt;2,H8,H8-2)</f>
        <v>0</v>
      </c>
      <c r="J8" s="580">
        <f t="shared" si="2"/>
        <v>0</v>
      </c>
      <c r="K8" s="580">
        <f>1.5+3.5+4</f>
        <v>9</v>
      </c>
      <c r="L8" s="593">
        <v>0</v>
      </c>
      <c r="M8" s="580">
        <v>0</v>
      </c>
      <c r="N8" s="580">
        <v>0</v>
      </c>
      <c r="O8" s="580">
        <v>0</v>
      </c>
      <c r="P8" s="594">
        <f t="shared" si="3"/>
        <v>0</v>
      </c>
      <c r="Q8" s="584">
        <f>(F8*0.5)+(I8*0.5)+M8+(N8*2)</f>
        <v>0</v>
      </c>
      <c r="R8" s="581"/>
      <c r="S8" s="581"/>
      <c r="T8" s="581"/>
      <c r="U8" s="581">
        <f t="shared" si="5"/>
        <v>0</v>
      </c>
      <c r="V8" s="581">
        <v>20900</v>
      </c>
      <c r="W8" s="581">
        <f t="shared" si="6"/>
        <v>20900</v>
      </c>
      <c r="X8" s="581">
        <v>0</v>
      </c>
      <c r="Y8" s="581">
        <f t="shared" si="7"/>
        <v>20900</v>
      </c>
      <c r="Z8" s="581">
        <f t="shared" si="8"/>
        <v>746.42857142857144</v>
      </c>
      <c r="AA8" s="581">
        <f t="shared" si="9"/>
        <v>9405</v>
      </c>
      <c r="AB8" s="394">
        <f t="shared" si="10"/>
        <v>0</v>
      </c>
      <c r="AC8" s="394"/>
      <c r="AD8" s="394">
        <f t="shared" si="11"/>
        <v>0</v>
      </c>
      <c r="AE8" s="581">
        <f t="shared" si="12"/>
        <v>0</v>
      </c>
      <c r="AF8" s="582"/>
      <c r="AG8" s="394">
        <f>ROUNDUP(AA8*12%,0)</f>
        <v>1129</v>
      </c>
      <c r="AH8" s="394">
        <f>ROUNDUP((Y8+X8)*0.75%,0)</f>
        <v>157</v>
      </c>
      <c r="AI8" s="394">
        <f t="shared" si="13"/>
        <v>1286</v>
      </c>
      <c r="AJ8" s="394">
        <f t="shared" si="14"/>
        <v>19614</v>
      </c>
      <c r="AK8" s="394">
        <f>ROUNDUP(AA8*13.01%,0)</f>
        <v>1224</v>
      </c>
      <c r="AL8" s="394">
        <f>ROUNDUP((Y8+X8)*3.25%,0)</f>
        <v>680</v>
      </c>
      <c r="AM8" s="583"/>
      <c r="AN8" s="375" t="s">
        <v>225</v>
      </c>
      <c r="AU8" s="403"/>
    </row>
    <row r="9" spans="1:47" s="113" customFormat="1" ht="51" customHeight="1">
      <c r="A9" s="595" t="s">
        <v>105</v>
      </c>
      <c r="B9" s="596"/>
      <c r="C9" s="596"/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6"/>
      <c r="O9" s="596"/>
      <c r="P9" s="596"/>
      <c r="Q9" s="597"/>
      <c r="R9" s="400">
        <f>SUM(R5:R8)</f>
        <v>0</v>
      </c>
      <c r="S9" s="400">
        <f>SUM(S5:S8)</f>
        <v>0</v>
      </c>
      <c r="T9" s="400">
        <f>SUM(T5:T8)</f>
        <v>0</v>
      </c>
      <c r="U9" s="400">
        <f>SUM(U5:U8)</f>
        <v>0</v>
      </c>
      <c r="V9" s="400">
        <f>SUM(V5:V8)</f>
        <v>86300</v>
      </c>
      <c r="W9" s="400">
        <f>SUM(W5:W8)</f>
        <v>86300</v>
      </c>
      <c r="X9" s="400">
        <f>SUM(X5:X8)</f>
        <v>0</v>
      </c>
      <c r="Y9" s="400">
        <f>SUM(Y5:Y8)</f>
        <v>63100</v>
      </c>
      <c r="Z9" s="400">
        <f>SUM(Z5:Z8)</f>
        <v>3082.1428571428573</v>
      </c>
      <c r="AA9" s="400">
        <f>SUM(AA5:AA8)</f>
        <v>38835</v>
      </c>
      <c r="AB9" s="400">
        <f>SUM(AB5:AB8)</f>
        <v>23200</v>
      </c>
      <c r="AC9" s="400">
        <f>SUM(AC5:AC8)</f>
        <v>0</v>
      </c>
      <c r="AD9" s="400">
        <f>SUM(AD5:AD8)</f>
        <v>0</v>
      </c>
      <c r="AE9" s="400">
        <f>SUM(AE5:AE8)</f>
        <v>0</v>
      </c>
      <c r="AF9" s="400">
        <f>SUM(AF5:AF8)</f>
        <v>0</v>
      </c>
      <c r="AG9" s="400">
        <f>SUM(AG5:AG8)</f>
        <v>3409</v>
      </c>
      <c r="AH9" s="400">
        <f>SUM(AH5:AH8)</f>
        <v>313</v>
      </c>
      <c r="AI9" s="400">
        <f>SUM(AI5:AI8)</f>
        <v>26922</v>
      </c>
      <c r="AJ9" s="400">
        <f>SUM(AJ5:AJ8)</f>
        <v>59378</v>
      </c>
      <c r="AK9" s="400">
        <f>SUM(AK5:AK8)</f>
        <v>3695</v>
      </c>
      <c r="AL9" s="400">
        <f>SUM(AL5:AL8)</f>
        <v>1356</v>
      </c>
      <c r="AM9" s="401"/>
      <c r="AN9" s="598"/>
      <c r="AU9" s="598"/>
    </row>
    <row r="10" spans="1:47" s="604" customFormat="1" ht="103" customHeight="1" thickBot="1">
      <c r="A10" s="599" t="s">
        <v>31</v>
      </c>
      <c r="B10" s="600"/>
      <c r="C10" s="601"/>
      <c r="D10" s="601"/>
      <c r="E10" s="601"/>
      <c r="F10" s="601"/>
      <c r="G10" s="601"/>
      <c r="H10" s="601"/>
      <c r="I10" s="601"/>
      <c r="J10" s="601"/>
      <c r="K10" s="601"/>
      <c r="L10" s="601"/>
      <c r="M10" s="601"/>
      <c r="N10" s="601"/>
      <c r="O10" s="601"/>
      <c r="P10" s="601"/>
      <c r="Q10" s="601"/>
      <c r="R10" s="601"/>
      <c r="S10" s="601"/>
      <c r="T10" s="601"/>
      <c r="U10" s="600" t="s">
        <v>98</v>
      </c>
      <c r="V10" s="600"/>
      <c r="W10" s="600"/>
      <c r="X10" s="600"/>
      <c r="Y10" s="600"/>
      <c r="Z10" s="600"/>
      <c r="AA10" s="601"/>
      <c r="AB10" s="601"/>
      <c r="AC10" s="601"/>
      <c r="AD10" s="601"/>
      <c r="AE10" s="601"/>
      <c r="AF10" s="601"/>
      <c r="AG10" s="601"/>
      <c r="AH10" s="601"/>
      <c r="AI10" s="601"/>
      <c r="AJ10" s="601"/>
      <c r="AK10" s="601"/>
      <c r="AL10" s="600" t="s">
        <v>81</v>
      </c>
      <c r="AM10" s="602"/>
      <c r="AN10" s="603"/>
      <c r="AU10" s="603"/>
    </row>
    <row r="11" spans="1:47" ht="20.25" customHeight="1">
      <c r="C11" s="96"/>
      <c r="Q11" s="96"/>
      <c r="Y11" s="96"/>
      <c r="Z11" s="96"/>
      <c r="AA11" s="103"/>
      <c r="AI11" s="103"/>
      <c r="AM11" s="96"/>
    </row>
    <row r="12" spans="1:47" ht="20.25" customHeight="1">
      <c r="C12" s="96"/>
      <c r="Q12" s="96"/>
      <c r="Y12" s="96"/>
      <c r="Z12" s="96"/>
      <c r="AK12" s="103"/>
      <c r="AM12" s="96"/>
    </row>
    <row r="13" spans="1:47" s="104" customFormat="1" ht="20.25" customHeight="1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103"/>
      <c r="S13" s="103"/>
      <c r="T13" s="103"/>
      <c r="U13" s="103"/>
      <c r="V13" s="103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103"/>
      <c r="AL13" s="96"/>
      <c r="AM13" s="96"/>
      <c r="AN13" s="114"/>
      <c r="AU13" s="114"/>
    </row>
    <row r="14" spans="1:47" ht="20.2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15"/>
      <c r="S14" s="115"/>
      <c r="T14" s="115"/>
      <c r="U14" s="115"/>
      <c r="V14" s="115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</row>
    <row r="15" spans="1:47" ht="20.25" customHeight="1">
      <c r="C15" s="96"/>
      <c r="Q15" s="96"/>
      <c r="Y15" s="96"/>
      <c r="Z15" s="96"/>
      <c r="AJ15" s="103"/>
      <c r="AM15" s="96"/>
    </row>
    <row r="16" spans="1:47" ht="20.25" customHeight="1">
      <c r="C16" s="96"/>
      <c r="Q16" s="96"/>
      <c r="W16" s="103"/>
      <c r="X16" s="103"/>
      <c r="Y16" s="96"/>
      <c r="Z16" s="96"/>
      <c r="AM16" s="96"/>
    </row>
    <row r="17" spans="1:47" ht="20.25" customHeight="1">
      <c r="C17" s="96"/>
      <c r="Q17" s="96"/>
      <c r="Y17" s="96"/>
      <c r="Z17" s="96"/>
      <c r="AM17" s="96"/>
    </row>
    <row r="18" spans="1:47" s="104" customFormat="1" ht="20.2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103"/>
      <c r="S18" s="103"/>
      <c r="T18" s="103"/>
      <c r="U18" s="103"/>
      <c r="V18" s="103"/>
      <c r="W18" s="103"/>
      <c r="X18" s="103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103"/>
      <c r="AK18" s="96"/>
      <c r="AL18" s="96"/>
      <c r="AM18" s="96"/>
      <c r="AN18" s="114"/>
      <c r="AU18" s="114"/>
    </row>
    <row r="19" spans="1:47" s="104" customFormat="1" ht="20.25" customHeight="1">
      <c r="R19" s="115"/>
      <c r="S19" s="115"/>
      <c r="T19" s="115"/>
      <c r="U19" s="115"/>
      <c r="V19" s="115"/>
      <c r="AN19" s="114"/>
      <c r="AU19" s="114"/>
    </row>
    <row r="20" spans="1:47" ht="20.25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15"/>
      <c r="S20" s="115"/>
      <c r="T20" s="115"/>
      <c r="U20" s="115"/>
      <c r="V20" s="115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</row>
    <row r="21" spans="1:47" ht="20.25" customHeight="1">
      <c r="C21" s="96"/>
      <c r="Q21" s="96"/>
      <c r="Y21" s="96"/>
      <c r="Z21" s="96"/>
      <c r="AM21" s="96"/>
    </row>
  </sheetData>
  <autoFilter ref="A4:AU10" xr:uid="{00000000-0001-0000-0300-000000000000}"/>
  <mergeCells count="21">
    <mergeCell ref="A9:Q9"/>
    <mergeCell ref="A10:B10"/>
    <mergeCell ref="U10:Z10"/>
    <mergeCell ref="AL10:AM10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A1:AM1"/>
    <mergeCell ref="A2:AM2"/>
    <mergeCell ref="D3:Q3"/>
    <mergeCell ref="R3:U3"/>
    <mergeCell ref="AB3:AI3"/>
    <mergeCell ref="AK3:AL3"/>
    <mergeCell ref="V3:V4"/>
  </mergeCells>
  <phoneticPr fontId="10" type="noConversion"/>
  <conditionalFormatting sqref="J5:N8">
    <cfRule type="cellIs" dxfId="23" priority="1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31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  <pageSetUpPr fitToPage="1"/>
  </sheetPr>
  <dimension ref="A1:AT42"/>
  <sheetViews>
    <sheetView zoomScale="70" zoomScaleNormal="70" zoomScaleSheetLayoutView="106" zoomScalePageLayoutView="35" workbookViewId="0">
      <pane xSplit="2" ySplit="4" topLeftCell="C5" activePane="bottomRight" state="frozen"/>
      <selection pane="topRight"/>
      <selection pane="bottomLeft"/>
      <selection pane="bottomRight" activeCell="A10" sqref="A10:XFD15"/>
    </sheetView>
  </sheetViews>
  <sheetFormatPr defaultColWidth="9.453125" defaultRowHeight="20.25" customHeight="1" outlineLevelCol="1"/>
  <cols>
    <col min="1" max="1" width="4.453125" style="404" customWidth="1"/>
    <col min="2" max="2" width="24.453125" style="404" customWidth="1"/>
    <col min="3" max="3" width="11.453125" style="405" customWidth="1" outlineLevel="1"/>
    <col min="4" max="4" width="5.81640625" style="404" customWidth="1" outlineLevel="1"/>
    <col min="5" max="5" width="3.453125" style="404" bestFit="1" customWidth="1" outlineLevel="1"/>
    <col min="6" max="7" width="6" style="404" bestFit="1" customWidth="1" outlineLevel="1"/>
    <col min="8" max="8" width="3.453125" style="404" bestFit="1" customWidth="1" outlineLevel="1"/>
    <col min="9" max="9" width="6.453125" style="404" bestFit="1" customWidth="1" outlineLevel="1"/>
    <col min="10" max="10" width="3.453125" style="404" bestFit="1" customWidth="1" outlineLevel="1"/>
    <col min="11" max="13" width="6" style="404" bestFit="1" customWidth="1" outlineLevel="1"/>
    <col min="14" max="15" width="3.453125" style="404" bestFit="1" customWidth="1" outlineLevel="1"/>
    <col min="16" max="16" width="7.26953125" style="404" customWidth="1" outlineLevel="1"/>
    <col min="17" max="17" width="7.26953125" style="406" customWidth="1" outlineLevel="1"/>
    <col min="18" max="18" width="13.26953125" style="406" customWidth="1" outlineLevel="1"/>
    <col min="19" max="19" width="12.1796875" style="406" bestFit="1" customWidth="1" outlineLevel="1"/>
    <col min="20" max="20" width="11.1796875" style="406" bestFit="1" customWidth="1" outlineLevel="1"/>
    <col min="21" max="21" width="12.1796875" style="406" bestFit="1" customWidth="1" outlineLevel="1"/>
    <col min="22" max="22" width="16.453125" style="406" customWidth="1" outlineLevel="1"/>
    <col min="23" max="23" width="12.7265625" style="404" bestFit="1" customWidth="1" outlineLevel="1"/>
    <col min="24" max="24" width="9.7265625" style="404" bestFit="1" customWidth="1" outlineLevel="1"/>
    <col min="25" max="25" width="14.81640625" style="408" customWidth="1" outlineLevel="1"/>
    <col min="26" max="26" width="17.1796875" style="408" customWidth="1" outlineLevel="1"/>
    <col min="27" max="27" width="13" style="404" customWidth="1" outlineLevel="1"/>
    <col min="28" max="28" width="11.1796875" style="404" bestFit="1" customWidth="1" outlineLevel="1"/>
    <col min="29" max="29" width="11.453125" style="404" customWidth="1" outlineLevel="1"/>
    <col min="30" max="30" width="11.453125" style="404" bestFit="1" customWidth="1" outlineLevel="1"/>
    <col min="31" max="31" width="14.453125" style="404" customWidth="1" outlineLevel="1"/>
    <col min="32" max="32" width="16.453125" style="404" customWidth="1" outlineLevel="1"/>
    <col min="33" max="33" width="12.453125" style="404" bestFit="1" customWidth="1" outlineLevel="1"/>
    <col min="34" max="34" width="14.453125" style="404" bestFit="1" customWidth="1" outlineLevel="1"/>
    <col min="35" max="35" width="11.7265625" style="404" customWidth="1" outlineLevel="1"/>
    <col min="36" max="36" width="12.26953125" style="404" customWidth="1"/>
    <col min="37" max="38" width="11.453125" style="404" customWidth="1"/>
    <col min="39" max="39" width="28.26953125" style="405" bestFit="1" customWidth="1"/>
    <col min="40" max="40" width="23.26953125" style="408" bestFit="1" customWidth="1"/>
    <col min="41" max="41" width="5.26953125" style="404" bestFit="1" customWidth="1"/>
    <col min="42" max="43" width="9.453125" style="404"/>
    <col min="44" max="44" width="3.1796875" style="404" customWidth="1"/>
    <col min="45" max="45" width="31" style="404" customWidth="1"/>
    <col min="46" max="46" width="17.453125" style="408" customWidth="1"/>
    <col min="47" max="47" width="6.1796875" style="404" customWidth="1"/>
    <col min="48" max="16384" width="9.453125" style="404"/>
  </cols>
  <sheetData>
    <row r="1" spans="1:46" s="96" customFormat="1" ht="20.25" customHeight="1">
      <c r="A1" s="487" t="s">
        <v>0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8"/>
      <c r="AI1" s="488"/>
      <c r="AJ1" s="488"/>
      <c r="AK1" s="488"/>
      <c r="AL1" s="488"/>
      <c r="AM1" s="489"/>
      <c r="AN1" s="97"/>
      <c r="AT1" s="97"/>
    </row>
    <row r="2" spans="1:46" s="96" customFormat="1" ht="20.25" customHeight="1">
      <c r="A2" s="490" t="s">
        <v>299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2"/>
      <c r="AN2" s="97"/>
      <c r="AT2" s="97"/>
    </row>
    <row r="3" spans="1:46" s="98" customFormat="1" ht="44.25" customHeight="1">
      <c r="A3" s="497" t="s">
        <v>35</v>
      </c>
      <c r="B3" s="498" t="s">
        <v>36</v>
      </c>
      <c r="C3" s="498" t="s">
        <v>37</v>
      </c>
      <c r="D3" s="493" t="s">
        <v>38</v>
      </c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4" t="s">
        <v>39</v>
      </c>
      <c r="S3" s="494"/>
      <c r="T3" s="494"/>
      <c r="U3" s="494"/>
      <c r="V3" s="495" t="s">
        <v>40</v>
      </c>
      <c r="W3" s="493" t="s">
        <v>198</v>
      </c>
      <c r="X3" s="493" t="s">
        <v>41</v>
      </c>
      <c r="Y3" s="499" t="s">
        <v>281</v>
      </c>
      <c r="Z3" s="499" t="s">
        <v>43</v>
      </c>
      <c r="AA3" s="500" t="s">
        <v>44</v>
      </c>
      <c r="AB3" s="493" t="s">
        <v>6</v>
      </c>
      <c r="AC3" s="493"/>
      <c r="AD3" s="493"/>
      <c r="AE3" s="493"/>
      <c r="AF3" s="493"/>
      <c r="AG3" s="493"/>
      <c r="AH3" s="493"/>
      <c r="AI3" s="493"/>
      <c r="AJ3" s="500" t="s">
        <v>45</v>
      </c>
      <c r="AK3" s="493" t="s">
        <v>46</v>
      </c>
      <c r="AL3" s="493"/>
      <c r="AM3" s="501" t="s">
        <v>47</v>
      </c>
      <c r="AN3" s="99"/>
      <c r="AR3" s="99"/>
    </row>
    <row r="4" spans="1:46" s="100" customFormat="1" ht="160" customHeight="1">
      <c r="A4" s="497"/>
      <c r="B4" s="498"/>
      <c r="C4" s="498"/>
      <c r="D4" s="110" t="s">
        <v>48</v>
      </c>
      <c r="E4" s="117" t="s">
        <v>49</v>
      </c>
      <c r="F4" s="111" t="s">
        <v>50</v>
      </c>
      <c r="G4" s="111" t="s">
        <v>51</v>
      </c>
      <c r="H4" s="110" t="s">
        <v>52</v>
      </c>
      <c r="I4" s="111" t="s">
        <v>53</v>
      </c>
      <c r="J4" s="111" t="s">
        <v>54</v>
      </c>
      <c r="K4" s="111" t="s">
        <v>260</v>
      </c>
      <c r="L4" s="118" t="s">
        <v>56</v>
      </c>
      <c r="M4" s="111" t="s">
        <v>188</v>
      </c>
      <c r="N4" s="111" t="s">
        <v>58</v>
      </c>
      <c r="O4" s="111" t="s">
        <v>59</v>
      </c>
      <c r="P4" s="111" t="s">
        <v>60</v>
      </c>
      <c r="Q4" s="112" t="s">
        <v>61</v>
      </c>
      <c r="R4" s="119" t="s">
        <v>62</v>
      </c>
      <c r="S4" s="119" t="s">
        <v>63</v>
      </c>
      <c r="T4" s="116" t="s">
        <v>64</v>
      </c>
      <c r="U4" s="116" t="s">
        <v>65</v>
      </c>
      <c r="V4" s="496"/>
      <c r="W4" s="493"/>
      <c r="X4" s="493"/>
      <c r="Y4" s="499"/>
      <c r="Z4" s="499"/>
      <c r="AA4" s="500"/>
      <c r="AB4" s="109" t="s">
        <v>66</v>
      </c>
      <c r="AC4" s="108" t="s">
        <v>67</v>
      </c>
      <c r="AD4" s="109" t="s">
        <v>11</v>
      </c>
      <c r="AE4" s="109" t="s">
        <v>12</v>
      </c>
      <c r="AF4" s="109" t="s">
        <v>13</v>
      </c>
      <c r="AG4" s="109" t="s">
        <v>68</v>
      </c>
      <c r="AH4" s="109" t="s">
        <v>69</v>
      </c>
      <c r="AI4" s="120" t="s">
        <v>29</v>
      </c>
      <c r="AJ4" s="500"/>
      <c r="AK4" s="109" t="s">
        <v>70</v>
      </c>
      <c r="AL4" s="109" t="s">
        <v>71</v>
      </c>
      <c r="AM4" s="501"/>
      <c r="AN4" s="101"/>
      <c r="AR4" s="101"/>
    </row>
    <row r="5" spans="1:46" s="113" customFormat="1" ht="57" customHeight="1">
      <c r="A5" s="399">
        <v>1</v>
      </c>
      <c r="B5" s="605" t="s">
        <v>106</v>
      </c>
      <c r="C5" s="389" t="s">
        <v>107</v>
      </c>
      <c r="D5" s="389">
        <v>28</v>
      </c>
      <c r="E5" s="593">
        <v>0</v>
      </c>
      <c r="F5" s="580">
        <f t="shared" ref="F5:F9" si="0">IF((E5/3)&gt;=1,TRUNC(E5/3,0),0)</f>
        <v>0</v>
      </c>
      <c r="G5" s="580">
        <f t="shared" ref="G5:G9" si="1">E5-F5*3</f>
        <v>0</v>
      </c>
      <c r="H5" s="593">
        <v>0</v>
      </c>
      <c r="I5" s="580">
        <f>IF(H5&lt;2,H5,H5-2)</f>
        <v>0</v>
      </c>
      <c r="J5" s="580">
        <f t="shared" ref="J5:J9" si="2">H5-I5</f>
        <v>0</v>
      </c>
      <c r="K5" s="580">
        <f>1+2.5+1.5</f>
        <v>5</v>
      </c>
      <c r="L5" s="593">
        <v>1.5</v>
      </c>
      <c r="M5" s="580">
        <v>0</v>
      </c>
      <c r="N5" s="580">
        <v>0</v>
      </c>
      <c r="O5" s="580">
        <v>0</v>
      </c>
      <c r="P5" s="594">
        <f t="shared" ref="P5:P9" si="3">L5+M5+N5+O5</f>
        <v>1.5</v>
      </c>
      <c r="Q5" s="584">
        <f t="shared" ref="Q5:Q9" si="4">(F5*0.5)+(I5*0.5)+M5+(N5*2)</f>
        <v>0</v>
      </c>
      <c r="R5" s="581">
        <v>0</v>
      </c>
      <c r="S5" s="581">
        <v>0</v>
      </c>
      <c r="T5" s="581">
        <v>0</v>
      </c>
      <c r="U5" s="581">
        <f>R5-(S5+T5)</f>
        <v>0</v>
      </c>
      <c r="V5" s="581">
        <v>8500</v>
      </c>
      <c r="W5" s="581">
        <f>V5</f>
        <v>8500</v>
      </c>
      <c r="X5" s="581"/>
      <c r="Y5" s="581">
        <f>(W5+X5)-AB5</f>
        <v>8500</v>
      </c>
      <c r="Z5" s="581">
        <f>(W5+X5)/D5</f>
        <v>303.57142857142856</v>
      </c>
      <c r="AA5" s="581">
        <f t="shared" ref="AA5:AA9" si="5">W5*45%</f>
        <v>3825</v>
      </c>
      <c r="AB5" s="394">
        <f t="shared" ref="AB5:AB9" si="6">Q5*Z5</f>
        <v>0</v>
      </c>
      <c r="AC5" s="394">
        <v>0</v>
      </c>
      <c r="AD5" s="394">
        <f t="shared" ref="AD5:AD9" si="7">(AC5)*Z5</f>
        <v>0</v>
      </c>
      <c r="AE5" s="581">
        <f t="shared" ref="AE5:AE9" si="8">T5</f>
        <v>0</v>
      </c>
      <c r="AF5" s="582"/>
      <c r="AG5" s="394">
        <v>0</v>
      </c>
      <c r="AH5" s="394">
        <v>0</v>
      </c>
      <c r="AI5" s="394">
        <f>SUM(AB5,AD5:AH5)</f>
        <v>0</v>
      </c>
      <c r="AJ5" s="394">
        <f>ROUND(SUM(W5:X5)-AI5,0)</f>
        <v>8500</v>
      </c>
      <c r="AK5" s="394">
        <v>0</v>
      </c>
      <c r="AL5" s="394">
        <v>0</v>
      </c>
      <c r="AM5" s="396"/>
      <c r="AN5" s="606" t="s">
        <v>211</v>
      </c>
    </row>
    <row r="6" spans="1:46" s="113" customFormat="1" ht="57" customHeight="1">
      <c r="A6" s="399">
        <v>2</v>
      </c>
      <c r="B6" s="605" t="s">
        <v>108</v>
      </c>
      <c r="C6" s="389" t="s">
        <v>107</v>
      </c>
      <c r="D6" s="389">
        <v>28</v>
      </c>
      <c r="E6" s="593">
        <v>0</v>
      </c>
      <c r="F6" s="580">
        <f t="shared" si="0"/>
        <v>0</v>
      </c>
      <c r="G6" s="580">
        <f t="shared" si="1"/>
        <v>0</v>
      </c>
      <c r="H6" s="593">
        <v>2</v>
      </c>
      <c r="I6" s="580">
        <f>IF(H6&lt;2,H6,H6-2)</f>
        <v>0</v>
      </c>
      <c r="J6" s="580">
        <f t="shared" si="2"/>
        <v>2</v>
      </c>
      <c r="K6" s="580">
        <f>0+0.5+1.5</f>
        <v>2</v>
      </c>
      <c r="L6" s="593">
        <v>0</v>
      </c>
      <c r="M6" s="580">
        <v>0</v>
      </c>
      <c r="N6" s="580">
        <v>0</v>
      </c>
      <c r="O6" s="580">
        <v>0</v>
      </c>
      <c r="P6" s="594">
        <f t="shared" si="3"/>
        <v>0</v>
      </c>
      <c r="Q6" s="584">
        <f t="shared" si="4"/>
        <v>0</v>
      </c>
      <c r="R6" s="581">
        <v>0</v>
      </c>
      <c r="S6" s="581">
        <v>0</v>
      </c>
      <c r="T6" s="581">
        <v>0</v>
      </c>
      <c r="U6" s="581">
        <f>R6-(S6+T6)</f>
        <v>0</v>
      </c>
      <c r="V6" s="581">
        <v>11700</v>
      </c>
      <c r="W6" s="581">
        <f t="shared" ref="W6:W9" si="9">V6</f>
        <v>11700</v>
      </c>
      <c r="X6" s="581"/>
      <c r="Y6" s="581">
        <f t="shared" ref="Y6:Y9" si="10">(W6+X6)-AB6</f>
        <v>11700</v>
      </c>
      <c r="Z6" s="581">
        <f t="shared" ref="Z6:Z9" si="11">(W6+X6)/D6</f>
        <v>417.85714285714283</v>
      </c>
      <c r="AA6" s="581">
        <f t="shared" si="5"/>
        <v>5265</v>
      </c>
      <c r="AB6" s="394">
        <f t="shared" si="6"/>
        <v>0</v>
      </c>
      <c r="AC6" s="394"/>
      <c r="AD6" s="394">
        <f t="shared" si="7"/>
        <v>0</v>
      </c>
      <c r="AE6" s="581">
        <f t="shared" si="8"/>
        <v>0</v>
      </c>
      <c r="AF6" s="582"/>
      <c r="AG6" s="394">
        <f>ROUNDUP(AA6*12%,0)</f>
        <v>632</v>
      </c>
      <c r="AH6" s="394">
        <f>ROUNDUP((Y6+X6)*0.75%,0)</f>
        <v>88</v>
      </c>
      <c r="AI6" s="394">
        <f t="shared" ref="AI6:AI9" si="12">SUM(AB6,AD6:AH6)</f>
        <v>720</v>
      </c>
      <c r="AJ6" s="394">
        <f t="shared" ref="AJ6:AJ9" si="13">ROUND(SUM(W6:X6)-AI6,0)</f>
        <v>10980</v>
      </c>
      <c r="AK6" s="394">
        <f>ROUNDUP(AA6*13.01%,0)</f>
        <v>685</v>
      </c>
      <c r="AL6" s="394">
        <f>ROUNDUP((Y6+X6)*3.25%,0)</f>
        <v>381</v>
      </c>
      <c r="AM6" s="396"/>
      <c r="AN6" s="606" t="s">
        <v>216</v>
      </c>
    </row>
    <row r="7" spans="1:46" s="113" customFormat="1" ht="57" customHeight="1">
      <c r="A7" s="399">
        <v>3</v>
      </c>
      <c r="B7" s="607" t="s">
        <v>109</v>
      </c>
      <c r="C7" s="389" t="s">
        <v>107</v>
      </c>
      <c r="D7" s="389">
        <v>28</v>
      </c>
      <c r="E7" s="593">
        <v>0</v>
      </c>
      <c r="F7" s="580">
        <f t="shared" si="0"/>
        <v>0</v>
      </c>
      <c r="G7" s="580">
        <f t="shared" si="1"/>
        <v>0</v>
      </c>
      <c r="H7" s="593">
        <v>0</v>
      </c>
      <c r="I7" s="580">
        <f>IF(H7&lt;2,H7,H7-2)</f>
        <v>0</v>
      </c>
      <c r="J7" s="580">
        <f t="shared" si="2"/>
        <v>0</v>
      </c>
      <c r="K7" s="580">
        <f>2+1.5+1</f>
        <v>4.5</v>
      </c>
      <c r="L7" s="593">
        <v>0.5</v>
      </c>
      <c r="M7" s="580">
        <v>0</v>
      </c>
      <c r="N7" s="580">
        <v>0</v>
      </c>
      <c r="O7" s="580">
        <v>0</v>
      </c>
      <c r="P7" s="594">
        <f t="shared" si="3"/>
        <v>0.5</v>
      </c>
      <c r="Q7" s="584">
        <f t="shared" si="4"/>
        <v>0</v>
      </c>
      <c r="R7" s="581">
        <v>0</v>
      </c>
      <c r="S7" s="581">
        <v>0</v>
      </c>
      <c r="T7" s="581">
        <v>0</v>
      </c>
      <c r="U7" s="581">
        <v>0</v>
      </c>
      <c r="V7" s="581">
        <v>9900</v>
      </c>
      <c r="W7" s="581">
        <f t="shared" si="9"/>
        <v>9900</v>
      </c>
      <c r="X7" s="581"/>
      <c r="Y7" s="581">
        <f t="shared" si="10"/>
        <v>9900</v>
      </c>
      <c r="Z7" s="581">
        <f t="shared" si="11"/>
        <v>353.57142857142856</v>
      </c>
      <c r="AA7" s="581">
        <f t="shared" si="5"/>
        <v>4455</v>
      </c>
      <c r="AB7" s="394">
        <f t="shared" si="6"/>
        <v>0</v>
      </c>
      <c r="AC7" s="394"/>
      <c r="AD7" s="394">
        <f t="shared" si="7"/>
        <v>0</v>
      </c>
      <c r="AE7" s="581">
        <f t="shared" si="8"/>
        <v>0</v>
      </c>
      <c r="AF7" s="582"/>
      <c r="AG7" s="394">
        <f>ROUNDUP(AA7*12%,0)</f>
        <v>535</v>
      </c>
      <c r="AH7" s="394">
        <f>ROUNDUP((Y7+X7)*0.75%,0)</f>
        <v>75</v>
      </c>
      <c r="AI7" s="394">
        <f t="shared" si="12"/>
        <v>610</v>
      </c>
      <c r="AJ7" s="394">
        <f t="shared" si="13"/>
        <v>9290</v>
      </c>
      <c r="AK7" s="394">
        <f>ROUNDUP(AA7*13.01%,0)</f>
        <v>580</v>
      </c>
      <c r="AL7" s="394">
        <f>ROUNDUP((Y7+X7)*3.25%,0)</f>
        <v>322</v>
      </c>
      <c r="AM7" s="396"/>
      <c r="AN7" s="606" t="s">
        <v>213</v>
      </c>
    </row>
    <row r="8" spans="1:46" s="113" customFormat="1" ht="57" customHeight="1">
      <c r="A8" s="399">
        <v>4</v>
      </c>
      <c r="B8" s="605" t="s">
        <v>110</v>
      </c>
      <c r="C8" s="389" t="s">
        <v>107</v>
      </c>
      <c r="D8" s="389">
        <v>28</v>
      </c>
      <c r="E8" s="593">
        <v>0</v>
      </c>
      <c r="F8" s="580">
        <f t="shared" si="0"/>
        <v>0</v>
      </c>
      <c r="G8" s="580">
        <f t="shared" si="1"/>
        <v>0</v>
      </c>
      <c r="H8" s="593">
        <v>0</v>
      </c>
      <c r="I8" s="580">
        <f>IF(H8&lt;2,H8,H8-2)</f>
        <v>0</v>
      </c>
      <c r="J8" s="580">
        <f t="shared" si="2"/>
        <v>0</v>
      </c>
      <c r="K8" s="580">
        <f>5+5+5</f>
        <v>15</v>
      </c>
      <c r="L8" s="593">
        <v>0</v>
      </c>
      <c r="M8" s="580">
        <v>21</v>
      </c>
      <c r="N8" s="580">
        <v>0</v>
      </c>
      <c r="O8" s="580">
        <v>0</v>
      </c>
      <c r="P8" s="594">
        <f t="shared" si="3"/>
        <v>21</v>
      </c>
      <c r="Q8" s="584">
        <f t="shared" si="4"/>
        <v>21</v>
      </c>
      <c r="R8" s="581"/>
      <c r="S8" s="581"/>
      <c r="T8" s="581"/>
      <c r="U8" s="581"/>
      <c r="V8" s="581">
        <v>12100</v>
      </c>
      <c r="W8" s="581">
        <f t="shared" si="9"/>
        <v>12100</v>
      </c>
      <c r="X8" s="581"/>
      <c r="Y8" s="581">
        <f t="shared" si="10"/>
        <v>3025</v>
      </c>
      <c r="Z8" s="581">
        <f t="shared" si="11"/>
        <v>432.14285714285717</v>
      </c>
      <c r="AA8" s="581">
        <f t="shared" si="5"/>
        <v>5445</v>
      </c>
      <c r="AB8" s="394">
        <f t="shared" si="6"/>
        <v>9075</v>
      </c>
      <c r="AC8" s="394"/>
      <c r="AD8" s="394">
        <f t="shared" si="7"/>
        <v>0</v>
      </c>
      <c r="AE8" s="581">
        <f t="shared" si="8"/>
        <v>0</v>
      </c>
      <c r="AF8" s="582"/>
      <c r="AG8" s="394">
        <f>ROUNDUP(AA8*12%,0)</f>
        <v>654</v>
      </c>
      <c r="AH8" s="394">
        <f>ROUNDUP((Y8+X8)*0.75%,0)</f>
        <v>23</v>
      </c>
      <c r="AI8" s="394">
        <f t="shared" si="12"/>
        <v>9752</v>
      </c>
      <c r="AJ8" s="394">
        <f t="shared" si="13"/>
        <v>2348</v>
      </c>
      <c r="AK8" s="394">
        <f>ROUNDUP(AA8*13.01%,0)</f>
        <v>709</v>
      </c>
      <c r="AL8" s="394">
        <f>ROUNDUP((Y8+X8)*3.25%,0)</f>
        <v>99</v>
      </c>
      <c r="AM8" s="396" t="s">
        <v>319</v>
      </c>
      <c r="AN8" s="606" t="s">
        <v>230</v>
      </c>
    </row>
    <row r="9" spans="1:46" s="113" customFormat="1" ht="58" customHeight="1">
      <c r="A9" s="399">
        <v>5</v>
      </c>
      <c r="B9" s="605" t="s">
        <v>111</v>
      </c>
      <c r="C9" s="389" t="s">
        <v>107</v>
      </c>
      <c r="D9" s="389">
        <v>28</v>
      </c>
      <c r="E9" s="593">
        <v>0</v>
      </c>
      <c r="F9" s="580">
        <f t="shared" si="0"/>
        <v>0</v>
      </c>
      <c r="G9" s="580">
        <f t="shared" si="1"/>
        <v>0</v>
      </c>
      <c r="H9" s="593">
        <v>0</v>
      </c>
      <c r="I9" s="580">
        <f t="shared" ref="I9" si="14">IF(H9&lt;2,H9,H9-2)</f>
        <v>0</v>
      </c>
      <c r="J9" s="580">
        <f t="shared" si="2"/>
        <v>0</v>
      </c>
      <c r="K9" s="580">
        <f>3.5+6+2.5</f>
        <v>12</v>
      </c>
      <c r="L9" s="593">
        <v>2.5</v>
      </c>
      <c r="M9" s="580">
        <v>0</v>
      </c>
      <c r="N9" s="580">
        <v>0</v>
      </c>
      <c r="O9" s="580">
        <v>0</v>
      </c>
      <c r="P9" s="594">
        <f t="shared" si="3"/>
        <v>2.5</v>
      </c>
      <c r="Q9" s="584">
        <f t="shared" si="4"/>
        <v>0</v>
      </c>
      <c r="R9" s="581"/>
      <c r="S9" s="581"/>
      <c r="T9" s="581"/>
      <c r="U9" s="581"/>
      <c r="V9" s="581">
        <v>9100</v>
      </c>
      <c r="W9" s="581">
        <f t="shared" si="9"/>
        <v>9100</v>
      </c>
      <c r="X9" s="581"/>
      <c r="Y9" s="581">
        <f t="shared" si="10"/>
        <v>9100</v>
      </c>
      <c r="Z9" s="581">
        <f t="shared" si="11"/>
        <v>325</v>
      </c>
      <c r="AA9" s="581">
        <f t="shared" si="5"/>
        <v>4095</v>
      </c>
      <c r="AB9" s="394">
        <f t="shared" si="6"/>
        <v>0</v>
      </c>
      <c r="AC9" s="394"/>
      <c r="AD9" s="394">
        <f t="shared" si="7"/>
        <v>0</v>
      </c>
      <c r="AE9" s="581">
        <f t="shared" si="8"/>
        <v>0</v>
      </c>
      <c r="AF9" s="582"/>
      <c r="AG9" s="394">
        <v>0</v>
      </c>
      <c r="AH9" s="394">
        <v>0</v>
      </c>
      <c r="AI9" s="394">
        <f t="shared" si="12"/>
        <v>0</v>
      </c>
      <c r="AJ9" s="394">
        <f t="shared" si="13"/>
        <v>9100</v>
      </c>
      <c r="AK9" s="394">
        <v>0</v>
      </c>
      <c r="AL9" s="394">
        <v>0</v>
      </c>
      <c r="AM9" s="396"/>
      <c r="AN9" s="606" t="s">
        <v>217</v>
      </c>
    </row>
    <row r="10" spans="1:46" s="113" customFormat="1" ht="51" customHeight="1">
      <c r="A10" s="609" t="s">
        <v>105</v>
      </c>
      <c r="B10" s="610"/>
      <c r="C10" s="610"/>
      <c r="D10" s="610"/>
      <c r="E10" s="610"/>
      <c r="F10" s="610"/>
      <c r="G10" s="610"/>
      <c r="H10" s="610"/>
      <c r="I10" s="610"/>
      <c r="J10" s="610"/>
      <c r="K10" s="610"/>
      <c r="L10" s="610"/>
      <c r="M10" s="610"/>
      <c r="N10" s="610"/>
      <c r="O10" s="610"/>
      <c r="P10" s="610"/>
      <c r="Q10" s="610"/>
      <c r="R10" s="400">
        <f>SUM(R5:R9)</f>
        <v>0</v>
      </c>
      <c r="S10" s="400">
        <f>SUM(S5:S9)</f>
        <v>0</v>
      </c>
      <c r="T10" s="400">
        <f>SUM(T5:T9)</f>
        <v>0</v>
      </c>
      <c r="U10" s="400">
        <f>SUM(U5:U9)</f>
        <v>0</v>
      </c>
      <c r="V10" s="400">
        <f>SUM(V5:V9)</f>
        <v>51300</v>
      </c>
      <c r="W10" s="400">
        <f>SUM(W5:W9)</f>
        <v>51300</v>
      </c>
      <c r="X10" s="400">
        <f>SUM(X5:X9)</f>
        <v>0</v>
      </c>
      <c r="Y10" s="400">
        <f>SUM(Y5:Y9)</f>
        <v>42225</v>
      </c>
      <c r="Z10" s="400">
        <f>SUM(Z5:Z9)</f>
        <v>1832.1428571428571</v>
      </c>
      <c r="AA10" s="400">
        <f>SUM(AA5:AA9)</f>
        <v>23085</v>
      </c>
      <c r="AB10" s="400">
        <f>SUM(AB5:AB9)</f>
        <v>9075</v>
      </c>
      <c r="AC10" s="400">
        <f>SUM(AC5:AC9)</f>
        <v>0</v>
      </c>
      <c r="AD10" s="400">
        <f>SUM(AD5:AD9)</f>
        <v>0</v>
      </c>
      <c r="AE10" s="400">
        <f>SUM(AE5:AE9)</f>
        <v>0</v>
      </c>
      <c r="AF10" s="400">
        <f>SUM(AF5:AF9)</f>
        <v>0</v>
      </c>
      <c r="AG10" s="400">
        <f>SUM(AG5:AG9)</f>
        <v>1821</v>
      </c>
      <c r="AH10" s="400">
        <f>SUM(AH5:AH9)</f>
        <v>186</v>
      </c>
      <c r="AI10" s="400">
        <f>SUM(AI5:AI9)</f>
        <v>11082</v>
      </c>
      <c r="AJ10" s="400">
        <f>SUM(AJ5:AJ9)</f>
        <v>40218</v>
      </c>
      <c r="AK10" s="400">
        <f>SUM(AK5:AK9)</f>
        <v>1974</v>
      </c>
      <c r="AL10" s="400">
        <f>SUM(AL5:AL9)</f>
        <v>802</v>
      </c>
      <c r="AM10" s="611">
        <f>SUM(AM5:AM9)</f>
        <v>0</v>
      </c>
      <c r="AN10" s="612"/>
      <c r="AO10" s="400">
        <f>SUM(AO5:AO9)</f>
        <v>0</v>
      </c>
    </row>
    <row r="11" spans="1:46" s="121" customFormat="1" ht="105" customHeight="1">
      <c r="A11" s="506" t="s">
        <v>31</v>
      </c>
      <c r="B11" s="507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507" t="s">
        <v>98</v>
      </c>
      <c r="V11" s="507"/>
      <c r="W11" s="507"/>
      <c r="X11" s="507"/>
      <c r="Y11" s="507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507" t="s">
        <v>81</v>
      </c>
      <c r="AM11" s="508"/>
      <c r="AN11" s="613"/>
    </row>
    <row r="12" spans="1:46" s="96" customFormat="1" ht="20.25" customHeight="1">
      <c r="C12" s="98"/>
      <c r="Q12" s="102"/>
      <c r="R12" s="102"/>
      <c r="S12" s="102"/>
      <c r="T12" s="102"/>
      <c r="U12" s="102"/>
      <c r="V12" s="102"/>
      <c r="Y12" s="97"/>
      <c r="Z12" s="97"/>
      <c r="AM12" s="98"/>
      <c r="AN12" s="97"/>
      <c r="AT12" s="97"/>
    </row>
    <row r="13" spans="1:46" s="96" customFormat="1" ht="20.25" customHeight="1">
      <c r="C13" s="98"/>
      <c r="Q13" s="102"/>
      <c r="R13" s="102"/>
      <c r="S13" s="102"/>
      <c r="T13" s="102"/>
      <c r="U13" s="102"/>
      <c r="V13" s="102"/>
      <c r="Y13" s="97"/>
      <c r="Z13" s="97"/>
      <c r="AM13" s="98"/>
      <c r="AN13" s="97"/>
      <c r="AT13" s="97"/>
    </row>
    <row r="14" spans="1:46" s="96" customFormat="1" ht="20.25" customHeight="1">
      <c r="C14" s="98"/>
      <c r="Q14" s="102"/>
      <c r="R14" s="102"/>
      <c r="S14" s="102"/>
      <c r="T14" s="102"/>
      <c r="U14" s="102"/>
      <c r="V14" s="102"/>
      <c r="Y14" s="97"/>
      <c r="Z14" s="97"/>
      <c r="AM14" s="98"/>
      <c r="AN14" s="97"/>
      <c r="AT14" s="97"/>
    </row>
    <row r="15" spans="1:46" s="96" customFormat="1" ht="20.25" customHeight="1">
      <c r="C15" s="98"/>
      <c r="Q15" s="102"/>
      <c r="R15" s="102"/>
      <c r="S15" s="102"/>
      <c r="T15" s="102"/>
      <c r="U15" s="102"/>
      <c r="V15" s="102"/>
      <c r="Y15" s="97"/>
      <c r="Z15" s="97"/>
      <c r="AM15" s="98"/>
      <c r="AN15" s="97"/>
      <c r="AT15" s="97"/>
    </row>
    <row r="16" spans="1:46" s="96" customFormat="1" ht="20.25" customHeight="1">
      <c r="C16" s="98"/>
      <c r="Q16" s="102"/>
      <c r="R16" s="102"/>
      <c r="S16" s="102"/>
      <c r="T16" s="102"/>
      <c r="U16" s="102"/>
      <c r="V16" s="102"/>
      <c r="Y16" s="97"/>
      <c r="Z16" s="97"/>
      <c r="AM16" s="98"/>
      <c r="AN16" s="97"/>
      <c r="AT16" s="97"/>
    </row>
    <row r="17" spans="3:46" s="96" customFormat="1" ht="20.25" customHeight="1">
      <c r="C17" s="98"/>
      <c r="Q17" s="102"/>
      <c r="R17" s="102"/>
      <c r="S17" s="102"/>
      <c r="T17" s="102"/>
      <c r="U17" s="102"/>
      <c r="V17" s="102"/>
      <c r="Y17" s="97"/>
      <c r="Z17" s="97"/>
      <c r="AM17" s="98"/>
      <c r="AN17" s="97"/>
      <c r="AT17" s="97"/>
    </row>
    <row r="18" spans="3:46" s="96" customFormat="1" ht="20.25" customHeight="1">
      <c r="C18" s="98"/>
      <c r="Q18" s="102"/>
      <c r="R18" s="102"/>
      <c r="S18" s="102"/>
      <c r="T18" s="102"/>
      <c r="U18" s="102"/>
      <c r="V18" s="102"/>
      <c r="Y18" s="97"/>
      <c r="Z18" s="97"/>
      <c r="AM18" s="98"/>
      <c r="AN18" s="97"/>
      <c r="AT18" s="97"/>
    </row>
    <row r="19" spans="3:46" s="96" customFormat="1" ht="20.25" customHeight="1">
      <c r="C19" s="98"/>
      <c r="Q19" s="102"/>
      <c r="R19" s="102"/>
      <c r="S19" s="102"/>
      <c r="T19" s="102"/>
      <c r="U19" s="102"/>
      <c r="V19" s="102"/>
      <c r="Y19" s="97"/>
      <c r="Z19" s="97"/>
      <c r="AM19" s="98"/>
      <c r="AN19" s="97"/>
      <c r="AT19" s="97"/>
    </row>
    <row r="20" spans="3:46" s="96" customFormat="1" ht="20.25" customHeight="1">
      <c r="C20" s="98"/>
      <c r="Q20" s="102"/>
      <c r="R20" s="102"/>
      <c r="S20" s="102"/>
      <c r="T20" s="102"/>
      <c r="U20" s="102"/>
      <c r="V20" s="102"/>
      <c r="Y20" s="97"/>
      <c r="Z20" s="97"/>
      <c r="AM20" s="98"/>
      <c r="AN20" s="97"/>
      <c r="AT20" s="97"/>
    </row>
    <row r="21" spans="3:46" s="96" customFormat="1" ht="20.25" customHeight="1">
      <c r="C21" s="98"/>
      <c r="Q21" s="102"/>
      <c r="R21" s="102"/>
      <c r="S21" s="102"/>
      <c r="T21" s="102"/>
      <c r="U21" s="102"/>
      <c r="V21" s="102"/>
      <c r="Y21" s="97"/>
      <c r="Z21" s="97"/>
      <c r="AM21" s="98"/>
      <c r="AN21" s="97"/>
      <c r="AT21" s="97"/>
    </row>
    <row r="22" spans="3:46" s="96" customFormat="1" ht="20.25" customHeight="1">
      <c r="C22" s="98"/>
      <c r="Q22" s="102"/>
      <c r="R22" s="102"/>
      <c r="S22" s="102"/>
      <c r="T22" s="102"/>
      <c r="U22" s="102"/>
      <c r="V22" s="102"/>
      <c r="Y22" s="97"/>
      <c r="Z22" s="97"/>
      <c r="AM22" s="98"/>
      <c r="AN22" s="97"/>
      <c r="AT22" s="97"/>
    </row>
    <row r="23" spans="3:46" s="96" customFormat="1" ht="20.25" customHeight="1">
      <c r="C23" s="98"/>
      <c r="Q23" s="102"/>
      <c r="R23" s="102"/>
      <c r="S23" s="102"/>
      <c r="T23" s="102"/>
      <c r="U23" s="102"/>
      <c r="V23" s="102"/>
      <c r="Y23" s="97"/>
      <c r="Z23" s="97"/>
      <c r="AM23" s="98"/>
      <c r="AN23" s="97"/>
      <c r="AT23" s="97"/>
    </row>
    <row r="24" spans="3:46" s="96" customFormat="1" ht="20.25" customHeight="1">
      <c r="C24" s="98"/>
      <c r="Q24" s="102"/>
      <c r="R24" s="102"/>
      <c r="S24" s="102"/>
      <c r="T24" s="102"/>
      <c r="U24" s="102"/>
      <c r="V24" s="102"/>
      <c r="Y24" s="97"/>
      <c r="Z24" s="97"/>
      <c r="AM24" s="98"/>
      <c r="AN24" s="97"/>
      <c r="AT24" s="97"/>
    </row>
    <row r="25" spans="3:46" s="96" customFormat="1" ht="20.25" customHeight="1">
      <c r="C25" s="98"/>
      <c r="Q25" s="102"/>
      <c r="R25" s="102"/>
      <c r="S25" s="102"/>
      <c r="T25" s="102"/>
      <c r="U25" s="102"/>
      <c r="V25" s="102"/>
      <c r="Y25" s="97"/>
      <c r="Z25" s="97"/>
      <c r="AM25" s="98"/>
      <c r="AN25" s="97"/>
      <c r="AT25" s="97"/>
    </row>
    <row r="26" spans="3:46" s="96" customFormat="1" ht="20.25" customHeight="1">
      <c r="C26" s="98"/>
      <c r="Q26" s="102"/>
      <c r="R26" s="102"/>
      <c r="S26" s="102"/>
      <c r="T26" s="102"/>
      <c r="U26" s="102"/>
      <c r="V26" s="102"/>
      <c r="Y26" s="97"/>
      <c r="Z26" s="97"/>
      <c r="AM26" s="98"/>
      <c r="AN26" s="97"/>
      <c r="AT26" s="97"/>
    </row>
    <row r="27" spans="3:46" s="96" customFormat="1" ht="20.25" customHeight="1">
      <c r="C27" s="98"/>
      <c r="Q27" s="102"/>
      <c r="R27" s="102"/>
      <c r="S27" s="102"/>
      <c r="T27" s="102"/>
      <c r="U27" s="102"/>
      <c r="V27" s="102"/>
      <c r="Y27" s="97"/>
      <c r="Z27" s="97"/>
      <c r="AM27" s="98"/>
      <c r="AN27" s="97"/>
      <c r="AT27" s="97"/>
    </row>
    <row r="28" spans="3:46" s="96" customFormat="1" ht="20.25" customHeight="1">
      <c r="C28" s="98"/>
      <c r="Q28" s="102"/>
      <c r="R28" s="102"/>
      <c r="S28" s="102"/>
      <c r="T28" s="102"/>
      <c r="U28" s="102"/>
      <c r="V28" s="102"/>
      <c r="Y28" s="97"/>
      <c r="Z28" s="97"/>
      <c r="AM28" s="98"/>
      <c r="AN28" s="97"/>
      <c r="AT28" s="97"/>
    </row>
    <row r="29" spans="3:46" s="96" customFormat="1" ht="20.25" customHeight="1">
      <c r="C29" s="98"/>
      <c r="Q29" s="102"/>
      <c r="R29" s="102"/>
      <c r="S29" s="102"/>
      <c r="T29" s="102"/>
      <c r="U29" s="102"/>
      <c r="V29" s="102"/>
      <c r="Y29" s="97"/>
      <c r="Z29" s="97"/>
      <c r="AM29" s="98"/>
      <c r="AN29" s="97"/>
      <c r="AT29" s="97"/>
    </row>
    <row r="30" spans="3:46" s="96" customFormat="1" ht="20.25" customHeight="1">
      <c r="C30" s="98"/>
      <c r="Q30" s="102"/>
      <c r="R30" s="102"/>
      <c r="S30" s="102"/>
      <c r="T30" s="102"/>
      <c r="U30" s="102"/>
      <c r="V30" s="102"/>
      <c r="Y30" s="97"/>
      <c r="Z30" s="97"/>
      <c r="AM30" s="98"/>
      <c r="AN30" s="97"/>
      <c r="AT30" s="97"/>
    </row>
    <row r="31" spans="3:46" s="96" customFormat="1" ht="20.25" customHeight="1">
      <c r="C31" s="98"/>
      <c r="Q31" s="102"/>
      <c r="R31" s="102"/>
      <c r="S31" s="102"/>
      <c r="T31" s="102"/>
      <c r="U31" s="102"/>
      <c r="V31" s="102"/>
      <c r="Y31" s="97"/>
      <c r="Z31" s="97"/>
      <c r="AM31" s="98"/>
      <c r="AN31" s="97"/>
      <c r="AT31" s="97"/>
    </row>
    <row r="32" spans="3:46" s="96" customFormat="1" ht="20.25" customHeight="1">
      <c r="C32" s="98"/>
      <c r="Q32" s="102"/>
      <c r="R32" s="102"/>
      <c r="S32" s="102"/>
      <c r="T32" s="102"/>
      <c r="U32" s="102"/>
      <c r="V32" s="102"/>
      <c r="Y32" s="97"/>
      <c r="Z32" s="97"/>
      <c r="AM32" s="98"/>
      <c r="AN32" s="97"/>
      <c r="AT32" s="97"/>
    </row>
    <row r="33" spans="3:46" s="96" customFormat="1" ht="20.25" customHeight="1">
      <c r="C33" s="98"/>
      <c r="Q33" s="102"/>
      <c r="R33" s="102"/>
      <c r="S33" s="102"/>
      <c r="T33" s="102"/>
      <c r="U33" s="102"/>
      <c r="V33" s="102"/>
      <c r="Y33" s="97"/>
      <c r="Z33" s="97"/>
      <c r="AM33" s="98"/>
      <c r="AN33" s="97"/>
      <c r="AT33" s="97"/>
    </row>
    <row r="34" spans="3:46" s="96" customFormat="1" ht="20.25" customHeight="1">
      <c r="C34" s="98"/>
      <c r="Q34" s="102"/>
      <c r="R34" s="102"/>
      <c r="S34" s="102"/>
      <c r="T34" s="102"/>
      <c r="U34" s="102"/>
      <c r="V34" s="102"/>
      <c r="Y34" s="97"/>
      <c r="Z34" s="97"/>
      <c r="AM34" s="98"/>
      <c r="AN34" s="97"/>
      <c r="AT34" s="97"/>
    </row>
    <row r="35" spans="3:46" s="96" customFormat="1" ht="20.25" customHeight="1">
      <c r="C35" s="98"/>
      <c r="Q35" s="102"/>
      <c r="R35" s="102"/>
      <c r="S35" s="102"/>
      <c r="T35" s="102"/>
      <c r="U35" s="102"/>
      <c r="V35" s="102"/>
      <c r="Y35" s="97"/>
      <c r="Z35" s="97"/>
      <c r="AM35" s="98"/>
      <c r="AN35" s="97"/>
      <c r="AT35" s="97"/>
    </row>
    <row r="36" spans="3:46" s="96" customFormat="1" ht="20.25" customHeight="1">
      <c r="C36" s="98"/>
      <c r="Q36" s="102"/>
      <c r="R36" s="102"/>
      <c r="S36" s="102"/>
      <c r="T36" s="102"/>
      <c r="U36" s="102"/>
      <c r="V36" s="102"/>
      <c r="Y36" s="97"/>
      <c r="Z36" s="97"/>
      <c r="AM36" s="98"/>
      <c r="AN36" s="97"/>
      <c r="AT36" s="97"/>
    </row>
    <row r="37" spans="3:46" s="96" customFormat="1" ht="20.25" customHeight="1">
      <c r="C37" s="98"/>
      <c r="Q37" s="102"/>
      <c r="R37" s="102"/>
      <c r="S37" s="102"/>
      <c r="T37" s="102"/>
      <c r="U37" s="102"/>
      <c r="V37" s="102"/>
      <c r="Y37" s="97"/>
      <c r="Z37" s="97"/>
      <c r="AM37" s="98"/>
      <c r="AN37" s="97"/>
      <c r="AT37" s="97"/>
    </row>
    <row r="38" spans="3:46" s="96" customFormat="1" ht="20.25" customHeight="1">
      <c r="C38" s="98"/>
      <c r="Q38" s="102"/>
      <c r="R38" s="102"/>
      <c r="S38" s="102"/>
      <c r="T38" s="102"/>
      <c r="U38" s="102"/>
      <c r="V38" s="102"/>
      <c r="Y38" s="97"/>
      <c r="Z38" s="97"/>
      <c r="AM38" s="98"/>
      <c r="AN38" s="97"/>
      <c r="AT38" s="97"/>
    </row>
    <row r="39" spans="3:46" s="96" customFormat="1" ht="20.25" customHeight="1">
      <c r="C39" s="98"/>
      <c r="Q39" s="102"/>
      <c r="R39" s="102"/>
      <c r="S39" s="102"/>
      <c r="T39" s="102"/>
      <c r="U39" s="102"/>
      <c r="V39" s="102"/>
      <c r="Y39" s="97"/>
      <c r="Z39" s="97"/>
      <c r="AM39" s="98"/>
      <c r="AN39" s="97"/>
      <c r="AT39" s="97"/>
    </row>
    <row r="40" spans="3:46" s="96" customFormat="1" ht="20.25" customHeight="1">
      <c r="C40" s="98"/>
      <c r="Q40" s="102"/>
      <c r="R40" s="102"/>
      <c r="S40" s="102"/>
      <c r="T40" s="102"/>
      <c r="U40" s="102"/>
      <c r="V40" s="102"/>
      <c r="Y40" s="97"/>
      <c r="Z40" s="97"/>
      <c r="AM40" s="98"/>
      <c r="AN40" s="97"/>
      <c r="AT40" s="97"/>
    </row>
    <row r="41" spans="3:46" s="96" customFormat="1" ht="20.25" customHeight="1">
      <c r="C41" s="98"/>
      <c r="Q41" s="102"/>
      <c r="R41" s="102"/>
      <c r="S41" s="102"/>
      <c r="T41" s="102"/>
      <c r="U41" s="102"/>
      <c r="V41" s="102"/>
      <c r="Y41" s="97"/>
      <c r="Z41" s="97"/>
      <c r="AM41" s="98"/>
      <c r="AN41" s="97"/>
      <c r="AT41" s="97"/>
    </row>
    <row r="42" spans="3:46" s="96" customFormat="1" ht="20.25" customHeight="1">
      <c r="C42" s="98"/>
      <c r="Q42" s="102"/>
      <c r="R42" s="102"/>
      <c r="S42" s="102"/>
      <c r="T42" s="102"/>
      <c r="U42" s="102"/>
      <c r="V42" s="102"/>
      <c r="Y42" s="97"/>
      <c r="Z42" s="97"/>
      <c r="AM42" s="98"/>
      <c r="AN42" s="97"/>
      <c r="AT42" s="97"/>
    </row>
  </sheetData>
  <autoFilter ref="A4:AT11" xr:uid="{00000000-0001-0000-0400-000000000000}"/>
  <mergeCells count="21">
    <mergeCell ref="A10:Q10"/>
    <mergeCell ref="A11:B11"/>
    <mergeCell ref="U11:Y11"/>
    <mergeCell ref="AL11:AM11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A1:AM1"/>
    <mergeCell ref="A2:AM2"/>
    <mergeCell ref="D3:Q3"/>
    <mergeCell ref="R3:U3"/>
    <mergeCell ref="AB3:AI3"/>
    <mergeCell ref="AK3:AL3"/>
    <mergeCell ref="V3:V4"/>
  </mergeCells>
  <conditionalFormatting sqref="J5:N9">
    <cfRule type="cellIs" dxfId="22" priority="2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33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  <pageSetUpPr fitToPage="1"/>
  </sheetPr>
  <dimension ref="A1:BP17"/>
  <sheetViews>
    <sheetView zoomScale="70" zoomScaleNormal="70" zoomScaleSheetLayoutView="82" zoomScalePageLayoutView="35" workbookViewId="0">
      <pane xSplit="2" ySplit="4" topLeftCell="C5" activePane="bottomRight" state="frozen"/>
      <selection pane="topRight"/>
      <selection pane="bottomLeft"/>
      <selection pane="bottomRight" activeCell="A8" sqref="A8:XFD11"/>
    </sheetView>
  </sheetViews>
  <sheetFormatPr defaultColWidth="9.453125" defaultRowHeight="20.25" customHeight="1" outlineLevelCol="1"/>
  <cols>
    <col min="1" max="1" width="4.453125" style="5" customWidth="1"/>
    <col min="2" max="2" width="21.81640625" style="5" bestFit="1" customWidth="1"/>
    <col min="3" max="3" width="13.453125" style="1" bestFit="1" customWidth="1"/>
    <col min="4" max="4" width="4.453125" style="5" customWidth="1" outlineLevel="1"/>
    <col min="5" max="5" width="3.453125" style="5" bestFit="1" customWidth="1" outlineLevel="1"/>
    <col min="6" max="7" width="5.453125" style="5" bestFit="1" customWidth="1" outlineLevel="1"/>
    <col min="8" max="8" width="3.453125" style="5" bestFit="1" customWidth="1" outlineLevel="1"/>
    <col min="9" max="9" width="5.453125" style="5" bestFit="1" customWidth="1" outlineLevel="1"/>
    <col min="10" max="10" width="3.453125" style="5" bestFit="1" customWidth="1" outlineLevel="1"/>
    <col min="11" max="11" width="6.453125" style="5" bestFit="1" customWidth="1" outlineLevel="1"/>
    <col min="12" max="12" width="5.453125" style="5" bestFit="1" customWidth="1" outlineLevel="1"/>
    <col min="13" max="14" width="6.453125" style="5" bestFit="1" customWidth="1" outlineLevel="1"/>
    <col min="15" max="15" width="3.453125" style="5" bestFit="1" customWidth="1" outlineLevel="1"/>
    <col min="16" max="16" width="6.453125" style="5" customWidth="1" outlineLevel="1"/>
    <col min="17" max="17" width="6.81640625" style="6" customWidth="1" outlineLevel="1"/>
    <col min="18" max="18" width="16.1796875" style="11" customWidth="1" outlineLevel="1"/>
    <col min="19" max="19" width="14.453125" style="11" bestFit="1" customWidth="1" outlineLevel="1"/>
    <col min="20" max="20" width="12.453125" style="11" bestFit="1" customWidth="1" outlineLevel="1"/>
    <col min="21" max="21" width="14.453125" style="11" customWidth="1" outlineLevel="1"/>
    <col min="22" max="22" width="15" style="11" customWidth="1" outlineLevel="1"/>
    <col min="23" max="23" width="14.453125" style="5" customWidth="1" outlineLevel="1"/>
    <col min="24" max="24" width="12.26953125" style="5" customWidth="1" outlineLevel="1"/>
    <col min="25" max="25" width="16.453125" style="7" customWidth="1" outlineLevel="1"/>
    <col min="26" max="26" width="16.1796875" style="7" customWidth="1" outlineLevel="1"/>
    <col min="27" max="27" width="15.453125" style="5" customWidth="1" outlineLevel="1"/>
    <col min="28" max="30" width="16.453125" style="5" customWidth="1" outlineLevel="1"/>
    <col min="31" max="31" width="15.453125" style="5" bestFit="1" customWidth="1" outlineLevel="1"/>
    <col min="32" max="32" width="19.1796875" style="5" bestFit="1" customWidth="1" outlineLevel="1"/>
    <col min="33" max="34" width="13.453125" style="5" bestFit="1" customWidth="1" outlineLevel="1"/>
    <col min="35" max="35" width="13.26953125" style="5" customWidth="1" outlineLevel="1"/>
    <col min="36" max="36" width="15.1796875" style="5" customWidth="1"/>
    <col min="37" max="37" width="12.81640625" style="5" customWidth="1"/>
    <col min="38" max="38" width="13.26953125" style="5" customWidth="1"/>
    <col min="39" max="39" width="34.7265625" style="1" customWidth="1"/>
    <col min="40" max="40" width="30.1796875" style="5" bestFit="1" customWidth="1"/>
    <col min="41" max="42" width="9.453125" style="5"/>
    <col min="43" max="43" width="3.1796875" style="5" customWidth="1"/>
    <col min="44" max="44" width="25.453125" style="5" customWidth="1"/>
    <col min="45" max="45" width="14.81640625" style="7" customWidth="1"/>
    <col min="46" max="16384" width="9.453125" style="5"/>
  </cols>
  <sheetData>
    <row r="1" spans="1:68" ht="20.25" customHeight="1">
      <c r="A1" s="478" t="s">
        <v>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  <c r="AC1" s="479"/>
      <c r="AD1" s="479"/>
      <c r="AE1" s="479"/>
      <c r="AF1" s="479"/>
      <c r="AG1" s="479"/>
      <c r="AH1" s="479"/>
      <c r="AI1" s="479"/>
      <c r="AJ1" s="479"/>
      <c r="AK1" s="479"/>
      <c r="AL1" s="479"/>
      <c r="AM1" s="480"/>
    </row>
    <row r="2" spans="1:68" ht="20.25" customHeight="1">
      <c r="A2" s="481" t="s">
        <v>300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3"/>
    </row>
    <row r="3" spans="1:68" s="1" customFormat="1" ht="37" customHeight="1">
      <c r="A3" s="459" t="s">
        <v>35</v>
      </c>
      <c r="B3" s="451" t="s">
        <v>36</v>
      </c>
      <c r="C3" s="451" t="s">
        <v>37</v>
      </c>
      <c r="D3" s="451" t="s">
        <v>38</v>
      </c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502" t="s">
        <v>39</v>
      </c>
      <c r="S3" s="502"/>
      <c r="T3" s="502"/>
      <c r="U3" s="502"/>
      <c r="V3" s="451" t="s">
        <v>40</v>
      </c>
      <c r="W3" s="451" t="s">
        <v>198</v>
      </c>
      <c r="X3" s="451" t="s">
        <v>41</v>
      </c>
      <c r="Y3" s="460" t="s">
        <v>42</v>
      </c>
      <c r="Z3" s="460" t="s">
        <v>43</v>
      </c>
      <c r="AA3" s="461" t="s">
        <v>44</v>
      </c>
      <c r="AB3" s="451" t="s">
        <v>6</v>
      </c>
      <c r="AC3" s="451"/>
      <c r="AD3" s="451"/>
      <c r="AE3" s="451"/>
      <c r="AF3" s="451"/>
      <c r="AG3" s="451"/>
      <c r="AH3" s="451"/>
      <c r="AI3" s="451"/>
      <c r="AJ3" s="461" t="s">
        <v>45</v>
      </c>
      <c r="AK3" s="451" t="s">
        <v>46</v>
      </c>
      <c r="AL3" s="451"/>
      <c r="AM3" s="462" t="s">
        <v>47</v>
      </c>
      <c r="AS3" s="36"/>
    </row>
    <row r="4" spans="1:68" s="158" customFormat="1" ht="140.25" customHeight="1">
      <c r="A4" s="459"/>
      <c r="B4" s="451"/>
      <c r="C4" s="451"/>
      <c r="D4" s="78" t="s">
        <v>48</v>
      </c>
      <c r="E4" s="153" t="s">
        <v>49</v>
      </c>
      <c r="F4" s="154" t="s">
        <v>50</v>
      </c>
      <c r="G4" s="154" t="s">
        <v>51</v>
      </c>
      <c r="H4" s="153" t="s">
        <v>52</v>
      </c>
      <c r="I4" s="79" t="s">
        <v>53</v>
      </c>
      <c r="J4" s="79" t="s">
        <v>54</v>
      </c>
      <c r="K4" s="155" t="s">
        <v>260</v>
      </c>
      <c r="L4" s="79" t="s">
        <v>56</v>
      </c>
      <c r="M4" s="170" t="s">
        <v>188</v>
      </c>
      <c r="N4" s="78" t="s">
        <v>58</v>
      </c>
      <c r="O4" s="78" t="s">
        <v>59</v>
      </c>
      <c r="P4" s="79" t="s">
        <v>60</v>
      </c>
      <c r="Q4" s="80" t="s">
        <v>61</v>
      </c>
      <c r="R4" s="156" t="s">
        <v>62</v>
      </c>
      <c r="S4" s="156" t="s">
        <v>63</v>
      </c>
      <c r="T4" s="152" t="s">
        <v>64</v>
      </c>
      <c r="U4" s="157" t="s">
        <v>65</v>
      </c>
      <c r="V4" s="451"/>
      <c r="W4" s="451"/>
      <c r="X4" s="451"/>
      <c r="Y4" s="460"/>
      <c r="Z4" s="460"/>
      <c r="AA4" s="461"/>
      <c r="AB4" s="77" t="s">
        <v>66</v>
      </c>
      <c r="AC4" s="76" t="s">
        <v>67</v>
      </c>
      <c r="AD4" s="77" t="s">
        <v>11</v>
      </c>
      <c r="AE4" s="77" t="s">
        <v>12</v>
      </c>
      <c r="AF4" s="77" t="s">
        <v>13</v>
      </c>
      <c r="AG4" s="77" t="s">
        <v>68</v>
      </c>
      <c r="AH4" s="77" t="s">
        <v>69</v>
      </c>
      <c r="AI4" s="81" t="s">
        <v>29</v>
      </c>
      <c r="AJ4" s="461"/>
      <c r="AK4" s="77" t="s">
        <v>70</v>
      </c>
      <c r="AL4" s="77" t="s">
        <v>71</v>
      </c>
      <c r="AM4" s="462"/>
      <c r="AS4" s="159"/>
    </row>
    <row r="5" spans="1:68" s="35" customFormat="1" ht="57" customHeight="1">
      <c r="A5" s="225">
        <v>1</v>
      </c>
      <c r="B5" s="210" t="s">
        <v>112</v>
      </c>
      <c r="C5" s="212" t="s">
        <v>113</v>
      </c>
      <c r="D5" s="212">
        <v>28</v>
      </c>
      <c r="E5" s="294">
        <v>0</v>
      </c>
      <c r="F5" s="239">
        <f t="shared" ref="F5:F7" si="0">IF((E5/3)&gt;=1,TRUNC(E5/3,0),0)</f>
        <v>0</v>
      </c>
      <c r="G5" s="239">
        <f t="shared" ref="G5:G7" si="1">E5-F5*3</f>
        <v>0</v>
      </c>
      <c r="H5" s="294">
        <v>2</v>
      </c>
      <c r="I5" s="239">
        <f>IF(H5&lt;2,H5,H5-2)</f>
        <v>0</v>
      </c>
      <c r="J5" s="239">
        <f t="shared" ref="J5:J7" si="2">H5-I5</f>
        <v>2</v>
      </c>
      <c r="K5" s="239">
        <f>3+4.5+0</f>
        <v>7.5</v>
      </c>
      <c r="L5" s="294">
        <v>0.5</v>
      </c>
      <c r="M5" s="239">
        <v>0</v>
      </c>
      <c r="N5" s="239">
        <v>0</v>
      </c>
      <c r="O5" s="239">
        <v>0</v>
      </c>
      <c r="P5" s="242">
        <f t="shared" ref="P5:P7" si="3">L5+M5+N5+O5</f>
        <v>0.5</v>
      </c>
      <c r="Q5" s="241">
        <f>(F5*0.5)+(I5*0.5)+L5+(N5*2)+M5</f>
        <v>0.5</v>
      </c>
      <c r="R5" s="322">
        <f>150000+200000</f>
        <v>350000</v>
      </c>
      <c r="S5" s="322">
        <f>87000+10000+10000+10000+10000+10000+10000+10000+10000+10000+10000+10000+10000+10000</f>
        <v>217000</v>
      </c>
      <c r="T5" s="322">
        <v>10000</v>
      </c>
      <c r="U5" s="322">
        <f t="shared" ref="U5:U7" si="4">R5-(S5+T5)</f>
        <v>123000</v>
      </c>
      <c r="V5" s="182">
        <v>22700</v>
      </c>
      <c r="W5" s="182">
        <f t="shared" ref="W5:W7" si="5">V5</f>
        <v>22700</v>
      </c>
      <c r="X5" s="182">
        <v>0</v>
      </c>
      <c r="Y5" s="172">
        <f t="shared" ref="Y5:Y7" si="6">W5-AB5</f>
        <v>22294.642857142859</v>
      </c>
      <c r="Z5" s="172">
        <f t="shared" ref="Z5:Z7" si="7">W5/D5</f>
        <v>810.71428571428567</v>
      </c>
      <c r="AA5" s="172">
        <f t="shared" ref="AA5:AA7" si="8">W5*45%</f>
        <v>10215</v>
      </c>
      <c r="AB5" s="182">
        <f t="shared" ref="AB5:AB7" si="9">Q5*Z5</f>
        <v>405.35714285714283</v>
      </c>
      <c r="AC5" s="182"/>
      <c r="AD5" s="182">
        <f t="shared" ref="AD5:AD7" si="10">(AC5)*Z5</f>
        <v>0</v>
      </c>
      <c r="AE5" s="172">
        <f t="shared" ref="AE5:AE7" si="11">T5</f>
        <v>10000</v>
      </c>
      <c r="AF5" s="319"/>
      <c r="AG5" s="182">
        <v>0</v>
      </c>
      <c r="AH5" s="182">
        <v>0</v>
      </c>
      <c r="AI5" s="182">
        <f t="shared" ref="AI5:AI7" si="12">SUM(AB5,AD5:AH5)</f>
        <v>10405.357142857143</v>
      </c>
      <c r="AJ5" s="182">
        <f t="shared" ref="AJ5:AJ7" si="13">ROUND(SUM(W5:X5)-AI5,0)</f>
        <v>12295</v>
      </c>
      <c r="AK5" s="182">
        <v>0</v>
      </c>
      <c r="AL5" s="182">
        <v>0</v>
      </c>
      <c r="AM5" s="240" t="s">
        <v>267</v>
      </c>
      <c r="AN5" s="244" t="s">
        <v>214</v>
      </c>
      <c r="AP5" s="151"/>
      <c r="AQ5" s="151"/>
      <c r="AR5" s="151"/>
      <c r="AS5" s="151"/>
    </row>
    <row r="6" spans="1:68" s="35" customFormat="1" ht="57" customHeight="1">
      <c r="A6" s="225">
        <v>2</v>
      </c>
      <c r="B6" s="210" t="s">
        <v>115</v>
      </c>
      <c r="C6" s="212" t="s">
        <v>114</v>
      </c>
      <c r="D6" s="212">
        <v>28</v>
      </c>
      <c r="E6" s="294">
        <v>0</v>
      </c>
      <c r="F6" s="239">
        <f t="shared" si="0"/>
        <v>0</v>
      </c>
      <c r="G6" s="239">
        <f t="shared" si="1"/>
        <v>0</v>
      </c>
      <c r="H6" s="294">
        <v>0</v>
      </c>
      <c r="I6" s="239">
        <f>IF(H6&lt;2,H6,H6-2)</f>
        <v>0</v>
      </c>
      <c r="J6" s="239">
        <f t="shared" si="2"/>
        <v>0</v>
      </c>
      <c r="K6" s="239">
        <f>11+16.5+1.5</f>
        <v>29</v>
      </c>
      <c r="L6" s="294">
        <v>0</v>
      </c>
      <c r="M6" s="239">
        <v>0</v>
      </c>
      <c r="N6" s="239">
        <v>0</v>
      </c>
      <c r="O6" s="239">
        <v>0</v>
      </c>
      <c r="P6" s="242">
        <f t="shared" si="3"/>
        <v>0</v>
      </c>
      <c r="Q6" s="241">
        <f>(F6*0.5)+(I6*0.5)+L6+(N6*2)+M6</f>
        <v>0</v>
      </c>
      <c r="R6" s="172"/>
      <c r="S6" s="172"/>
      <c r="T6" s="172"/>
      <c r="U6" s="172">
        <f t="shared" si="4"/>
        <v>0</v>
      </c>
      <c r="V6" s="182">
        <v>17500</v>
      </c>
      <c r="W6" s="182">
        <f t="shared" si="5"/>
        <v>17500</v>
      </c>
      <c r="X6" s="182">
        <v>0</v>
      </c>
      <c r="Y6" s="172">
        <f t="shared" si="6"/>
        <v>17500</v>
      </c>
      <c r="Z6" s="172">
        <f t="shared" si="7"/>
        <v>625</v>
      </c>
      <c r="AA6" s="172">
        <f t="shared" si="8"/>
        <v>7875</v>
      </c>
      <c r="AB6" s="182">
        <f t="shared" si="9"/>
        <v>0</v>
      </c>
      <c r="AC6" s="182"/>
      <c r="AD6" s="182">
        <f t="shared" si="10"/>
        <v>0</v>
      </c>
      <c r="AE6" s="172">
        <f t="shared" si="11"/>
        <v>0</v>
      </c>
      <c r="AF6" s="319"/>
      <c r="AG6" s="182">
        <v>0</v>
      </c>
      <c r="AH6" s="182">
        <v>0</v>
      </c>
      <c r="AI6" s="182">
        <f t="shared" si="12"/>
        <v>0</v>
      </c>
      <c r="AJ6" s="182">
        <f t="shared" si="13"/>
        <v>17500</v>
      </c>
      <c r="AK6" s="182">
        <v>0</v>
      </c>
      <c r="AL6" s="182">
        <v>0</v>
      </c>
      <c r="AM6" s="240"/>
      <c r="AN6" s="244" t="s">
        <v>221</v>
      </c>
      <c r="AP6" s="151"/>
      <c r="AQ6" s="151"/>
      <c r="AR6" s="151"/>
      <c r="AS6" s="151"/>
    </row>
    <row r="7" spans="1:68" s="35" customFormat="1" ht="57" customHeight="1">
      <c r="A7" s="225">
        <v>3</v>
      </c>
      <c r="B7" s="210" t="s">
        <v>116</v>
      </c>
      <c r="C7" s="212" t="s">
        <v>114</v>
      </c>
      <c r="D7" s="212">
        <v>28</v>
      </c>
      <c r="E7" s="294">
        <v>0</v>
      </c>
      <c r="F7" s="239">
        <f t="shared" si="0"/>
        <v>0</v>
      </c>
      <c r="G7" s="239">
        <f t="shared" si="1"/>
        <v>0</v>
      </c>
      <c r="H7" s="294">
        <v>0</v>
      </c>
      <c r="I7" s="239">
        <f>IF(H7&lt;2,H7,H7-2)</f>
        <v>0</v>
      </c>
      <c r="J7" s="239">
        <f t="shared" si="2"/>
        <v>0</v>
      </c>
      <c r="K7" s="239">
        <f>4+0+4</f>
        <v>8</v>
      </c>
      <c r="L7" s="294">
        <v>0</v>
      </c>
      <c r="M7" s="239">
        <v>0</v>
      </c>
      <c r="N7" s="239">
        <v>0</v>
      </c>
      <c r="O7" s="239">
        <v>0</v>
      </c>
      <c r="P7" s="242">
        <f t="shared" si="3"/>
        <v>0</v>
      </c>
      <c r="Q7" s="241">
        <f>(F7*0.5)+(I7*0.5)+L7+(N7*2)+M7</f>
        <v>0</v>
      </c>
      <c r="R7" s="172"/>
      <c r="S7" s="172"/>
      <c r="T7" s="172"/>
      <c r="U7" s="172">
        <f t="shared" si="4"/>
        <v>0</v>
      </c>
      <c r="V7" s="182">
        <v>15800</v>
      </c>
      <c r="W7" s="182">
        <f t="shared" si="5"/>
        <v>15800</v>
      </c>
      <c r="X7" s="182">
        <v>0</v>
      </c>
      <c r="Y7" s="172">
        <f t="shared" si="6"/>
        <v>15800</v>
      </c>
      <c r="Z7" s="172">
        <f t="shared" si="7"/>
        <v>564.28571428571433</v>
      </c>
      <c r="AA7" s="172">
        <f t="shared" si="8"/>
        <v>7110</v>
      </c>
      <c r="AB7" s="182">
        <f t="shared" si="9"/>
        <v>0</v>
      </c>
      <c r="AC7" s="182"/>
      <c r="AD7" s="182">
        <f t="shared" si="10"/>
        <v>0</v>
      </c>
      <c r="AE7" s="172">
        <f t="shared" si="11"/>
        <v>0</v>
      </c>
      <c r="AF7" s="319"/>
      <c r="AG7" s="182">
        <v>0</v>
      </c>
      <c r="AH7" s="182">
        <v>0</v>
      </c>
      <c r="AI7" s="182">
        <f t="shared" si="12"/>
        <v>0</v>
      </c>
      <c r="AJ7" s="182">
        <f t="shared" si="13"/>
        <v>15800</v>
      </c>
      <c r="AK7" s="182">
        <v>0</v>
      </c>
      <c r="AL7" s="182">
        <v>0</v>
      </c>
      <c r="AM7" s="240"/>
      <c r="AN7" s="244" t="s">
        <v>232</v>
      </c>
      <c r="AP7" s="151"/>
      <c r="AQ7" s="151"/>
      <c r="AR7" s="151"/>
      <c r="AS7" s="151"/>
    </row>
    <row r="8" spans="1:68" s="35" customFormat="1" ht="51" customHeight="1">
      <c r="A8" s="484" t="s">
        <v>105</v>
      </c>
      <c r="B8" s="485"/>
      <c r="C8" s="485"/>
      <c r="D8" s="485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6"/>
      <c r="R8" s="64">
        <f>SUM(R5:R7)</f>
        <v>350000</v>
      </c>
      <c r="S8" s="64">
        <f>SUM(S5:S7)</f>
        <v>217000</v>
      </c>
      <c r="T8" s="64">
        <f>SUM(T5:T7)</f>
        <v>10000</v>
      </c>
      <c r="U8" s="64">
        <f>SUM(U5:U7)</f>
        <v>123000</v>
      </c>
      <c r="V8" s="64">
        <f>SUM(V5:V7)</f>
        <v>56000</v>
      </c>
      <c r="W8" s="64">
        <f>SUM(W5:W7)</f>
        <v>56000</v>
      </c>
      <c r="X8" s="64">
        <f>SUM(X5:X7)</f>
        <v>0</v>
      </c>
      <c r="Y8" s="64">
        <f>SUM(Y5:Y7)</f>
        <v>55594.642857142855</v>
      </c>
      <c r="Z8" s="64">
        <f>SUM(Z5:Z7)</f>
        <v>2000</v>
      </c>
      <c r="AA8" s="64">
        <f>SUM(AA5:AA7)</f>
        <v>25200</v>
      </c>
      <c r="AB8" s="64">
        <f>SUM(AB5:AB7)</f>
        <v>405.35714285714283</v>
      </c>
      <c r="AC8" s="64">
        <f>SUM(AC5:AC7)</f>
        <v>0</v>
      </c>
      <c r="AD8" s="64">
        <f>SUM(AD5:AD7)</f>
        <v>0</v>
      </c>
      <c r="AE8" s="64">
        <f>SUM(AE5:AE7)</f>
        <v>10000</v>
      </c>
      <c r="AF8" s="64">
        <f>SUM(AF5:AF7)</f>
        <v>0</v>
      </c>
      <c r="AG8" s="64">
        <f>SUM(AG5:AG7)</f>
        <v>0</v>
      </c>
      <c r="AH8" s="64">
        <f>SUM(AH5:AH7)</f>
        <v>0</v>
      </c>
      <c r="AI8" s="64">
        <f>SUM(AI5:AI7)</f>
        <v>10405.357142857143</v>
      </c>
      <c r="AJ8" s="64">
        <f>SUM(AJ5:AJ7)</f>
        <v>45595</v>
      </c>
      <c r="AK8" s="64">
        <f>SUM(AK5:AK7)</f>
        <v>0</v>
      </c>
      <c r="AL8" s="64">
        <f>SUM(AL5:AL7)</f>
        <v>0</v>
      </c>
      <c r="AM8" s="243">
        <f>SUM(AM5:AM7)</f>
        <v>0</v>
      </c>
      <c r="AS8" s="151"/>
      <c r="BP8" s="245"/>
    </row>
    <row r="9" spans="1:68" s="142" customFormat="1" ht="108" customHeight="1">
      <c r="A9" s="503" t="s">
        <v>31</v>
      </c>
      <c r="B9" s="504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504" t="s">
        <v>98</v>
      </c>
      <c r="V9" s="504"/>
      <c r="W9" s="504"/>
      <c r="X9" s="504"/>
      <c r="Y9" s="504"/>
      <c r="Z9" s="504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504" t="s">
        <v>81</v>
      </c>
      <c r="AM9" s="505"/>
      <c r="AS9" s="161"/>
      <c r="BP9" s="162"/>
    </row>
    <row r="10" spans="1:68" ht="20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163"/>
      <c r="S10" s="163"/>
      <c r="T10" s="163"/>
      <c r="U10" s="163"/>
      <c r="V10" s="163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68" ht="20.25" customHeight="1">
      <c r="C11" s="5"/>
      <c r="Q11" s="5"/>
      <c r="Y11" s="5"/>
      <c r="Z11" s="5"/>
      <c r="AJ11" s="11"/>
      <c r="AM11" s="5"/>
    </row>
    <row r="12" spans="1:68" ht="20.25" customHeight="1">
      <c r="C12" s="5"/>
      <c r="Q12" s="5"/>
      <c r="W12" s="11"/>
      <c r="X12" s="11"/>
      <c r="Y12" s="5"/>
      <c r="Z12" s="5"/>
      <c r="AM12" s="5"/>
    </row>
    <row r="13" spans="1:68" ht="20.25" customHeight="1">
      <c r="C13" s="5"/>
      <c r="Q13" s="5"/>
      <c r="Y13" s="5"/>
      <c r="Z13" s="5"/>
      <c r="AM13" s="5"/>
    </row>
    <row r="14" spans="1:68" s="4" customFormat="1" ht="20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1"/>
      <c r="S14" s="11"/>
      <c r="T14" s="11"/>
      <c r="U14" s="11"/>
      <c r="V14" s="11"/>
      <c r="W14" s="11"/>
      <c r="X14" s="11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1"/>
      <c r="AK14" s="5"/>
      <c r="AL14" s="5"/>
      <c r="AM14" s="5"/>
      <c r="AS14" s="164"/>
    </row>
    <row r="15" spans="1:68" s="4" customFormat="1" ht="20.25" customHeight="1">
      <c r="R15" s="163"/>
      <c r="S15" s="163"/>
      <c r="T15" s="163"/>
      <c r="U15" s="163"/>
      <c r="V15" s="163"/>
      <c r="AS15" s="164"/>
    </row>
    <row r="16" spans="1:68" ht="20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63"/>
      <c r="S16" s="163"/>
      <c r="T16" s="163"/>
      <c r="U16" s="163"/>
      <c r="V16" s="163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3:39" ht="20.25" customHeight="1">
      <c r="C17" s="5"/>
      <c r="Q17" s="5"/>
      <c r="Y17" s="5"/>
      <c r="Z17" s="5"/>
      <c r="AM17" s="5"/>
    </row>
  </sheetData>
  <mergeCells count="21">
    <mergeCell ref="A8:Q8"/>
    <mergeCell ref="A9:B9"/>
    <mergeCell ref="U9:Z9"/>
    <mergeCell ref="AL9:AM9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A1:AM1"/>
    <mergeCell ref="A2:AM2"/>
    <mergeCell ref="D3:Q3"/>
    <mergeCell ref="R3:U3"/>
    <mergeCell ref="AB3:AI3"/>
    <mergeCell ref="AK3:AL3"/>
    <mergeCell ref="V3:V4"/>
  </mergeCells>
  <conditionalFormatting sqref="J5:N7">
    <cfRule type="cellIs" dxfId="21" priority="1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2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  <pageSetUpPr fitToPage="1"/>
  </sheetPr>
  <dimension ref="A1:AS21"/>
  <sheetViews>
    <sheetView tabSelected="1" zoomScale="70" zoomScaleNormal="70" zoomScaleSheetLayoutView="80" zoomScalePageLayoutView="3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6" sqref="K6"/>
    </sheetView>
  </sheetViews>
  <sheetFormatPr defaultColWidth="9.453125" defaultRowHeight="20.25" customHeight="1" outlineLevelCol="1"/>
  <cols>
    <col min="1" max="1" width="4.453125" style="96" customWidth="1"/>
    <col min="2" max="2" width="23.7265625" style="98" bestFit="1" customWidth="1"/>
    <col min="3" max="3" width="13" style="98" customWidth="1" outlineLevel="1"/>
    <col min="4" max="5" width="3.7265625" style="96" customWidth="1" outlineLevel="1"/>
    <col min="6" max="7" width="6.26953125" style="96" customWidth="1" outlineLevel="1"/>
    <col min="8" max="8" width="3.7265625" style="96" customWidth="1" outlineLevel="1"/>
    <col min="9" max="9" width="6.26953125" style="96" customWidth="1" outlineLevel="1"/>
    <col min="10" max="10" width="3.7265625" style="96" customWidth="1" outlineLevel="1"/>
    <col min="11" max="13" width="6.26953125" style="96" customWidth="1" outlineLevel="1"/>
    <col min="14" max="15" width="3.7265625" style="96" customWidth="1" outlineLevel="1"/>
    <col min="16" max="16" width="4.7265625" style="96" customWidth="1" outlineLevel="1"/>
    <col min="17" max="17" width="6.7265625" style="102" bestFit="1" customWidth="1" outlineLevel="1"/>
    <col min="18" max="18" width="13.26953125" style="103" bestFit="1" customWidth="1" outlineLevel="1"/>
    <col min="19" max="19" width="11.1796875" style="103" customWidth="1" outlineLevel="1"/>
    <col min="20" max="20" width="12.26953125" style="103" customWidth="1" outlineLevel="1"/>
    <col min="21" max="21" width="14.453125" style="103" customWidth="1" outlineLevel="1"/>
    <col min="22" max="22" width="13" style="103" customWidth="1" outlineLevel="1"/>
    <col min="23" max="23" width="14.7265625" style="96" customWidth="1" outlineLevel="1"/>
    <col min="24" max="24" width="11.26953125" style="96" customWidth="1" outlineLevel="1"/>
    <col min="25" max="25" width="20.453125" style="97" customWidth="1" outlineLevel="1"/>
    <col min="26" max="26" width="15.1796875" style="97" customWidth="1" outlineLevel="1"/>
    <col min="27" max="27" width="14" style="96" customWidth="1" outlineLevel="1"/>
    <col min="28" max="28" width="11" style="96" customWidth="1" outlineLevel="1"/>
    <col min="29" max="30" width="9.7265625" style="96" hidden="1" customWidth="1" outlineLevel="1"/>
    <col min="31" max="31" width="11.1796875" style="96" customWidth="1" outlineLevel="1"/>
    <col min="32" max="32" width="11.7265625" style="96" customWidth="1" outlineLevel="1"/>
    <col min="33" max="33" width="13.26953125" style="96" customWidth="1" outlineLevel="1"/>
    <col min="34" max="34" width="13.1796875" style="96" customWidth="1" outlineLevel="1"/>
    <col min="35" max="35" width="10.7265625" style="96" bestFit="1" customWidth="1" outlineLevel="1"/>
    <col min="36" max="36" width="13" style="96" bestFit="1" customWidth="1"/>
    <col min="37" max="37" width="11" style="96" customWidth="1"/>
    <col min="38" max="38" width="11.1796875" style="96" bestFit="1" customWidth="1"/>
    <col min="39" max="39" width="35.7265625" style="98" customWidth="1"/>
    <col min="40" max="40" width="28.1796875" style="96" customWidth="1"/>
    <col min="41" max="41" width="9.453125" style="96"/>
    <col min="42" max="42" width="9.453125" style="96" customWidth="1"/>
    <col min="43" max="43" width="3.1796875" style="96" customWidth="1"/>
    <col min="44" max="44" width="33.1796875" style="96" customWidth="1"/>
    <col min="45" max="45" width="17.453125" style="97" customWidth="1"/>
    <col min="46" max="16384" width="9.453125" style="96"/>
  </cols>
  <sheetData>
    <row r="1" spans="1:45" ht="20.25" customHeight="1">
      <c r="A1" s="427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9"/>
    </row>
    <row r="2" spans="1:45" ht="20.25" customHeight="1">
      <c r="A2" s="430" t="s">
        <v>301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2"/>
    </row>
    <row r="3" spans="1:45" s="98" customFormat="1" ht="58" customHeight="1">
      <c r="A3" s="439" t="s">
        <v>35</v>
      </c>
      <c r="B3" s="433" t="s">
        <v>36</v>
      </c>
      <c r="C3" s="433" t="s">
        <v>37</v>
      </c>
      <c r="D3" s="433" t="s">
        <v>38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94" t="s">
        <v>39</v>
      </c>
      <c r="S3" s="494"/>
      <c r="T3" s="494"/>
      <c r="U3" s="494"/>
      <c r="V3" s="614" t="s">
        <v>40</v>
      </c>
      <c r="W3" s="615" t="s">
        <v>198</v>
      </c>
      <c r="X3" s="433" t="s">
        <v>41</v>
      </c>
      <c r="Y3" s="440" t="s">
        <v>42</v>
      </c>
      <c r="Z3" s="440" t="s">
        <v>43</v>
      </c>
      <c r="AA3" s="442" t="s">
        <v>44</v>
      </c>
      <c r="AB3" s="433" t="s">
        <v>6</v>
      </c>
      <c r="AC3" s="433"/>
      <c r="AD3" s="433"/>
      <c r="AE3" s="433"/>
      <c r="AF3" s="433"/>
      <c r="AG3" s="433"/>
      <c r="AH3" s="433"/>
      <c r="AI3" s="433"/>
      <c r="AJ3" s="442" t="s">
        <v>45</v>
      </c>
      <c r="AK3" s="616" t="s">
        <v>46</v>
      </c>
      <c r="AL3" s="433"/>
      <c r="AM3" s="509" t="s">
        <v>47</v>
      </c>
      <c r="AS3" s="99"/>
    </row>
    <row r="4" spans="1:45" s="100" customFormat="1" ht="173.25" customHeight="1">
      <c r="A4" s="439"/>
      <c r="B4" s="433"/>
      <c r="C4" s="433"/>
      <c r="D4" s="110" t="s">
        <v>48</v>
      </c>
      <c r="E4" s="117" t="s">
        <v>49</v>
      </c>
      <c r="F4" s="111" t="s">
        <v>50</v>
      </c>
      <c r="G4" s="111" t="s">
        <v>51</v>
      </c>
      <c r="H4" s="117" t="s">
        <v>52</v>
      </c>
      <c r="I4" s="111" t="s">
        <v>53</v>
      </c>
      <c r="J4" s="111" t="s">
        <v>54</v>
      </c>
      <c r="K4" s="110" t="s">
        <v>260</v>
      </c>
      <c r="L4" s="117" t="s">
        <v>56</v>
      </c>
      <c r="M4" s="110" t="s">
        <v>188</v>
      </c>
      <c r="N4" s="110" t="s">
        <v>58</v>
      </c>
      <c r="O4" s="110" t="s">
        <v>59</v>
      </c>
      <c r="P4" s="111" t="s">
        <v>60</v>
      </c>
      <c r="Q4" s="112" t="s">
        <v>61</v>
      </c>
      <c r="R4" s="119" t="s">
        <v>62</v>
      </c>
      <c r="S4" s="119" t="s">
        <v>63</v>
      </c>
      <c r="T4" s="116" t="s">
        <v>64</v>
      </c>
      <c r="U4" s="617" t="s">
        <v>65</v>
      </c>
      <c r="V4" s="618"/>
      <c r="W4" s="615"/>
      <c r="X4" s="433"/>
      <c r="Y4" s="440"/>
      <c r="Z4" s="440"/>
      <c r="AA4" s="442"/>
      <c r="AB4" s="109" t="s">
        <v>66</v>
      </c>
      <c r="AC4" s="86" t="s">
        <v>67</v>
      </c>
      <c r="AD4" s="87" t="s">
        <v>11</v>
      </c>
      <c r="AE4" s="87" t="s">
        <v>12</v>
      </c>
      <c r="AF4" s="108" t="s">
        <v>13</v>
      </c>
      <c r="AG4" s="87" t="s">
        <v>68</v>
      </c>
      <c r="AH4" s="109" t="s">
        <v>69</v>
      </c>
      <c r="AI4" s="94" t="s">
        <v>29</v>
      </c>
      <c r="AJ4" s="442"/>
      <c r="AK4" s="619" t="s">
        <v>70</v>
      </c>
      <c r="AL4" s="87" t="s">
        <v>71</v>
      </c>
      <c r="AM4" s="509"/>
      <c r="AS4" s="101"/>
    </row>
    <row r="5" spans="1:45" s="113" customFormat="1" ht="50.25" customHeight="1">
      <c r="A5" s="399">
        <v>1</v>
      </c>
      <c r="B5" s="389" t="s">
        <v>117</v>
      </c>
      <c r="C5" s="389" t="s">
        <v>118</v>
      </c>
      <c r="D5" s="389">
        <v>28</v>
      </c>
      <c r="E5" s="593">
        <v>2</v>
      </c>
      <c r="F5" s="580">
        <f t="shared" ref="F5:F8" si="0">IF((E5/3)&gt;=1,TRUNC(E5/3,0),0)</f>
        <v>0</v>
      </c>
      <c r="G5" s="580">
        <f t="shared" ref="G5:G8" si="1">E5-F5*3</f>
        <v>2</v>
      </c>
      <c r="H5" s="593">
        <v>0</v>
      </c>
      <c r="I5" s="580">
        <f>IF(H5&lt;1,H5,H5-1)</f>
        <v>0</v>
      </c>
      <c r="J5" s="580">
        <f t="shared" ref="J5:J8" si="2">H5-I5</f>
        <v>0</v>
      </c>
      <c r="K5" s="580">
        <f>5+4+2</f>
        <v>11</v>
      </c>
      <c r="L5" s="593">
        <v>1</v>
      </c>
      <c r="M5" s="580">
        <v>0</v>
      </c>
      <c r="N5" s="580">
        <v>0</v>
      </c>
      <c r="O5" s="580">
        <v>0</v>
      </c>
      <c r="P5" s="594">
        <f t="shared" ref="P5:P8" si="3">L5+M5+N5+O5</f>
        <v>1</v>
      </c>
      <c r="Q5" s="584">
        <f t="shared" ref="Q5:Q8" si="4">(F5*0.5)+(I5*0.5)+M5+(N5*2)</f>
        <v>0</v>
      </c>
      <c r="R5" s="581"/>
      <c r="S5" s="581"/>
      <c r="T5" s="581"/>
      <c r="U5" s="581">
        <f>R5-(S5+T5)</f>
        <v>0</v>
      </c>
      <c r="V5" s="581">
        <v>12400</v>
      </c>
      <c r="W5" s="394">
        <f t="shared" ref="W5:W8" si="5">V5</f>
        <v>12400</v>
      </c>
      <c r="X5" s="394"/>
      <c r="Y5" s="581">
        <f t="shared" ref="Y5:Y8" si="6">(W5+X5)-AB5</f>
        <v>12400</v>
      </c>
      <c r="Z5" s="581">
        <f t="shared" ref="Z5:Z8" si="7">V5/D5</f>
        <v>442.85714285714283</v>
      </c>
      <c r="AA5" s="581">
        <f t="shared" ref="AA5:AA8" si="8">W5*45%</f>
        <v>5580</v>
      </c>
      <c r="AB5" s="394">
        <f t="shared" ref="AB5:AB8" si="9">Q5*Z5</f>
        <v>0</v>
      </c>
      <c r="AC5" s="394"/>
      <c r="AD5" s="394">
        <f t="shared" ref="AD5:AD8" si="10">(AC5)*Z5</f>
        <v>0</v>
      </c>
      <c r="AE5" s="581">
        <f t="shared" ref="AE5:AE8" si="11">T5</f>
        <v>0</v>
      </c>
      <c r="AF5" s="582"/>
      <c r="AG5" s="394">
        <f>ROUNDUP(AA5*12%,0)</f>
        <v>670</v>
      </c>
      <c r="AH5" s="394">
        <f>ROUNDUP((Y5+X5)*0.75%,0)</f>
        <v>93</v>
      </c>
      <c r="AI5" s="394">
        <f t="shared" ref="AI5:AI8" si="12">SUM(AB5,AD5:AH5)</f>
        <v>763</v>
      </c>
      <c r="AJ5" s="394">
        <f t="shared" ref="AJ5:AJ8" si="13">ROUND(SUM(W5:X5)-AI5,0)</f>
        <v>11637</v>
      </c>
      <c r="AK5" s="394">
        <f>ROUNDUP(AA5*13.01%,0)</f>
        <v>726</v>
      </c>
      <c r="AL5" s="394">
        <f>ROUNDUP((Y5+X5)*3.25%,0)</f>
        <v>403</v>
      </c>
      <c r="AM5" s="608"/>
      <c r="AN5" s="620" t="s">
        <v>229</v>
      </c>
      <c r="AS5" s="598"/>
    </row>
    <row r="6" spans="1:45" s="113" customFormat="1" ht="50.25" customHeight="1">
      <c r="A6" s="399">
        <v>2</v>
      </c>
      <c r="B6" s="389" t="s">
        <v>119</v>
      </c>
      <c r="C6" s="389" t="s">
        <v>118</v>
      </c>
      <c r="D6" s="389">
        <v>28</v>
      </c>
      <c r="E6" s="593">
        <v>1</v>
      </c>
      <c r="F6" s="580">
        <f t="shared" si="0"/>
        <v>0</v>
      </c>
      <c r="G6" s="580">
        <f t="shared" si="1"/>
        <v>1</v>
      </c>
      <c r="H6" s="593">
        <v>0</v>
      </c>
      <c r="I6" s="580">
        <f>IF(H6&lt;1,H6,H6-1)</f>
        <v>0</v>
      </c>
      <c r="J6" s="580">
        <f t="shared" si="2"/>
        <v>0</v>
      </c>
      <c r="K6" s="580">
        <f>5+4+1</f>
        <v>10</v>
      </c>
      <c r="L6" s="593">
        <v>2</v>
      </c>
      <c r="M6" s="580">
        <v>0</v>
      </c>
      <c r="N6" s="580">
        <v>0</v>
      </c>
      <c r="O6" s="580">
        <v>0</v>
      </c>
      <c r="P6" s="594">
        <f t="shared" si="3"/>
        <v>2</v>
      </c>
      <c r="Q6" s="584">
        <f t="shared" si="4"/>
        <v>0</v>
      </c>
      <c r="R6" s="579">
        <v>20000</v>
      </c>
      <c r="S6" s="579">
        <f>2000+2000+2000</f>
        <v>6000</v>
      </c>
      <c r="T6" s="579">
        <v>2000</v>
      </c>
      <c r="U6" s="579">
        <f>R6-(S6+T6)</f>
        <v>12000</v>
      </c>
      <c r="V6" s="581">
        <v>11700</v>
      </c>
      <c r="W6" s="394">
        <f t="shared" si="5"/>
        <v>11700</v>
      </c>
      <c r="X6" s="394"/>
      <c r="Y6" s="581">
        <f t="shared" si="6"/>
        <v>11700</v>
      </c>
      <c r="Z6" s="581">
        <f t="shared" si="7"/>
        <v>417.85714285714283</v>
      </c>
      <c r="AA6" s="581">
        <f t="shared" si="8"/>
        <v>5265</v>
      </c>
      <c r="AB6" s="394">
        <f t="shared" si="9"/>
        <v>0</v>
      </c>
      <c r="AC6" s="394"/>
      <c r="AD6" s="394">
        <f t="shared" si="10"/>
        <v>0</v>
      </c>
      <c r="AE6" s="581">
        <f t="shared" si="11"/>
        <v>2000</v>
      </c>
      <c r="AF6" s="582"/>
      <c r="AG6" s="394">
        <f>ROUNDUP(AA6*12%,0)</f>
        <v>632</v>
      </c>
      <c r="AH6" s="394">
        <f>ROUNDUP((Y6+X6)*0.75%,0)</f>
        <v>88</v>
      </c>
      <c r="AI6" s="394">
        <f t="shared" si="12"/>
        <v>2720</v>
      </c>
      <c r="AJ6" s="394">
        <f t="shared" si="13"/>
        <v>8980</v>
      </c>
      <c r="AK6" s="394">
        <f>ROUNDUP(AA6*13.01%,0)</f>
        <v>685</v>
      </c>
      <c r="AL6" s="394">
        <f>ROUNDUP((Y6+X6)*3.25%,0)</f>
        <v>381</v>
      </c>
      <c r="AM6" s="608" t="s">
        <v>279</v>
      </c>
      <c r="AN6" s="620" t="s">
        <v>215</v>
      </c>
      <c r="AS6" s="598"/>
    </row>
    <row r="7" spans="1:45" s="113" customFormat="1" ht="50.25" customHeight="1">
      <c r="A7" s="399">
        <v>3</v>
      </c>
      <c r="B7" s="389" t="s">
        <v>120</v>
      </c>
      <c r="C7" s="389" t="s">
        <v>118</v>
      </c>
      <c r="D7" s="389">
        <v>28</v>
      </c>
      <c r="E7" s="593">
        <v>4</v>
      </c>
      <c r="F7" s="580">
        <f t="shared" si="0"/>
        <v>1</v>
      </c>
      <c r="G7" s="580">
        <f t="shared" si="1"/>
        <v>1</v>
      </c>
      <c r="H7" s="593">
        <v>0</v>
      </c>
      <c r="I7" s="580">
        <f t="shared" ref="I7:I8" si="14">IF(H7&lt;2,H7,H7-2)</f>
        <v>0</v>
      </c>
      <c r="J7" s="580">
        <f t="shared" si="2"/>
        <v>0</v>
      </c>
      <c r="K7" s="580">
        <f>5+5+3.5</f>
        <v>13.5</v>
      </c>
      <c r="L7" s="593">
        <v>1</v>
      </c>
      <c r="M7" s="580">
        <v>1</v>
      </c>
      <c r="N7" s="580">
        <v>0</v>
      </c>
      <c r="O7" s="580">
        <v>0</v>
      </c>
      <c r="P7" s="594">
        <f t="shared" si="3"/>
        <v>2</v>
      </c>
      <c r="Q7" s="584">
        <f t="shared" si="4"/>
        <v>1.5</v>
      </c>
      <c r="R7" s="579">
        <v>10000</v>
      </c>
      <c r="S7" s="579">
        <f>1000+1000+1000+1000+1000+1000</f>
        <v>6000</v>
      </c>
      <c r="T7" s="579">
        <v>1000</v>
      </c>
      <c r="U7" s="579">
        <f>R7-(S7+T7)</f>
        <v>3000</v>
      </c>
      <c r="V7" s="581">
        <v>8700</v>
      </c>
      <c r="W7" s="394">
        <f t="shared" si="5"/>
        <v>8700</v>
      </c>
      <c r="X7" s="394"/>
      <c r="Y7" s="581">
        <f t="shared" si="6"/>
        <v>8233.9285714285706</v>
      </c>
      <c r="Z7" s="581">
        <f t="shared" si="7"/>
        <v>310.71428571428572</v>
      </c>
      <c r="AA7" s="581">
        <f t="shared" si="8"/>
        <v>3915</v>
      </c>
      <c r="AB7" s="394">
        <f t="shared" si="9"/>
        <v>466.07142857142856</v>
      </c>
      <c r="AC7" s="394"/>
      <c r="AD7" s="394">
        <f t="shared" si="10"/>
        <v>0</v>
      </c>
      <c r="AE7" s="581">
        <f t="shared" si="11"/>
        <v>1000</v>
      </c>
      <c r="AF7" s="582"/>
      <c r="AG7" s="394">
        <f>ROUNDUP(AA7*12%,0)</f>
        <v>470</v>
      </c>
      <c r="AH7" s="394">
        <f>ROUNDUP((Y7+X7)*0.75%,0)</f>
        <v>62</v>
      </c>
      <c r="AI7" s="394">
        <f t="shared" si="12"/>
        <v>1998.0714285714284</v>
      </c>
      <c r="AJ7" s="394">
        <f t="shared" si="13"/>
        <v>6702</v>
      </c>
      <c r="AK7" s="394">
        <f>ROUNDUP(AA7*13.01%,0)</f>
        <v>510</v>
      </c>
      <c r="AL7" s="394">
        <f>ROUNDUP((Y7+X7)*3.25%,0)</f>
        <v>268</v>
      </c>
      <c r="AM7" s="608" t="s">
        <v>322</v>
      </c>
      <c r="AN7" s="620" t="s">
        <v>220</v>
      </c>
      <c r="AS7" s="598"/>
    </row>
    <row r="8" spans="1:45" s="113" customFormat="1" ht="31">
      <c r="A8" s="399">
        <v>4</v>
      </c>
      <c r="B8" s="389" t="s">
        <v>121</v>
      </c>
      <c r="C8" s="389" t="s">
        <v>122</v>
      </c>
      <c r="D8" s="389">
        <v>28</v>
      </c>
      <c r="E8" s="593">
        <v>0</v>
      </c>
      <c r="F8" s="580">
        <f t="shared" si="0"/>
        <v>0</v>
      </c>
      <c r="G8" s="580">
        <f t="shared" si="1"/>
        <v>0</v>
      </c>
      <c r="H8" s="593">
        <v>0</v>
      </c>
      <c r="I8" s="580">
        <f t="shared" si="14"/>
        <v>0</v>
      </c>
      <c r="J8" s="580">
        <f t="shared" si="2"/>
        <v>0</v>
      </c>
      <c r="K8" s="580">
        <f>6+4+3</f>
        <v>13</v>
      </c>
      <c r="L8" s="593">
        <v>3</v>
      </c>
      <c r="M8" s="580">
        <v>11</v>
      </c>
      <c r="N8" s="580">
        <v>0</v>
      </c>
      <c r="O8" s="580">
        <v>0</v>
      </c>
      <c r="P8" s="594">
        <f t="shared" si="3"/>
        <v>14</v>
      </c>
      <c r="Q8" s="584">
        <f t="shared" si="4"/>
        <v>11</v>
      </c>
      <c r="R8" s="581">
        <v>0</v>
      </c>
      <c r="S8" s="581">
        <v>0</v>
      </c>
      <c r="T8" s="581">
        <v>0</v>
      </c>
      <c r="U8" s="581">
        <f t="shared" ref="U8" si="15">R8-(S8+T8)</f>
        <v>0</v>
      </c>
      <c r="V8" s="581">
        <v>16300</v>
      </c>
      <c r="W8" s="394">
        <f t="shared" si="5"/>
        <v>16300</v>
      </c>
      <c r="X8" s="394">
        <v>0</v>
      </c>
      <c r="Y8" s="581">
        <f t="shared" si="6"/>
        <v>9896.4285714285725</v>
      </c>
      <c r="Z8" s="581">
        <f t="shared" si="7"/>
        <v>582.14285714285711</v>
      </c>
      <c r="AA8" s="581">
        <f t="shared" si="8"/>
        <v>7335</v>
      </c>
      <c r="AB8" s="394">
        <f t="shared" si="9"/>
        <v>6403.5714285714284</v>
      </c>
      <c r="AC8" s="394"/>
      <c r="AD8" s="394">
        <f t="shared" si="10"/>
        <v>0</v>
      </c>
      <c r="AE8" s="581">
        <f t="shared" si="11"/>
        <v>0</v>
      </c>
      <c r="AF8" s="582"/>
      <c r="AG8" s="394">
        <v>0</v>
      </c>
      <c r="AH8" s="394">
        <f>ROUNDUP((Y8+X8)*0.75%,0)</f>
        <v>75</v>
      </c>
      <c r="AI8" s="394">
        <f t="shared" si="12"/>
        <v>6478.5714285714284</v>
      </c>
      <c r="AJ8" s="394">
        <f t="shared" si="13"/>
        <v>9821</v>
      </c>
      <c r="AK8" s="394">
        <v>0</v>
      </c>
      <c r="AL8" s="394">
        <f>ROUNDUP((Y8+X8)*3.25%,0)</f>
        <v>322</v>
      </c>
      <c r="AM8" s="608" t="s">
        <v>320</v>
      </c>
      <c r="AN8" s="620" t="s">
        <v>224</v>
      </c>
      <c r="AS8" s="598"/>
    </row>
    <row r="9" spans="1:45" s="113" customFormat="1" ht="59.25" customHeight="1">
      <c r="A9" s="609" t="s">
        <v>105</v>
      </c>
      <c r="B9" s="610"/>
      <c r="C9" s="610"/>
      <c r="D9" s="610"/>
      <c r="E9" s="610"/>
      <c r="F9" s="610"/>
      <c r="G9" s="610"/>
      <c r="H9" s="610"/>
      <c r="I9" s="610"/>
      <c r="J9" s="610"/>
      <c r="K9" s="610"/>
      <c r="L9" s="610"/>
      <c r="M9" s="610"/>
      <c r="N9" s="610"/>
      <c r="O9" s="610"/>
      <c r="P9" s="610"/>
      <c r="Q9" s="610"/>
      <c r="R9" s="400">
        <f>SUM(R5:R8)</f>
        <v>30000</v>
      </c>
      <c r="S9" s="400">
        <f>SUM(S5:S8)</f>
        <v>12000</v>
      </c>
      <c r="T9" s="400">
        <f>SUM(T5:T8)</f>
        <v>3000</v>
      </c>
      <c r="U9" s="400">
        <f>SUM(U5:U8)</f>
        <v>15000</v>
      </c>
      <c r="V9" s="400">
        <f>SUM(V5:V8)</f>
        <v>49100</v>
      </c>
      <c r="W9" s="400">
        <f>SUM(W5:W8)</f>
        <v>49100</v>
      </c>
      <c r="X9" s="400">
        <f>SUM(X5:X8)</f>
        <v>0</v>
      </c>
      <c r="Y9" s="400">
        <f>SUM(Y5:Y8)</f>
        <v>42230.357142857145</v>
      </c>
      <c r="Z9" s="400">
        <f>SUM(Z5:Z8)</f>
        <v>1753.5714285714284</v>
      </c>
      <c r="AA9" s="400">
        <f>SUM(AA5:AA8)</f>
        <v>22095</v>
      </c>
      <c r="AB9" s="400">
        <f>SUM(AB5:AB8)</f>
        <v>6869.6428571428569</v>
      </c>
      <c r="AC9" s="400">
        <f>SUM(AC5:AC8)</f>
        <v>0</v>
      </c>
      <c r="AD9" s="400">
        <f>SUM(AD5:AD8)</f>
        <v>0</v>
      </c>
      <c r="AE9" s="400">
        <f>SUM(AE5:AE8)</f>
        <v>3000</v>
      </c>
      <c r="AF9" s="400">
        <f>SUM(AF5:AF8)</f>
        <v>0</v>
      </c>
      <c r="AG9" s="400">
        <f>SUM(AG5:AG8)</f>
        <v>1772</v>
      </c>
      <c r="AH9" s="400">
        <f>SUM(AH5:AH8)</f>
        <v>318</v>
      </c>
      <c r="AI9" s="400">
        <f>SUM(AI5:AI8)</f>
        <v>11959.642857142857</v>
      </c>
      <c r="AJ9" s="400">
        <f>SUM(AJ5:AJ8)</f>
        <v>37140</v>
      </c>
      <c r="AK9" s="400">
        <f>SUM(AK5:AK8)</f>
        <v>1921</v>
      </c>
      <c r="AL9" s="400">
        <f>SUM(AL5:AL8)</f>
        <v>1374</v>
      </c>
      <c r="AM9" s="611">
        <f>SUM(AM5:AM8)</f>
        <v>0</v>
      </c>
      <c r="AN9" s="621"/>
      <c r="AS9" s="598"/>
    </row>
    <row r="10" spans="1:45" s="626" customFormat="1" ht="109" customHeight="1" thickBot="1">
      <c r="A10" s="622" t="s">
        <v>31</v>
      </c>
      <c r="B10" s="623"/>
      <c r="C10" s="624"/>
      <c r="D10" s="624"/>
      <c r="E10" s="624"/>
      <c r="F10" s="624"/>
      <c r="G10" s="624"/>
      <c r="H10" s="624"/>
      <c r="I10" s="624"/>
      <c r="J10" s="624"/>
      <c r="K10" s="624"/>
      <c r="L10" s="624"/>
      <c r="M10" s="624"/>
      <c r="N10" s="624"/>
      <c r="O10" s="624"/>
      <c r="P10" s="624"/>
      <c r="Q10" s="624"/>
      <c r="R10" s="624"/>
      <c r="S10" s="624"/>
      <c r="T10" s="624"/>
      <c r="U10" s="624"/>
      <c r="V10" s="624"/>
      <c r="W10" s="623" t="s">
        <v>98</v>
      </c>
      <c r="X10" s="623"/>
      <c r="Y10" s="623"/>
      <c r="Z10" s="624"/>
      <c r="AA10" s="624"/>
      <c r="AB10" s="624"/>
      <c r="AC10" s="624"/>
      <c r="AD10" s="624"/>
      <c r="AE10" s="624"/>
      <c r="AF10" s="624"/>
      <c r="AG10" s="624"/>
      <c r="AH10" s="624"/>
      <c r="AI10" s="624"/>
      <c r="AJ10" s="624"/>
      <c r="AK10" s="624"/>
      <c r="AL10" s="623" t="s">
        <v>81</v>
      </c>
      <c r="AM10" s="625"/>
      <c r="AS10" s="627"/>
    </row>
    <row r="11" spans="1:45" s="404" customFormat="1" ht="20.25" customHeight="1">
      <c r="B11" s="405"/>
      <c r="R11" s="407"/>
      <c r="S11" s="407"/>
      <c r="T11" s="407"/>
      <c r="U11" s="407"/>
      <c r="V11" s="407"/>
      <c r="AA11" s="407"/>
      <c r="AI11" s="407"/>
      <c r="AS11" s="408"/>
    </row>
    <row r="12" spans="1:45" ht="20.25" customHeight="1">
      <c r="C12" s="96"/>
      <c r="Q12" s="96"/>
      <c r="Y12" s="96"/>
      <c r="Z12" s="96"/>
      <c r="AK12" s="103"/>
      <c r="AM12" s="96"/>
    </row>
    <row r="13" spans="1:45" s="104" customFormat="1" ht="20.25" customHeight="1">
      <c r="A13" s="96"/>
      <c r="B13" s="98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103"/>
      <c r="S13" s="103"/>
      <c r="T13" s="103"/>
      <c r="U13" s="103"/>
      <c r="V13" s="103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103"/>
      <c r="AL13" s="96"/>
      <c r="AM13" s="96"/>
      <c r="AS13" s="114"/>
    </row>
    <row r="14" spans="1:45" ht="20.25" customHeight="1">
      <c r="A14" s="104"/>
      <c r="B14" s="628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15"/>
      <c r="S14" s="115"/>
      <c r="T14" s="115"/>
      <c r="U14" s="115"/>
      <c r="V14" s="115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</row>
    <row r="15" spans="1:45" ht="20.25" customHeight="1">
      <c r="C15" s="96"/>
      <c r="Q15" s="96"/>
      <c r="Y15" s="96"/>
      <c r="Z15" s="96"/>
      <c r="AJ15" s="103"/>
      <c r="AM15" s="96"/>
    </row>
    <row r="16" spans="1:45" ht="20.25" customHeight="1">
      <c r="C16" s="96"/>
      <c r="Q16" s="96"/>
      <c r="W16" s="103"/>
      <c r="X16" s="103"/>
      <c r="Y16" s="96"/>
      <c r="Z16" s="96"/>
      <c r="AM16" s="96"/>
    </row>
    <row r="17" spans="1:45" ht="20.25" customHeight="1">
      <c r="C17" s="96"/>
      <c r="Q17" s="96"/>
      <c r="Y17" s="96"/>
      <c r="Z17" s="96"/>
      <c r="AM17" s="96"/>
    </row>
    <row r="18" spans="1:45" s="104" customFormat="1" ht="20.25" customHeight="1">
      <c r="A18" s="96"/>
      <c r="B18" s="98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103"/>
      <c r="S18" s="103"/>
      <c r="T18" s="103"/>
      <c r="U18" s="103"/>
      <c r="V18" s="103"/>
      <c r="W18" s="103"/>
      <c r="X18" s="103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103"/>
      <c r="AK18" s="96"/>
      <c r="AL18" s="96"/>
      <c r="AM18" s="96"/>
      <c r="AS18" s="114"/>
    </row>
    <row r="19" spans="1:45" s="104" customFormat="1" ht="20.25" customHeight="1">
      <c r="B19" s="628"/>
      <c r="R19" s="115"/>
      <c r="S19" s="115"/>
      <c r="T19" s="115"/>
      <c r="U19" s="115"/>
      <c r="V19" s="115"/>
      <c r="AS19" s="114"/>
    </row>
    <row r="20" spans="1:45" ht="20.25" customHeight="1">
      <c r="A20" s="104"/>
      <c r="B20" s="628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15"/>
      <c r="S20" s="115"/>
      <c r="T20" s="115"/>
      <c r="U20" s="115"/>
      <c r="V20" s="115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</row>
    <row r="21" spans="1:45" ht="20.25" customHeight="1">
      <c r="C21" s="96"/>
      <c r="Q21" s="96"/>
      <c r="Y21" s="96"/>
      <c r="Z21" s="96"/>
      <c r="AM21" s="96"/>
    </row>
  </sheetData>
  <autoFilter ref="A4:AS10" xr:uid="{00000000-0001-0000-0600-000000000000}"/>
  <mergeCells count="21">
    <mergeCell ref="A9:Q9"/>
    <mergeCell ref="A10:B10"/>
    <mergeCell ref="AL10:AM10"/>
    <mergeCell ref="A3:A4"/>
    <mergeCell ref="B3:B4"/>
    <mergeCell ref="C3:C4"/>
    <mergeCell ref="W3:W4"/>
    <mergeCell ref="X3:X4"/>
    <mergeCell ref="Y3:Y4"/>
    <mergeCell ref="Z3:Z4"/>
    <mergeCell ref="AA3:AA4"/>
    <mergeCell ref="AJ3:AJ4"/>
    <mergeCell ref="AM3:AM4"/>
    <mergeCell ref="W10:Y10"/>
    <mergeCell ref="A1:AM1"/>
    <mergeCell ref="A2:AM2"/>
    <mergeCell ref="D3:Q3"/>
    <mergeCell ref="R3:U3"/>
    <mergeCell ref="AB3:AI3"/>
    <mergeCell ref="AK3:AL3"/>
    <mergeCell ref="V3:V4"/>
  </mergeCells>
  <conditionalFormatting sqref="J5:N8">
    <cfRule type="cellIs" dxfId="20" priority="3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34" fitToHeight="0" orientation="landscape"/>
  <rowBreaks count="1" manualBreakCount="1">
    <brk id="1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  <pageSetUpPr fitToPage="1"/>
  </sheetPr>
  <dimension ref="A1:AN20"/>
  <sheetViews>
    <sheetView topLeftCell="I1" zoomScale="70" zoomScaleNormal="70" zoomScaleSheetLayoutView="61" workbookViewId="0">
      <selection activeCell="Z7" sqref="Z7"/>
    </sheetView>
  </sheetViews>
  <sheetFormatPr defaultColWidth="9.453125" defaultRowHeight="13"/>
  <cols>
    <col min="1" max="1" width="4.453125" style="5" customWidth="1"/>
    <col min="2" max="2" width="21.453125" style="5" customWidth="1"/>
    <col min="3" max="3" width="15.453125" style="1" customWidth="1"/>
    <col min="4" max="7" width="5.1796875" style="5" customWidth="1"/>
    <col min="8" max="8" width="3" style="5" customWidth="1"/>
    <col min="9" max="9" width="7" style="5" customWidth="1"/>
    <col min="10" max="10" width="5.1796875" style="5" customWidth="1"/>
    <col min="11" max="11" width="7" style="5" customWidth="1"/>
    <col min="12" max="12" width="5.1796875" style="5" customWidth="1"/>
    <col min="13" max="13" width="10.453125" style="5" bestFit="1" customWidth="1"/>
    <col min="14" max="16" width="5.1796875" style="5" customWidth="1"/>
    <col min="17" max="17" width="6.453125" style="6" customWidth="1"/>
    <col min="18" max="19" width="11" style="6" customWidth="1"/>
    <col min="20" max="20" width="9.1796875" style="6" customWidth="1"/>
    <col min="21" max="21" width="10.453125" style="6" customWidth="1"/>
    <col min="22" max="22" width="11.7265625" style="5" customWidth="1"/>
    <col min="23" max="23" width="12.453125" style="5" customWidth="1"/>
    <col min="24" max="24" width="16.453125" style="5" customWidth="1"/>
    <col min="25" max="25" width="12.7265625" style="7" customWidth="1"/>
    <col min="26" max="26" width="11.453125" style="7" customWidth="1"/>
    <col min="27" max="27" width="12.26953125" style="5" customWidth="1"/>
    <col min="28" max="28" width="10.7265625" style="5" bestFit="1" customWidth="1"/>
    <col min="29" max="30" width="9.1796875" style="5" bestFit="1" customWidth="1"/>
    <col min="31" max="31" width="9.1796875" style="5" customWidth="1"/>
    <col min="32" max="32" width="9.26953125" style="5" bestFit="1" customWidth="1"/>
    <col min="33" max="34" width="9.1796875" style="5" customWidth="1"/>
    <col min="35" max="35" width="11.81640625" style="5" customWidth="1"/>
    <col min="36" max="36" width="13.453125" style="5" customWidth="1"/>
    <col min="37" max="38" width="9.1796875" style="5" customWidth="1"/>
    <col min="39" max="39" width="21.453125" style="1" customWidth="1"/>
    <col min="40" max="40" width="20" style="5" bestFit="1" customWidth="1"/>
    <col min="41" max="16384" width="9.453125" style="5"/>
  </cols>
  <sheetData>
    <row r="1" spans="1:40" ht="20.25" customHeight="1">
      <c r="A1" s="427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9"/>
      <c r="AN1" s="96"/>
    </row>
    <row r="2" spans="1:40" ht="20.25" customHeight="1">
      <c r="A2" s="430" t="s">
        <v>302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2"/>
      <c r="AN2" s="96"/>
    </row>
    <row r="3" spans="1:40" s="1" customFormat="1" ht="20.25" customHeight="1">
      <c r="A3" s="439" t="s">
        <v>35</v>
      </c>
      <c r="B3" s="433" t="s">
        <v>36</v>
      </c>
      <c r="C3" s="433" t="s">
        <v>37</v>
      </c>
      <c r="D3" s="433" t="s">
        <v>38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 t="s">
        <v>39</v>
      </c>
      <c r="S3" s="433"/>
      <c r="T3" s="433"/>
      <c r="U3" s="433"/>
      <c r="V3" s="433" t="s">
        <v>40</v>
      </c>
      <c r="W3" s="510" t="s">
        <v>198</v>
      </c>
      <c r="X3" s="433" t="s">
        <v>41</v>
      </c>
      <c r="Y3" s="440" t="s">
        <v>42</v>
      </c>
      <c r="Z3" s="440" t="s">
        <v>43</v>
      </c>
      <c r="AA3" s="442" t="s">
        <v>44</v>
      </c>
      <c r="AB3" s="433" t="s">
        <v>6</v>
      </c>
      <c r="AC3" s="433"/>
      <c r="AD3" s="433"/>
      <c r="AE3" s="433"/>
      <c r="AF3" s="433"/>
      <c r="AG3" s="433"/>
      <c r="AH3" s="433"/>
      <c r="AI3" s="433"/>
      <c r="AJ3" s="442" t="s">
        <v>45</v>
      </c>
      <c r="AK3" s="433" t="s">
        <v>46</v>
      </c>
      <c r="AL3" s="433"/>
      <c r="AM3" s="509" t="s">
        <v>47</v>
      </c>
      <c r="AN3" s="98"/>
    </row>
    <row r="4" spans="1:40" s="2" customFormat="1" ht="189" customHeight="1">
      <c r="A4" s="439"/>
      <c r="B4" s="433"/>
      <c r="C4" s="433"/>
      <c r="D4" s="88" t="s">
        <v>48</v>
      </c>
      <c r="E4" s="88" t="s">
        <v>49</v>
      </c>
      <c r="F4" s="89" t="s">
        <v>50</v>
      </c>
      <c r="G4" s="89" t="s">
        <v>51</v>
      </c>
      <c r="H4" s="88" t="s">
        <v>52</v>
      </c>
      <c r="I4" s="89" t="s">
        <v>53</v>
      </c>
      <c r="J4" s="89" t="s">
        <v>54</v>
      </c>
      <c r="K4" s="88" t="s">
        <v>260</v>
      </c>
      <c r="L4" s="88" t="s">
        <v>56</v>
      </c>
      <c r="M4" s="88" t="s">
        <v>188</v>
      </c>
      <c r="N4" s="88" t="s">
        <v>58</v>
      </c>
      <c r="O4" s="88" t="s">
        <v>59</v>
      </c>
      <c r="P4" s="89" t="s">
        <v>60</v>
      </c>
      <c r="Q4" s="90" t="s">
        <v>61</v>
      </c>
      <c r="R4" s="91" t="s">
        <v>62</v>
      </c>
      <c r="S4" s="91" t="s">
        <v>63</v>
      </c>
      <c r="T4" s="92" t="s">
        <v>64</v>
      </c>
      <c r="U4" s="93" t="s">
        <v>65</v>
      </c>
      <c r="V4" s="433"/>
      <c r="W4" s="510"/>
      <c r="X4" s="433"/>
      <c r="Y4" s="440"/>
      <c r="Z4" s="440"/>
      <c r="AA4" s="442"/>
      <c r="AB4" s="87" t="s">
        <v>66</v>
      </c>
      <c r="AC4" s="86" t="s">
        <v>67</v>
      </c>
      <c r="AD4" s="87" t="s">
        <v>11</v>
      </c>
      <c r="AE4" s="87" t="s">
        <v>12</v>
      </c>
      <c r="AF4" s="108" t="s">
        <v>13</v>
      </c>
      <c r="AG4" s="87" t="s">
        <v>68</v>
      </c>
      <c r="AH4" s="87" t="s">
        <v>69</v>
      </c>
      <c r="AI4" s="94" t="s">
        <v>29</v>
      </c>
      <c r="AJ4" s="442"/>
      <c r="AK4" s="87" t="s">
        <v>70</v>
      </c>
      <c r="AL4" s="87" t="s">
        <v>71</v>
      </c>
      <c r="AM4" s="509"/>
      <c r="AN4" s="100"/>
    </row>
    <row r="5" spans="1:40" s="35" customFormat="1" ht="49" customHeight="1">
      <c r="A5" s="246">
        <v>1</v>
      </c>
      <c r="B5" s="247" t="s">
        <v>255</v>
      </c>
      <c r="C5" s="248" t="s">
        <v>125</v>
      </c>
      <c r="D5" s="212">
        <v>28</v>
      </c>
      <c r="E5" s="239">
        <v>0</v>
      </c>
      <c r="F5" s="239">
        <f>IF((E5/3)&gt;=1,TRUNC(E5/3,0),0)</f>
        <v>0</v>
      </c>
      <c r="G5" s="239">
        <f>E5-F5*3</f>
        <v>0</v>
      </c>
      <c r="H5" s="239">
        <v>0</v>
      </c>
      <c r="I5" s="239">
        <f>IF(H5&lt;2,H5,H5-2)</f>
        <v>0</v>
      </c>
      <c r="J5" s="239">
        <f>H5-I5</f>
        <v>0</v>
      </c>
      <c r="K5" s="239">
        <f>0+5</f>
        <v>5</v>
      </c>
      <c r="L5" s="239">
        <v>0</v>
      </c>
      <c r="M5" s="239">
        <v>0</v>
      </c>
      <c r="N5" s="239">
        <v>0</v>
      </c>
      <c r="O5" s="239">
        <v>0</v>
      </c>
      <c r="P5" s="242">
        <f>L5+M5+N5+O5</f>
        <v>0</v>
      </c>
      <c r="Q5" s="241">
        <f>(F5*0.5)+(I5*0.5)+L5+(N5*2)+M5</f>
        <v>0</v>
      </c>
      <c r="R5" s="249"/>
      <c r="S5" s="249"/>
      <c r="T5" s="249">
        <v>0</v>
      </c>
      <c r="U5" s="249">
        <f>R5-(S5+T5)</f>
        <v>0</v>
      </c>
      <c r="V5" s="249">
        <v>26000</v>
      </c>
      <c r="W5" s="249">
        <f>V5</f>
        <v>26000</v>
      </c>
      <c r="X5" s="249">
        <v>0</v>
      </c>
      <c r="Y5" s="249">
        <f>V5-AB5</f>
        <v>26000</v>
      </c>
      <c r="Z5" s="249">
        <f>(V5+X5)/28</f>
        <v>928.57142857142856</v>
      </c>
      <c r="AA5" s="249">
        <f>V5*45%</f>
        <v>11700</v>
      </c>
      <c r="AB5" s="250">
        <f>Q5*Z5</f>
        <v>0</v>
      </c>
      <c r="AC5" s="250"/>
      <c r="AD5" s="250">
        <f>(AC5)*Z5</f>
        <v>0</v>
      </c>
      <c r="AE5" s="249">
        <f>T5</f>
        <v>0</v>
      </c>
      <c r="AF5" s="249"/>
      <c r="AG5" s="250">
        <v>0</v>
      </c>
      <c r="AH5" s="250">
        <v>0</v>
      </c>
      <c r="AI5" s="250">
        <f>SUM(AB5,AD5:AH5)</f>
        <v>0</v>
      </c>
      <c r="AJ5" s="250">
        <f>ROUND(SUM(W5:X5)-AI5,0)</f>
        <v>26000</v>
      </c>
      <c r="AK5" s="250">
        <v>0</v>
      </c>
      <c r="AL5" s="250">
        <v>0</v>
      </c>
      <c r="AM5" s="251"/>
      <c r="AN5" s="252" t="s">
        <v>272</v>
      </c>
    </row>
    <row r="6" spans="1:40" s="35" customFormat="1" ht="49" customHeight="1">
      <c r="A6" s="246">
        <v>2</v>
      </c>
      <c r="B6" s="247" t="s">
        <v>96</v>
      </c>
      <c r="C6" s="248" t="s">
        <v>125</v>
      </c>
      <c r="D6" s="212">
        <v>28</v>
      </c>
      <c r="E6" s="239">
        <v>0</v>
      </c>
      <c r="F6" s="239">
        <f>IF((E6/3)&gt;=1,TRUNC(E6/3,0),0)</f>
        <v>0</v>
      </c>
      <c r="G6" s="239">
        <f>E6-F6*3</f>
        <v>0</v>
      </c>
      <c r="H6" s="239">
        <v>0</v>
      </c>
      <c r="I6" s="239">
        <f>IF(H6&lt;2,H6,H6-2)</f>
        <v>0</v>
      </c>
      <c r="J6" s="239">
        <f>H6-I6</f>
        <v>0</v>
      </c>
      <c r="K6" s="239">
        <f>0+0</f>
        <v>0</v>
      </c>
      <c r="L6" s="239">
        <v>0</v>
      </c>
      <c r="M6" s="239">
        <v>1</v>
      </c>
      <c r="N6" s="239">
        <v>0</v>
      </c>
      <c r="O6" s="239">
        <v>0</v>
      </c>
      <c r="P6" s="242">
        <f>L6+M6+N6+O6</f>
        <v>1</v>
      </c>
      <c r="Q6" s="241">
        <f>(F6*0.5)+(I6*0.5)+L6+(N6*2)+M6</f>
        <v>1</v>
      </c>
      <c r="R6" s="249"/>
      <c r="S6" s="249"/>
      <c r="T6" s="249">
        <v>0</v>
      </c>
      <c r="U6" s="249">
        <f>R6-(S6+T6)</f>
        <v>0</v>
      </c>
      <c r="V6" s="249">
        <v>7000</v>
      </c>
      <c r="W6" s="249">
        <f>V6</f>
        <v>7000</v>
      </c>
      <c r="X6" s="249">
        <v>0</v>
      </c>
      <c r="Y6" s="249">
        <f t="shared" ref="Y6:Y7" si="0">V6-AB6</f>
        <v>6750</v>
      </c>
      <c r="Z6" s="249">
        <f>(V6+X6)/28</f>
        <v>250</v>
      </c>
      <c r="AA6" s="249">
        <f t="shared" ref="AA6:AA7" si="1">V6*45%</f>
        <v>3150</v>
      </c>
      <c r="AB6" s="250">
        <f t="shared" ref="AB6:AB7" si="2">Q6*Z6</f>
        <v>250</v>
      </c>
      <c r="AC6" s="250"/>
      <c r="AD6" s="250">
        <f>(AC6)*Z6</f>
        <v>0</v>
      </c>
      <c r="AE6" s="249">
        <f t="shared" ref="AE6:AE7" si="3">T6</f>
        <v>0</v>
      </c>
      <c r="AF6" s="249"/>
      <c r="AG6" s="250">
        <v>0</v>
      </c>
      <c r="AH6" s="250">
        <v>0</v>
      </c>
      <c r="AI6" s="250">
        <f t="shared" ref="AI6:AI7" si="4">SUM(AB6,AD6:AH6)</f>
        <v>250</v>
      </c>
      <c r="AJ6" s="250">
        <f t="shared" ref="AJ6:AJ7" si="5">ROUND(SUM(W6:X6)-AI6,0)</f>
        <v>6750</v>
      </c>
      <c r="AK6" s="250">
        <v>0</v>
      </c>
      <c r="AL6" s="250">
        <v>0</v>
      </c>
      <c r="AM6" s="253" t="s">
        <v>326</v>
      </c>
      <c r="AN6" s="252" t="s">
        <v>287</v>
      </c>
    </row>
    <row r="7" spans="1:40" s="35" customFormat="1" ht="49" customHeight="1">
      <c r="A7" s="246">
        <v>3</v>
      </c>
      <c r="B7" s="247" t="s">
        <v>93</v>
      </c>
      <c r="C7" s="248" t="s">
        <v>126</v>
      </c>
      <c r="D7" s="304">
        <v>28</v>
      </c>
      <c r="E7" s="305">
        <v>0</v>
      </c>
      <c r="F7" s="306">
        <f t="shared" ref="F7" si="6">IF((E7/3)&gt;=1,TRUNC(E7/3,0),0)</f>
        <v>0</v>
      </c>
      <c r="G7" s="306">
        <f t="shared" ref="G7" si="7">E7-F7*3</f>
        <v>0</v>
      </c>
      <c r="H7" s="305">
        <v>0</v>
      </c>
      <c r="I7" s="306">
        <f t="shared" ref="I7" si="8">IF(H7&lt;1,H7,H7-1)</f>
        <v>0</v>
      </c>
      <c r="J7" s="306">
        <f t="shared" ref="J7" si="9">H7-I7</f>
        <v>0</v>
      </c>
      <c r="K7" s="306">
        <f>1.5+4.5+2.5</f>
        <v>8.5</v>
      </c>
      <c r="L7" s="305">
        <v>0.5</v>
      </c>
      <c r="M7" s="306">
        <v>0</v>
      </c>
      <c r="N7" s="306">
        <v>0</v>
      </c>
      <c r="O7" s="306">
        <v>0</v>
      </c>
      <c r="P7" s="307">
        <f t="shared" ref="P7" si="10">L7+M7+N7+O7</f>
        <v>0.5</v>
      </c>
      <c r="Q7" s="308">
        <f t="shared" ref="Q7" si="11">(F7*0.5)+(I7*0.5)+M7+(N7*2)</f>
        <v>0</v>
      </c>
      <c r="R7" s="254"/>
      <c r="S7" s="254"/>
      <c r="T7" s="254"/>
      <c r="U7" s="254">
        <f>R7-(S7+T7)</f>
        <v>0</v>
      </c>
      <c r="V7" s="249">
        <v>5000</v>
      </c>
      <c r="W7" s="249">
        <f>V7</f>
        <v>5000</v>
      </c>
      <c r="X7" s="249">
        <v>0</v>
      </c>
      <c r="Y7" s="249">
        <f t="shared" si="0"/>
        <v>5000</v>
      </c>
      <c r="Z7" s="249">
        <f>(V7+X7)/28</f>
        <v>178.57142857142858</v>
      </c>
      <c r="AA7" s="249">
        <f t="shared" si="1"/>
        <v>2250</v>
      </c>
      <c r="AB7" s="250">
        <f t="shared" si="2"/>
        <v>0</v>
      </c>
      <c r="AC7" s="250"/>
      <c r="AD7" s="250">
        <f>(AC7)*Z7</f>
        <v>0</v>
      </c>
      <c r="AE7" s="249">
        <f t="shared" si="3"/>
        <v>0</v>
      </c>
      <c r="AF7" s="249">
        <v>0</v>
      </c>
      <c r="AG7" s="250">
        <v>0</v>
      </c>
      <c r="AH7" s="250">
        <v>0</v>
      </c>
      <c r="AI7" s="250">
        <f t="shared" si="4"/>
        <v>0</v>
      </c>
      <c r="AJ7" s="250">
        <f t="shared" si="5"/>
        <v>5000</v>
      </c>
      <c r="AK7" s="250">
        <v>0</v>
      </c>
      <c r="AL7" s="250">
        <v>0</v>
      </c>
      <c r="AM7" s="255"/>
      <c r="AN7" s="256" t="s">
        <v>258</v>
      </c>
    </row>
    <row r="8" spans="1:40" ht="51" customHeight="1">
      <c r="A8" s="434" t="s">
        <v>105</v>
      </c>
      <c r="B8" s="435"/>
      <c r="C8" s="435"/>
      <c r="D8" s="435"/>
      <c r="E8" s="435"/>
      <c r="F8" s="435"/>
      <c r="G8" s="435"/>
      <c r="H8" s="435"/>
      <c r="I8" s="435"/>
      <c r="J8" s="435"/>
      <c r="K8" s="435"/>
      <c r="L8" s="435"/>
      <c r="M8" s="435"/>
      <c r="N8" s="435"/>
      <c r="O8" s="435"/>
      <c r="P8" s="435"/>
      <c r="Q8" s="435"/>
      <c r="R8" s="95">
        <f>SUM(R5:R7)</f>
        <v>0</v>
      </c>
      <c r="S8" s="95">
        <f>SUM(S5:S7)</f>
        <v>0</v>
      </c>
      <c r="T8" s="95">
        <f>SUM(T5:T7)</f>
        <v>0</v>
      </c>
      <c r="U8" s="95">
        <f>SUM(U5:U7)</f>
        <v>0</v>
      </c>
      <c r="V8" s="95">
        <f>SUM(V5:V7)</f>
        <v>38000</v>
      </c>
      <c r="W8" s="95">
        <f t="shared" ref="W8:AL8" si="12">SUM(W5:W7)</f>
        <v>38000</v>
      </c>
      <c r="X8" s="95">
        <f t="shared" si="12"/>
        <v>0</v>
      </c>
      <c r="Y8" s="95">
        <f t="shared" si="12"/>
        <v>37750</v>
      </c>
      <c r="Z8" s="95">
        <f t="shared" si="12"/>
        <v>1357.1428571428571</v>
      </c>
      <c r="AA8" s="95">
        <f t="shared" si="12"/>
        <v>17100</v>
      </c>
      <c r="AB8" s="95">
        <f t="shared" si="12"/>
        <v>250</v>
      </c>
      <c r="AC8" s="95">
        <f t="shared" si="12"/>
        <v>0</v>
      </c>
      <c r="AD8" s="95">
        <f t="shared" si="12"/>
        <v>0</v>
      </c>
      <c r="AE8" s="95">
        <f t="shared" si="12"/>
        <v>0</v>
      </c>
      <c r="AF8" s="95">
        <f t="shared" si="12"/>
        <v>0</v>
      </c>
      <c r="AG8" s="95">
        <f t="shared" si="12"/>
        <v>0</v>
      </c>
      <c r="AH8" s="95">
        <f t="shared" si="12"/>
        <v>0</v>
      </c>
      <c r="AI8" s="95">
        <f t="shared" si="12"/>
        <v>250</v>
      </c>
      <c r="AJ8" s="95">
        <f t="shared" si="12"/>
        <v>37750</v>
      </c>
      <c r="AK8" s="95">
        <f t="shared" si="12"/>
        <v>0</v>
      </c>
      <c r="AL8" s="95">
        <f t="shared" si="12"/>
        <v>0</v>
      </c>
      <c r="AM8" s="123"/>
      <c r="AN8" s="96"/>
    </row>
    <row r="9" spans="1:40" s="63" customFormat="1" ht="88" customHeight="1">
      <c r="A9" s="506" t="s">
        <v>31</v>
      </c>
      <c r="B9" s="507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 t="s">
        <v>33</v>
      </c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507" t="s">
        <v>81</v>
      </c>
      <c r="AM9" s="508"/>
      <c r="AN9" s="121"/>
    </row>
    <row r="10" spans="1:40" ht="20.25" customHeight="1">
      <c r="C10" s="5"/>
      <c r="Q10" s="5"/>
      <c r="R10" s="5"/>
      <c r="S10" s="5"/>
      <c r="T10" s="5"/>
      <c r="U10" s="5"/>
      <c r="Y10" s="5"/>
      <c r="Z10" s="5"/>
      <c r="AA10" s="11"/>
      <c r="AI10" s="11"/>
      <c r="AM10" s="5"/>
    </row>
    <row r="11" spans="1:40" ht="20.25" customHeight="1">
      <c r="C11" s="5"/>
      <c r="D11" s="37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  <c r="Q11" s="40"/>
      <c r="R11" s="5"/>
      <c r="S11" s="5"/>
      <c r="T11" s="5"/>
      <c r="U11" s="5"/>
      <c r="Y11" s="5"/>
      <c r="Z11" s="5"/>
      <c r="AK11" s="11"/>
      <c r="AM11" s="5"/>
    </row>
    <row r="12" spans="1:40" s="4" customFormat="1" ht="20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11"/>
      <c r="AL12" s="5"/>
      <c r="AM12" s="5"/>
    </row>
    <row r="13" spans="1:40" ht="20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40" ht="20.25" customHeight="1">
      <c r="C14" s="5"/>
      <c r="Q14" s="5"/>
      <c r="R14" s="5"/>
      <c r="S14" s="5"/>
      <c r="T14" s="5"/>
      <c r="U14" s="5"/>
      <c r="Y14" s="5"/>
      <c r="Z14" s="5"/>
      <c r="AJ14" s="11"/>
      <c r="AM14" s="5"/>
    </row>
    <row r="15" spans="1:40" ht="20.25" customHeight="1">
      <c r="C15" s="5"/>
      <c r="E15" s="167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9"/>
      <c r="R15" s="166">
        <f>(G15*0.5)+(J15*0.5)+N15+(O15*2)</f>
        <v>0</v>
      </c>
      <c r="S15" s="5"/>
      <c r="T15" s="5"/>
      <c r="U15" s="5"/>
      <c r="V15" s="11"/>
      <c r="W15" s="11"/>
      <c r="X15" s="11"/>
      <c r="Y15" s="5"/>
      <c r="Z15" s="5"/>
      <c r="AM15" s="5"/>
    </row>
    <row r="16" spans="1:40" ht="20.25" customHeight="1">
      <c r="C16" s="5"/>
      <c r="Q16" s="5"/>
      <c r="R16" s="5"/>
      <c r="S16" s="5"/>
      <c r="T16" s="5"/>
      <c r="U16" s="5"/>
      <c r="Y16" s="5"/>
      <c r="Z16" s="5"/>
      <c r="AM16" s="5"/>
    </row>
    <row r="17" spans="1:39" s="4" customFormat="1" ht="20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1"/>
      <c r="W17" s="11"/>
      <c r="X17" s="11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1"/>
      <c r="AK17" s="5"/>
      <c r="AL17" s="5"/>
      <c r="AM17" s="5"/>
    </row>
    <row r="18" spans="1:39" s="4" customFormat="1" ht="20.25" customHeight="1"/>
    <row r="19" spans="1:39" ht="20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ht="20.25" customHeight="1">
      <c r="C20" s="5"/>
      <c r="Q20" s="5"/>
      <c r="R20" s="5"/>
      <c r="S20" s="5"/>
      <c r="T20" s="5"/>
      <c r="U20" s="5"/>
      <c r="Y20" s="5"/>
      <c r="Z20" s="5"/>
      <c r="AM20" s="5"/>
    </row>
  </sheetData>
  <mergeCells count="20">
    <mergeCell ref="A8:Q8"/>
    <mergeCell ref="A9:B9"/>
    <mergeCell ref="AL9:AM9"/>
    <mergeCell ref="A3:A4"/>
    <mergeCell ref="B3:B4"/>
    <mergeCell ref="C3:C4"/>
    <mergeCell ref="V3:V4"/>
    <mergeCell ref="X3:X4"/>
    <mergeCell ref="Y3:Y4"/>
    <mergeCell ref="Z3:Z4"/>
    <mergeCell ref="AA3:AA4"/>
    <mergeCell ref="AJ3:AJ4"/>
    <mergeCell ref="AM3:AM4"/>
    <mergeCell ref="W3:W4"/>
    <mergeCell ref="A1:AM1"/>
    <mergeCell ref="A2:AM2"/>
    <mergeCell ref="D3:Q3"/>
    <mergeCell ref="R3:U3"/>
    <mergeCell ref="AB3:AI3"/>
    <mergeCell ref="AK3:AL3"/>
  </mergeCells>
  <conditionalFormatting sqref="J7">
    <cfRule type="cellIs" dxfId="19" priority="1" stopIfTrue="1" operator="equal">
      <formula>"ER"</formula>
    </cfRule>
  </conditionalFormatting>
  <conditionalFormatting sqref="J11">
    <cfRule type="cellIs" dxfId="18" priority="9" stopIfTrue="1" operator="equal">
      <formula>"ER"</formula>
    </cfRule>
  </conditionalFormatting>
  <conditionalFormatting sqref="J5:N6">
    <cfRule type="cellIs" dxfId="17" priority="4" stopIfTrue="1" operator="equal">
      <formula>"ER"</formula>
    </cfRule>
  </conditionalFormatting>
  <conditionalFormatting sqref="K15">
    <cfRule type="cellIs" dxfId="16" priority="3" stopIfTrue="1" operator="equal">
      <formula>"ER"</formula>
    </cfRule>
  </conditionalFormatting>
  <printOptions horizontalCentered="1"/>
  <pageMargins left="0" right="0" top="0.23622047244094499" bottom="0.74803149606299202" header="0.31496062992126" footer="0.31496062992126"/>
  <pageSetup paperSize="9" scale="3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  <pageSetUpPr fitToPage="1"/>
  </sheetPr>
  <dimension ref="A1:O12"/>
  <sheetViews>
    <sheetView zoomScale="70" zoomScaleNormal="70" zoomScaleSheetLayoutView="150" zoomScalePageLayoutView="35" workbookViewId="0">
      <pane ySplit="4" topLeftCell="A6" activePane="bottomLeft" state="frozen"/>
      <selection pane="bottomLeft" activeCell="A9" sqref="A9:XFD15"/>
    </sheetView>
  </sheetViews>
  <sheetFormatPr defaultColWidth="9.1796875" defaultRowHeight="29.25" customHeight="1"/>
  <cols>
    <col min="1" max="1" width="7" style="96" customWidth="1"/>
    <col min="2" max="2" width="27.81640625" style="96" bestFit="1" customWidth="1"/>
    <col min="3" max="3" width="16.26953125" style="96" bestFit="1" customWidth="1"/>
    <col min="4" max="4" width="14.1796875" style="96" bestFit="1" customWidth="1"/>
    <col min="5" max="7" width="15.453125" style="96" customWidth="1"/>
    <col min="8" max="8" width="12" style="96" customWidth="1"/>
    <col min="9" max="9" width="14.453125" style="96" customWidth="1"/>
    <col min="10" max="10" width="14.26953125" style="96" customWidth="1"/>
    <col min="11" max="11" width="16" style="96" customWidth="1"/>
    <col min="12" max="12" width="15.81640625" style="96" customWidth="1"/>
    <col min="13" max="13" width="15.453125" style="96" customWidth="1"/>
    <col min="14" max="14" width="29.453125" style="98" customWidth="1"/>
    <col min="15" max="15" width="22.7265625" style="97" bestFit="1" customWidth="1"/>
    <col min="16" max="16384" width="9.1796875" style="96"/>
  </cols>
  <sheetData>
    <row r="1" spans="1:15" ht="29.25" customHeight="1">
      <c r="A1" s="427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9"/>
    </row>
    <row r="2" spans="1:15" ht="29.25" customHeight="1">
      <c r="A2" s="511" t="s">
        <v>303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2"/>
    </row>
    <row r="3" spans="1:15" ht="29.25" customHeight="1">
      <c r="A3" s="511" t="s">
        <v>124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2"/>
    </row>
    <row r="4" spans="1:15" s="98" customFormat="1" ht="55.5">
      <c r="A4" s="350" t="s">
        <v>35</v>
      </c>
      <c r="B4" s="324" t="s">
        <v>36</v>
      </c>
      <c r="C4" s="324" t="s">
        <v>37</v>
      </c>
      <c r="D4" s="324" t="s">
        <v>129</v>
      </c>
      <c r="E4" s="324" t="s">
        <v>130</v>
      </c>
      <c r="F4" s="324" t="s">
        <v>131</v>
      </c>
      <c r="G4" s="324" t="s">
        <v>132</v>
      </c>
      <c r="H4" s="324" t="s">
        <v>254</v>
      </c>
      <c r="I4" s="324" t="s">
        <v>208</v>
      </c>
      <c r="J4" s="324" t="s">
        <v>207</v>
      </c>
      <c r="K4" s="324" t="s">
        <v>135</v>
      </c>
      <c r="L4" s="324" t="s">
        <v>136</v>
      </c>
      <c r="M4" s="324" t="s">
        <v>45</v>
      </c>
      <c r="N4" s="351" t="s">
        <v>47</v>
      </c>
      <c r="O4" s="99"/>
    </row>
    <row r="5" spans="1:15" s="354" customFormat="1" ht="41.25" customHeight="1">
      <c r="A5" s="246">
        <v>1</v>
      </c>
      <c r="B5" s="352" t="s">
        <v>137</v>
      </c>
      <c r="C5" s="248" t="s">
        <v>138</v>
      </c>
      <c r="D5" s="249">
        <v>18000</v>
      </c>
      <c r="E5" s="248">
        <v>0</v>
      </c>
      <c r="F5" s="248">
        <v>2</v>
      </c>
      <c r="G5" s="353">
        <v>0</v>
      </c>
      <c r="H5" s="247"/>
      <c r="I5" s="353">
        <v>0</v>
      </c>
      <c r="J5" s="353">
        <v>0</v>
      </c>
      <c r="K5" s="353">
        <f>D5/8*F5</f>
        <v>4500</v>
      </c>
      <c r="L5" s="124">
        <v>0</v>
      </c>
      <c r="M5" s="249">
        <f>ROUND(D5-J5-K5-L5,0)</f>
        <v>13500</v>
      </c>
      <c r="N5" s="255"/>
      <c r="O5" s="125" t="s">
        <v>231</v>
      </c>
    </row>
    <row r="6" spans="1:15" s="354" customFormat="1" ht="41.25" customHeight="1">
      <c r="A6" s="246">
        <v>2</v>
      </c>
      <c r="B6" s="352" t="s">
        <v>139</v>
      </c>
      <c r="C6" s="248" t="s">
        <v>140</v>
      </c>
      <c r="D6" s="249">
        <v>11600</v>
      </c>
      <c r="E6" s="248">
        <v>0</v>
      </c>
      <c r="F6" s="248">
        <v>0</v>
      </c>
      <c r="G6" s="353">
        <v>0</v>
      </c>
      <c r="H6" s="247"/>
      <c r="I6" s="353">
        <v>0</v>
      </c>
      <c r="J6" s="353">
        <v>0</v>
      </c>
      <c r="K6" s="353">
        <f t="shared" ref="K6:K8" si="0">D6/8*F6</f>
        <v>0</v>
      </c>
      <c r="L6" s="124">
        <v>0</v>
      </c>
      <c r="M6" s="249">
        <f t="shared" ref="M6:M8" si="1">ROUND(D6-J6-K6-L6,0)</f>
        <v>11600</v>
      </c>
      <c r="N6" s="255"/>
      <c r="O6" s="125" t="s">
        <v>239</v>
      </c>
    </row>
    <row r="7" spans="1:15" s="356" customFormat="1" ht="40.5" customHeight="1">
      <c r="A7" s="246">
        <v>3</v>
      </c>
      <c r="B7" s="352" t="s">
        <v>269</v>
      </c>
      <c r="C7" s="247" t="s">
        <v>141</v>
      </c>
      <c r="D7" s="249">
        <v>12200</v>
      </c>
      <c r="E7" s="248">
        <v>0</v>
      </c>
      <c r="F7" s="248">
        <v>0</v>
      </c>
      <c r="G7" s="353">
        <v>0</v>
      </c>
      <c r="H7" s="247"/>
      <c r="I7" s="353">
        <v>0</v>
      </c>
      <c r="J7" s="353">
        <v>0</v>
      </c>
      <c r="K7" s="353">
        <f t="shared" si="0"/>
        <v>0</v>
      </c>
      <c r="L7" s="124">
        <v>0</v>
      </c>
      <c r="M7" s="249">
        <f t="shared" si="1"/>
        <v>12200</v>
      </c>
      <c r="N7" s="255"/>
      <c r="O7" s="355" t="s">
        <v>264</v>
      </c>
    </row>
    <row r="8" spans="1:15" s="356" customFormat="1" ht="41.25" customHeight="1">
      <c r="A8" s="246">
        <v>4</v>
      </c>
      <c r="B8" s="352" t="s">
        <v>280</v>
      </c>
      <c r="C8" s="247" t="s">
        <v>142</v>
      </c>
      <c r="D8" s="249">
        <v>11600</v>
      </c>
      <c r="E8" s="248">
        <v>0</v>
      </c>
      <c r="F8" s="248">
        <v>0</v>
      </c>
      <c r="G8" s="353">
        <v>0</v>
      </c>
      <c r="H8" s="247"/>
      <c r="I8" s="353">
        <v>0</v>
      </c>
      <c r="J8" s="353">
        <v>0</v>
      </c>
      <c r="K8" s="353">
        <f t="shared" si="0"/>
        <v>0</v>
      </c>
      <c r="L8" s="249">
        <v>0</v>
      </c>
      <c r="M8" s="249">
        <f t="shared" si="1"/>
        <v>11600</v>
      </c>
      <c r="N8" s="255"/>
      <c r="O8" s="355" t="s">
        <v>264</v>
      </c>
    </row>
    <row r="9" spans="1:15" ht="48" customHeight="1">
      <c r="A9" s="512" t="s">
        <v>29</v>
      </c>
      <c r="B9" s="510"/>
      <c r="C9" s="510"/>
      <c r="D9" s="357">
        <f>SUM(D5:D8)</f>
        <v>53400</v>
      </c>
      <c r="E9" s="357">
        <f>SUM(E5:E8)</f>
        <v>0</v>
      </c>
      <c r="F9" s="357">
        <f>SUM(F5:F8)</f>
        <v>2</v>
      </c>
      <c r="G9" s="357">
        <f>SUM(G5:G8)</f>
        <v>0</v>
      </c>
      <c r="H9" s="357">
        <f>SUM(H5:H8)</f>
        <v>0</v>
      </c>
      <c r="I9" s="357">
        <f>SUM(I5:I8)</f>
        <v>0</v>
      </c>
      <c r="J9" s="357">
        <f>SUM(J5:J8)</f>
        <v>0</v>
      </c>
      <c r="K9" s="357">
        <f>SUM(K5:K8)</f>
        <v>4500</v>
      </c>
      <c r="L9" s="357">
        <f>SUM(L5:L8)</f>
        <v>0</v>
      </c>
      <c r="M9" s="357">
        <f>SUM(M5:M8)</f>
        <v>48900</v>
      </c>
      <c r="N9" s="255"/>
    </row>
    <row r="10" spans="1:15" ht="112" customHeight="1">
      <c r="A10" s="513" t="s">
        <v>282</v>
      </c>
      <c r="B10" s="514"/>
      <c r="C10" s="514"/>
      <c r="D10" s="514"/>
      <c r="E10" s="514"/>
      <c r="F10" s="514"/>
      <c r="G10" s="514"/>
      <c r="H10" s="514"/>
      <c r="I10" s="514"/>
      <c r="J10" s="514"/>
      <c r="K10" s="514"/>
      <c r="L10" s="514"/>
      <c r="M10" s="514"/>
      <c r="N10" s="515"/>
    </row>
    <row r="12" spans="1:15" ht="29.25" customHeight="1">
      <c r="M12" s="96" t="s">
        <v>79</v>
      </c>
    </row>
  </sheetData>
  <mergeCells count="5">
    <mergeCell ref="A1:N1"/>
    <mergeCell ref="A2:N2"/>
    <mergeCell ref="A3:N3"/>
    <mergeCell ref="A9:C9"/>
    <mergeCell ref="A10:N10"/>
  </mergeCells>
  <phoneticPr fontId="10" type="noConversion"/>
  <conditionalFormatting sqref="G5:G8">
    <cfRule type="cellIs" dxfId="15" priority="2" stopIfTrue="1" operator="equal">
      <formula>"ER"</formula>
    </cfRule>
  </conditionalFormatting>
  <conditionalFormatting sqref="H11:H65">
    <cfRule type="cellIs" dxfId="14" priority="4" stopIfTrue="1" operator="equal">
      <formula>"ER"</formula>
    </cfRule>
  </conditionalFormatting>
  <conditionalFormatting sqref="J5:L8">
    <cfRule type="cellIs" dxfId="13" priority="1" stopIfTrue="1" operator="equal">
      <formula>"ER"</formula>
    </cfRule>
  </conditionalFormatting>
  <conditionalFormatting sqref="J11:L65">
    <cfRule type="cellIs" dxfId="12" priority="3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59" fitToHeight="0" orientation="landscape"/>
  <rowBreaks count="2" manualBreakCount="2">
    <brk id="16" max="16383" man="1"/>
    <brk id="25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  <pageSetUpPr fitToPage="1"/>
  </sheetPr>
  <dimension ref="A1:R10"/>
  <sheetViews>
    <sheetView zoomScale="50" zoomScaleNormal="50" zoomScaleSheetLayoutView="139" zoomScalePageLayoutView="35" workbookViewId="0">
      <pane ySplit="3" topLeftCell="A4" activePane="bottomLeft" state="frozen"/>
      <selection pane="bottomLeft" activeCell="Q7" sqref="Q7"/>
    </sheetView>
  </sheetViews>
  <sheetFormatPr defaultColWidth="9.1796875" defaultRowHeight="69" customHeight="1"/>
  <cols>
    <col min="1" max="1" width="7.453125" style="107" customWidth="1"/>
    <col min="2" max="2" width="35" style="107" customWidth="1"/>
    <col min="3" max="3" width="26.453125" style="107" customWidth="1"/>
    <col min="4" max="4" width="19.81640625" style="107" customWidth="1"/>
    <col min="5" max="5" width="16.81640625" style="107" customWidth="1"/>
    <col min="6" max="6" width="12.81640625" style="107" customWidth="1"/>
    <col min="7" max="7" width="16.453125" style="107" customWidth="1"/>
    <col min="8" max="8" width="14.453125" style="107" customWidth="1"/>
    <col min="9" max="10" width="18.453125" style="107" customWidth="1"/>
    <col min="11" max="11" width="16.26953125" style="107" customWidth="1"/>
    <col min="12" max="12" width="18.453125" style="107" customWidth="1"/>
    <col min="13" max="13" width="18.81640625" style="107" customWidth="1"/>
    <col min="14" max="14" width="20.1796875" style="107" customWidth="1"/>
    <col min="15" max="15" width="18.453125" style="127" customWidth="1"/>
    <col min="16" max="16" width="53.1796875" style="107" customWidth="1"/>
    <col min="17" max="17" width="40.1796875" style="107" bestFit="1" customWidth="1"/>
    <col min="18" max="18" width="25" style="126" customWidth="1"/>
    <col min="19" max="19" width="14.453125" style="107" customWidth="1"/>
    <col min="20" max="16384" width="9.1796875" style="107"/>
  </cols>
  <sheetData>
    <row r="1" spans="1:18" ht="69" customHeight="1">
      <c r="A1" s="516" t="s">
        <v>0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8"/>
    </row>
    <row r="2" spans="1:18" ht="69" customHeight="1">
      <c r="A2" s="519" t="s">
        <v>304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1"/>
    </row>
    <row r="3" spans="1:18" ht="69" customHeight="1">
      <c r="A3" s="183" t="s">
        <v>35</v>
      </c>
      <c r="B3" s="184" t="s">
        <v>36</v>
      </c>
      <c r="C3" s="184" t="s">
        <v>37</v>
      </c>
      <c r="D3" s="184" t="s">
        <v>129</v>
      </c>
      <c r="E3" s="184" t="s">
        <v>143</v>
      </c>
      <c r="F3" s="184" t="s">
        <v>144</v>
      </c>
      <c r="G3" s="184" t="s">
        <v>145</v>
      </c>
      <c r="H3" s="184" t="s">
        <v>132</v>
      </c>
      <c r="I3" s="184" t="s">
        <v>133</v>
      </c>
      <c r="J3" s="184" t="s">
        <v>146</v>
      </c>
      <c r="K3" s="184" t="s">
        <v>134</v>
      </c>
      <c r="L3" s="184" t="s">
        <v>195</v>
      </c>
      <c r="M3" s="184" t="s">
        <v>147</v>
      </c>
      <c r="N3" s="184" t="s">
        <v>148</v>
      </c>
      <c r="O3" s="174" t="s">
        <v>45</v>
      </c>
      <c r="P3" s="185" t="s">
        <v>47</v>
      </c>
    </row>
    <row r="4" spans="1:18" s="333" customFormat="1" ht="69" customHeight="1">
      <c r="A4" s="326">
        <v>1</v>
      </c>
      <c r="B4" s="327" t="s">
        <v>149</v>
      </c>
      <c r="C4" s="328" t="s">
        <v>150</v>
      </c>
      <c r="D4" s="329">
        <v>29000</v>
      </c>
      <c r="E4" s="329">
        <v>0</v>
      </c>
      <c r="F4" s="329">
        <v>16</v>
      </c>
      <c r="G4" s="329">
        <f>D4/28</f>
        <v>1035.7142857142858</v>
      </c>
      <c r="H4" s="329">
        <v>0</v>
      </c>
      <c r="I4" s="329">
        <v>0</v>
      </c>
      <c r="J4" s="330">
        <v>0</v>
      </c>
      <c r="K4" s="329">
        <v>0</v>
      </c>
      <c r="L4" s="329">
        <v>0</v>
      </c>
      <c r="M4" s="329">
        <f>G4*J4</f>
        <v>0</v>
      </c>
      <c r="N4" s="329">
        <f>I4+M4+L4</f>
        <v>0</v>
      </c>
      <c r="O4" s="329">
        <f>ROUND(D4-N4,0)+E4</f>
        <v>29000</v>
      </c>
      <c r="P4" s="331"/>
      <c r="Q4" s="332" t="s">
        <v>242</v>
      </c>
    </row>
    <row r="5" spans="1:18" s="176" customFormat="1" ht="69" customHeight="1">
      <c r="A5" s="186">
        <v>2</v>
      </c>
      <c r="B5" s="187" t="s">
        <v>152</v>
      </c>
      <c r="C5" s="188" t="s">
        <v>80</v>
      </c>
      <c r="D5" s="189">
        <v>42000</v>
      </c>
      <c r="E5" s="189"/>
      <c r="F5" s="189">
        <v>12</v>
      </c>
      <c r="G5" s="189">
        <f t="shared" ref="G5:G6" si="0">D5/28</f>
        <v>1500</v>
      </c>
      <c r="H5" s="189">
        <v>0</v>
      </c>
      <c r="I5" s="189">
        <v>0</v>
      </c>
      <c r="J5" s="190">
        <v>0</v>
      </c>
      <c r="K5" s="189">
        <v>0</v>
      </c>
      <c r="L5" s="189"/>
      <c r="M5" s="189">
        <f>G5*J5</f>
        <v>0</v>
      </c>
      <c r="N5" s="329">
        <f t="shared" ref="N5:N8" si="1">I5+M5+L5</f>
        <v>0</v>
      </c>
      <c r="O5" s="329">
        <f t="shared" ref="O5:O8" si="2">ROUND(D5-N5,0)+E5</f>
        <v>42000</v>
      </c>
      <c r="P5" s="204"/>
      <c r="Q5" s="175" t="s">
        <v>238</v>
      </c>
    </row>
    <row r="6" spans="1:18" s="176" customFormat="1" ht="69" customHeight="1">
      <c r="A6" s="326">
        <v>3</v>
      </c>
      <c r="B6" s="187" t="s">
        <v>153</v>
      </c>
      <c r="C6" s="188" t="s">
        <v>154</v>
      </c>
      <c r="D6" s="189">
        <v>19800</v>
      </c>
      <c r="E6" s="189"/>
      <c r="F6" s="189">
        <v>13</v>
      </c>
      <c r="G6" s="189">
        <f t="shared" si="0"/>
        <v>707.14285714285711</v>
      </c>
      <c r="H6" s="189">
        <v>0</v>
      </c>
      <c r="I6" s="189">
        <v>0</v>
      </c>
      <c r="J6" s="190">
        <v>0</v>
      </c>
      <c r="K6" s="189">
        <f>H6-I6</f>
        <v>0</v>
      </c>
      <c r="L6" s="189"/>
      <c r="M6" s="189">
        <f>G6*J6</f>
        <v>0</v>
      </c>
      <c r="N6" s="329">
        <f t="shared" si="1"/>
        <v>0</v>
      </c>
      <c r="O6" s="329">
        <f t="shared" si="2"/>
        <v>19800</v>
      </c>
      <c r="P6" s="204" t="s">
        <v>291</v>
      </c>
      <c r="Q6" s="175" t="s">
        <v>226</v>
      </c>
    </row>
    <row r="7" spans="1:18" s="176" customFormat="1" ht="69" customHeight="1">
      <c r="A7" s="186">
        <v>4</v>
      </c>
      <c r="B7" s="187" t="s">
        <v>250</v>
      </c>
      <c r="C7" s="188" t="s">
        <v>249</v>
      </c>
      <c r="D7" s="189">
        <f>450*F7</f>
        <v>13950</v>
      </c>
      <c r="E7" s="189"/>
      <c r="F7" s="189">
        <v>31</v>
      </c>
      <c r="G7" s="189">
        <f>D7/28</f>
        <v>498.21428571428572</v>
      </c>
      <c r="H7" s="189">
        <v>0</v>
      </c>
      <c r="I7" s="189">
        <v>0</v>
      </c>
      <c r="J7" s="190">
        <v>0</v>
      </c>
      <c r="K7" s="189">
        <f>H7-I7</f>
        <v>0</v>
      </c>
      <c r="L7" s="189"/>
      <c r="M7" s="189">
        <f>G7*J7</f>
        <v>0</v>
      </c>
      <c r="N7" s="329">
        <f t="shared" si="1"/>
        <v>0</v>
      </c>
      <c r="O7" s="329">
        <f t="shared" si="2"/>
        <v>13950</v>
      </c>
      <c r="P7" s="530" t="s">
        <v>290</v>
      </c>
      <c r="Q7" s="177" t="s">
        <v>257</v>
      </c>
      <c r="R7" s="178"/>
    </row>
    <row r="8" spans="1:18" s="176" customFormat="1" ht="69" customHeight="1">
      <c r="A8" s="326">
        <v>5</v>
      </c>
      <c r="B8" s="187" t="s">
        <v>251</v>
      </c>
      <c r="C8" s="188" t="s">
        <v>249</v>
      </c>
      <c r="D8" s="189">
        <f>450*F8</f>
        <v>28800</v>
      </c>
      <c r="E8" s="189"/>
      <c r="F8" s="189">
        <v>64</v>
      </c>
      <c r="G8" s="189">
        <f>D8/28</f>
        <v>1028.5714285714287</v>
      </c>
      <c r="H8" s="189">
        <v>0</v>
      </c>
      <c r="I8" s="189">
        <v>0</v>
      </c>
      <c r="J8" s="190">
        <v>0</v>
      </c>
      <c r="K8" s="189">
        <f>H8-I8</f>
        <v>0</v>
      </c>
      <c r="L8" s="189"/>
      <c r="M8" s="189">
        <f>G8*J8</f>
        <v>0</v>
      </c>
      <c r="N8" s="329">
        <f t="shared" si="1"/>
        <v>0</v>
      </c>
      <c r="O8" s="329">
        <f t="shared" si="2"/>
        <v>28800</v>
      </c>
      <c r="P8" s="531"/>
      <c r="Q8" s="175" t="s">
        <v>233</v>
      </c>
      <c r="R8" s="178"/>
    </row>
    <row r="9" spans="1:18" ht="69" customHeight="1">
      <c r="A9" s="522" t="s">
        <v>29</v>
      </c>
      <c r="B9" s="523"/>
      <c r="C9" s="524"/>
      <c r="D9" s="174">
        <f>SUM(D4:D8)</f>
        <v>133550</v>
      </c>
      <c r="E9" s="174">
        <f t="shared" ref="E9:O9" si="3">SUM(E4:E8)</f>
        <v>0</v>
      </c>
      <c r="F9" s="174">
        <f t="shared" si="3"/>
        <v>136</v>
      </c>
      <c r="G9" s="174">
        <f t="shared" si="3"/>
        <v>4769.6428571428578</v>
      </c>
      <c r="H9" s="174">
        <f t="shared" si="3"/>
        <v>0</v>
      </c>
      <c r="I9" s="174">
        <f t="shared" si="3"/>
        <v>0</v>
      </c>
      <c r="J9" s="174">
        <f t="shared" si="3"/>
        <v>0</v>
      </c>
      <c r="K9" s="174">
        <f t="shared" si="3"/>
        <v>0</v>
      </c>
      <c r="L9" s="174">
        <f t="shared" si="3"/>
        <v>0</v>
      </c>
      <c r="M9" s="174">
        <f t="shared" si="3"/>
        <v>0</v>
      </c>
      <c r="N9" s="174">
        <f t="shared" si="3"/>
        <v>0</v>
      </c>
      <c r="O9" s="174">
        <f t="shared" si="3"/>
        <v>133550</v>
      </c>
      <c r="P9" s="191" t="s">
        <v>79</v>
      </c>
    </row>
    <row r="10" spans="1:18" s="143" customFormat="1" ht="96" customHeight="1" thickBot="1">
      <c r="A10" s="525" t="s">
        <v>31</v>
      </c>
      <c r="B10" s="526"/>
      <c r="C10" s="192"/>
      <c r="D10" s="192"/>
      <c r="E10" s="192"/>
      <c r="F10" s="192"/>
      <c r="G10" s="192"/>
      <c r="H10" s="527" t="s">
        <v>33</v>
      </c>
      <c r="I10" s="527"/>
      <c r="J10" s="192"/>
      <c r="K10" s="192"/>
      <c r="L10" s="192"/>
      <c r="M10" s="192"/>
      <c r="N10" s="192"/>
      <c r="O10" s="528" t="s">
        <v>81</v>
      </c>
      <c r="P10" s="529"/>
      <c r="R10" s="144"/>
    </row>
  </sheetData>
  <mergeCells count="7">
    <mergeCell ref="A1:P1"/>
    <mergeCell ref="A2:P2"/>
    <mergeCell ref="A9:C9"/>
    <mergeCell ref="A10:B10"/>
    <mergeCell ref="H10:I10"/>
    <mergeCell ref="O10:P10"/>
    <mergeCell ref="P7:P8"/>
  </mergeCells>
  <conditionalFormatting sqref="H4:H8 K4:N8">
    <cfRule type="cellIs" dxfId="11" priority="1" stopIfTrue="1" operator="equal">
      <formula>"ER"</formula>
    </cfRule>
  </conditionalFormatting>
  <conditionalFormatting sqref="H11:H70">
    <cfRule type="cellIs" dxfId="10" priority="3" stopIfTrue="1" operator="equal">
      <formula>"ER"</formula>
    </cfRule>
  </conditionalFormatting>
  <conditionalFormatting sqref="K11:N70">
    <cfRule type="cellIs" dxfId="9" priority="2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41" fitToHeight="0" orientation="landscape"/>
  <rowBreaks count="4" manualBreakCount="4">
    <brk id="12" max="16383" man="1"/>
    <brk id="21" max="16383" man="1"/>
    <brk id="32" max="29" man="1"/>
    <brk id="48" max="2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499984740745262"/>
    <pageSetUpPr fitToPage="1"/>
  </sheetPr>
  <dimension ref="A1:L12"/>
  <sheetViews>
    <sheetView zoomScale="55" zoomScaleNormal="55" zoomScaleSheetLayoutView="125" zoomScalePageLayoutView="35" workbookViewId="0">
      <pane ySplit="3" topLeftCell="A6" activePane="bottomLeft" state="frozen"/>
      <selection pane="bottomLeft" activeCell="A9" sqref="A9:XFD13"/>
    </sheetView>
  </sheetViews>
  <sheetFormatPr defaultColWidth="9.1796875" defaultRowHeight="54" customHeight="1"/>
  <cols>
    <col min="1" max="1" width="8.453125" style="128" customWidth="1"/>
    <col min="2" max="2" width="31.1796875" style="128" customWidth="1"/>
    <col min="3" max="3" width="24" style="134" customWidth="1"/>
    <col min="4" max="4" width="18.453125" style="128" customWidth="1"/>
    <col min="5" max="5" width="22.453125" style="128" customWidth="1"/>
    <col min="6" max="8" width="18.1796875" style="128" customWidth="1"/>
    <col min="9" max="9" width="23.453125" style="128" customWidth="1"/>
    <col min="10" max="10" width="16.453125" style="132" customWidth="1"/>
    <col min="11" max="11" width="54.7265625" style="128" customWidth="1"/>
    <col min="12" max="12" width="26.453125" style="133" bestFit="1" customWidth="1"/>
    <col min="13" max="13" width="20" style="128" bestFit="1" customWidth="1"/>
    <col min="14" max="16384" width="9.1796875" style="128"/>
  </cols>
  <sheetData>
    <row r="1" spans="1:12" ht="54" customHeight="1" thickBot="1">
      <c r="A1" s="532" t="s">
        <v>0</v>
      </c>
      <c r="B1" s="533"/>
      <c r="C1" s="533"/>
      <c r="D1" s="533"/>
      <c r="E1" s="533"/>
      <c r="F1" s="533"/>
      <c r="G1" s="533"/>
      <c r="H1" s="533"/>
      <c r="I1" s="533"/>
      <c r="J1" s="533"/>
      <c r="K1" s="534"/>
      <c r="L1" s="124"/>
    </row>
    <row r="2" spans="1:12" ht="54" customHeight="1">
      <c r="A2" s="535" t="s">
        <v>305</v>
      </c>
      <c r="B2" s="536"/>
      <c r="C2" s="536"/>
      <c r="D2" s="536"/>
      <c r="E2" s="536"/>
      <c r="F2" s="536"/>
      <c r="G2" s="536"/>
      <c r="H2" s="536"/>
      <c r="I2" s="536"/>
      <c r="J2" s="536"/>
      <c r="K2" s="537"/>
      <c r="L2" s="129"/>
    </row>
    <row r="3" spans="1:12" ht="54" customHeight="1">
      <c r="A3" s="193" t="s">
        <v>35</v>
      </c>
      <c r="B3" s="194" t="s">
        <v>36</v>
      </c>
      <c r="C3" s="194" t="s">
        <v>37</v>
      </c>
      <c r="D3" s="195" t="s">
        <v>129</v>
      </c>
      <c r="E3" s="195" t="s">
        <v>292</v>
      </c>
      <c r="F3" s="195" t="s">
        <v>145</v>
      </c>
      <c r="G3" s="195" t="s">
        <v>155</v>
      </c>
      <c r="H3" s="195" t="s">
        <v>196</v>
      </c>
      <c r="I3" s="195" t="s">
        <v>147</v>
      </c>
      <c r="J3" s="196" t="s">
        <v>45</v>
      </c>
      <c r="K3" s="197" t="s">
        <v>47</v>
      </c>
      <c r="L3" s="129"/>
    </row>
    <row r="4" spans="1:12" s="339" customFormat="1" ht="54" customHeight="1">
      <c r="A4" s="334">
        <v>1</v>
      </c>
      <c r="B4" s="335" t="s">
        <v>156</v>
      </c>
      <c r="C4" s="328" t="s">
        <v>157</v>
      </c>
      <c r="D4" s="336">
        <v>18550</v>
      </c>
      <c r="E4" s="329">
        <v>20</v>
      </c>
      <c r="F4" s="329">
        <f t="shared" ref="F4:F8" si="0">D4/28</f>
        <v>662.5</v>
      </c>
      <c r="G4" s="329">
        <v>0</v>
      </c>
      <c r="H4" s="329"/>
      <c r="I4" s="337">
        <f>F4*G4</f>
        <v>0</v>
      </c>
      <c r="J4" s="337">
        <f>ROUND(D4-I4-H4,0)</f>
        <v>18550</v>
      </c>
      <c r="K4" s="338"/>
      <c r="L4" s="325" t="s">
        <v>241</v>
      </c>
    </row>
    <row r="5" spans="1:12" ht="54" customHeight="1">
      <c r="A5" s="198">
        <v>2</v>
      </c>
      <c r="B5" s="199" t="s">
        <v>158</v>
      </c>
      <c r="C5" s="188" t="s">
        <v>159</v>
      </c>
      <c r="D5" s="200">
        <f>E5*1500</f>
        <v>72000</v>
      </c>
      <c r="E5" s="281">
        <v>48</v>
      </c>
      <c r="F5" s="189">
        <f t="shared" si="0"/>
        <v>2571.4285714285716</v>
      </c>
      <c r="G5" s="189">
        <v>0</v>
      </c>
      <c r="H5" s="189">
        <v>0</v>
      </c>
      <c r="I5" s="201">
        <f t="shared" ref="I5:I8" si="1">F5*G5</f>
        <v>0</v>
      </c>
      <c r="J5" s="201">
        <f t="shared" ref="J5:J8" si="2">ROUND(D5-I5-H5,0)</f>
        <v>72000</v>
      </c>
      <c r="K5" s="202" t="s">
        <v>284</v>
      </c>
      <c r="L5" s="130" t="s">
        <v>160</v>
      </c>
    </row>
    <row r="6" spans="1:12" ht="54" customHeight="1">
      <c r="A6" s="334">
        <v>3</v>
      </c>
      <c r="B6" s="199" t="s">
        <v>162</v>
      </c>
      <c r="C6" s="188" t="s">
        <v>163</v>
      </c>
      <c r="D6" s="200">
        <f>E6*1200</f>
        <v>0</v>
      </c>
      <c r="E6" s="281">
        <v>0</v>
      </c>
      <c r="F6" s="189">
        <f t="shared" si="0"/>
        <v>0</v>
      </c>
      <c r="G6" s="189">
        <v>0</v>
      </c>
      <c r="H6" s="189"/>
      <c r="I6" s="201">
        <f t="shared" si="1"/>
        <v>0</v>
      </c>
      <c r="J6" s="201">
        <f t="shared" si="2"/>
        <v>0</v>
      </c>
      <c r="K6" s="202" t="s">
        <v>285</v>
      </c>
      <c r="L6" s="125" t="s">
        <v>244</v>
      </c>
    </row>
    <row r="7" spans="1:12" s="339" customFormat="1" ht="54" customHeight="1">
      <c r="A7" s="198">
        <v>4</v>
      </c>
      <c r="B7" s="335" t="s">
        <v>164</v>
      </c>
      <c r="C7" s="328" t="s">
        <v>165</v>
      </c>
      <c r="D7" s="336">
        <v>24000</v>
      </c>
      <c r="E7" s="329">
        <v>19</v>
      </c>
      <c r="F7" s="329">
        <f t="shared" si="0"/>
        <v>857.14285714285711</v>
      </c>
      <c r="G7" s="329">
        <v>0</v>
      </c>
      <c r="H7" s="329"/>
      <c r="I7" s="201">
        <f t="shared" si="1"/>
        <v>0</v>
      </c>
      <c r="J7" s="201">
        <f t="shared" si="2"/>
        <v>24000</v>
      </c>
      <c r="K7" s="338"/>
      <c r="L7" s="325" t="s">
        <v>240</v>
      </c>
    </row>
    <row r="8" spans="1:12" ht="54" customHeight="1">
      <c r="A8" s="334">
        <v>5</v>
      </c>
      <c r="B8" s="199" t="s">
        <v>166</v>
      </c>
      <c r="C8" s="203" t="s">
        <v>161</v>
      </c>
      <c r="D8" s="200">
        <f>E8*1050</f>
        <v>37275</v>
      </c>
      <c r="E8" s="281">
        <v>35.5</v>
      </c>
      <c r="F8" s="189">
        <f t="shared" si="0"/>
        <v>1331.25</v>
      </c>
      <c r="G8" s="189">
        <v>0</v>
      </c>
      <c r="H8" s="189">
        <v>0</v>
      </c>
      <c r="I8" s="201">
        <f t="shared" si="1"/>
        <v>0</v>
      </c>
      <c r="J8" s="201">
        <f t="shared" si="2"/>
        <v>37275</v>
      </c>
      <c r="K8" s="202" t="s">
        <v>286</v>
      </c>
      <c r="L8" s="125" t="s">
        <v>245</v>
      </c>
    </row>
    <row r="9" spans="1:12" s="122" customFormat="1" ht="54" customHeight="1">
      <c r="A9" s="538" t="s">
        <v>29</v>
      </c>
      <c r="B9" s="539"/>
      <c r="C9" s="539"/>
      <c r="D9" s="205">
        <f>SUM(D4:D8)</f>
        <v>151825</v>
      </c>
      <c r="E9" s="205">
        <f>SUM(E4:E8)</f>
        <v>122.5</v>
      </c>
      <c r="F9" s="205">
        <f>SUM(F4:F8)</f>
        <v>5422.3214285714284</v>
      </c>
      <c r="G9" s="205">
        <f>SUM(G4:G8)</f>
        <v>0</v>
      </c>
      <c r="H9" s="205">
        <f>SUM(H4:H8)</f>
        <v>0</v>
      </c>
      <c r="I9" s="205">
        <f>SUM(I4:I8)</f>
        <v>0</v>
      </c>
      <c r="J9" s="205">
        <f>SUM(J4:J8)</f>
        <v>151825</v>
      </c>
      <c r="K9" s="191"/>
      <c r="L9" s="131"/>
    </row>
    <row r="10" spans="1:12" s="106" customFormat="1" ht="89.25" customHeight="1" thickBot="1">
      <c r="A10" s="456" t="s">
        <v>31</v>
      </c>
      <c r="B10" s="457"/>
      <c r="C10" s="206"/>
      <c r="D10" s="206"/>
      <c r="E10" s="457" t="s">
        <v>33</v>
      </c>
      <c r="F10" s="457"/>
      <c r="G10" s="457"/>
      <c r="H10" s="206"/>
      <c r="I10" s="206"/>
      <c r="J10" s="206"/>
      <c r="K10" s="207" t="s">
        <v>81</v>
      </c>
    </row>
    <row r="12" spans="1:12" ht="54" customHeight="1">
      <c r="C12" s="128"/>
    </row>
  </sheetData>
  <mergeCells count="5">
    <mergeCell ref="A1:K1"/>
    <mergeCell ref="A2:K2"/>
    <mergeCell ref="A9:C9"/>
    <mergeCell ref="A10:B10"/>
    <mergeCell ref="E10:G10"/>
  </mergeCells>
  <conditionalFormatting sqref="J4:J8 J11:J67">
    <cfRule type="cellIs" dxfId="8" priority="2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54" fitToHeight="0" orientation="landscape"/>
  <rowBreaks count="3" manualBreakCount="3">
    <brk id="18" max="16383" man="1"/>
    <brk id="29" max="8" man="1"/>
    <brk id="45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499984740745262"/>
    <pageSetUpPr fitToPage="1"/>
  </sheetPr>
  <dimension ref="A1:AN21"/>
  <sheetViews>
    <sheetView zoomScale="70" zoomScaleNormal="70" zoomScaleSheetLayoutView="70" zoomScalePageLayoutView="35" workbookViewId="0">
      <pane ySplit="4" topLeftCell="A8" activePane="bottomLeft" state="frozen"/>
      <selection pane="bottomLeft" activeCell="A10" sqref="A10:B10"/>
    </sheetView>
  </sheetViews>
  <sheetFormatPr defaultColWidth="9.453125" defaultRowHeight="20.25" customHeight="1" outlineLevelCol="1"/>
  <cols>
    <col min="1" max="1" width="4.453125" style="96" customWidth="1"/>
    <col min="2" max="2" width="21.453125" style="96" customWidth="1"/>
    <col min="3" max="3" width="15.453125" style="98" customWidth="1"/>
    <col min="4" max="5" width="5.1796875" style="96" customWidth="1" outlineLevel="1"/>
    <col min="6" max="6" width="5" style="96" customWidth="1" outlineLevel="1"/>
    <col min="7" max="7" width="7" style="96" customWidth="1" outlineLevel="1"/>
    <col min="8" max="11" width="5.1796875" style="96" customWidth="1" outlineLevel="1"/>
    <col min="12" max="12" width="7" style="96" customWidth="1" outlineLevel="1"/>
    <col min="13" max="13" width="7.453125" style="96" customWidth="1" outlineLevel="1"/>
    <col min="14" max="16" width="5.1796875" style="96" customWidth="1" outlineLevel="1"/>
    <col min="17" max="17" width="7.1796875" style="102" customWidth="1" outlineLevel="1"/>
    <col min="18" max="18" width="8.7265625" style="102" bestFit="1" customWidth="1" outlineLevel="1"/>
    <col min="19" max="20" width="9.1796875" style="102" bestFit="1" customWidth="1" outlineLevel="1"/>
    <col min="21" max="21" width="9.1796875" style="102" customWidth="1" outlineLevel="1"/>
    <col min="22" max="23" width="13.453125" style="96" customWidth="1" outlineLevel="1"/>
    <col min="24" max="24" width="9.1796875" style="96" customWidth="1" outlineLevel="1"/>
    <col min="25" max="25" width="11" style="97" customWidth="1" outlineLevel="1"/>
    <col min="26" max="26" width="9.1796875" style="97" customWidth="1" outlineLevel="1"/>
    <col min="27" max="27" width="11" style="96" customWidth="1" outlineLevel="1"/>
    <col min="28" max="28" width="9.1796875" style="96" customWidth="1" outlineLevel="1"/>
    <col min="29" max="30" width="7.26953125" style="96" bestFit="1" customWidth="1" outlineLevel="1"/>
    <col min="31" max="31" width="8" style="96" bestFit="1" customWidth="1" outlineLevel="1"/>
    <col min="32" max="35" width="9.1796875" style="96" customWidth="1" outlineLevel="1"/>
    <col min="36" max="36" width="11.453125" style="96" customWidth="1"/>
    <col min="37" max="38" width="9.1796875" style="96" customWidth="1"/>
    <col min="39" max="39" width="19.453125" style="98" customWidth="1"/>
    <col min="40" max="40" width="20" style="96" bestFit="1" customWidth="1"/>
    <col min="41" max="16384" width="9.453125" style="96"/>
  </cols>
  <sheetData>
    <row r="1" spans="1:40" ht="20.25" customHeight="1">
      <c r="A1" s="540" t="s">
        <v>0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2"/>
    </row>
    <row r="2" spans="1:40" ht="20.25" customHeight="1">
      <c r="A2" s="543" t="s">
        <v>306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  <c r="AD2" s="544"/>
      <c r="AE2" s="544"/>
      <c r="AF2" s="544"/>
      <c r="AG2" s="544"/>
      <c r="AH2" s="544"/>
      <c r="AI2" s="544"/>
      <c r="AJ2" s="544"/>
      <c r="AK2" s="544"/>
      <c r="AL2" s="544"/>
      <c r="AM2" s="545"/>
    </row>
    <row r="3" spans="1:40" s="98" customFormat="1" ht="20.25" customHeight="1">
      <c r="A3" s="550" t="s">
        <v>35</v>
      </c>
      <c r="B3" s="546" t="s">
        <v>36</v>
      </c>
      <c r="C3" s="546" t="s">
        <v>37</v>
      </c>
      <c r="D3" s="546" t="s">
        <v>38</v>
      </c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7" t="s">
        <v>39</v>
      </c>
      <c r="S3" s="547"/>
      <c r="T3" s="547"/>
      <c r="U3" s="547"/>
      <c r="V3" s="546" t="s">
        <v>40</v>
      </c>
      <c r="W3" s="416" t="s">
        <v>198</v>
      </c>
      <c r="X3" s="546" t="s">
        <v>41</v>
      </c>
      <c r="Y3" s="551" t="s">
        <v>42</v>
      </c>
      <c r="Z3" s="551" t="s">
        <v>43</v>
      </c>
      <c r="AA3" s="552" t="s">
        <v>44</v>
      </c>
      <c r="AB3" s="546" t="s">
        <v>6</v>
      </c>
      <c r="AC3" s="546"/>
      <c r="AD3" s="546"/>
      <c r="AE3" s="546"/>
      <c r="AF3" s="546"/>
      <c r="AG3" s="546"/>
      <c r="AH3" s="546"/>
      <c r="AI3" s="546"/>
      <c r="AJ3" s="552" t="s">
        <v>45</v>
      </c>
      <c r="AK3" s="546" t="s">
        <v>46</v>
      </c>
      <c r="AL3" s="546"/>
      <c r="AM3" s="553" t="s">
        <v>47</v>
      </c>
    </row>
    <row r="4" spans="1:40" s="100" customFormat="1" ht="126" customHeight="1">
      <c r="A4" s="550"/>
      <c r="B4" s="546"/>
      <c r="C4" s="546"/>
      <c r="D4" s="268" t="s">
        <v>48</v>
      </c>
      <c r="E4" s="268" t="s">
        <v>49</v>
      </c>
      <c r="F4" s="268" t="s">
        <v>50</v>
      </c>
      <c r="G4" s="268" t="s">
        <v>51</v>
      </c>
      <c r="H4" s="268" t="s">
        <v>52</v>
      </c>
      <c r="I4" s="268" t="s">
        <v>53</v>
      </c>
      <c r="J4" s="268" t="s">
        <v>54</v>
      </c>
      <c r="K4" s="268" t="s">
        <v>55</v>
      </c>
      <c r="L4" s="268" t="s">
        <v>260</v>
      </c>
      <c r="M4" s="268" t="s">
        <v>188</v>
      </c>
      <c r="N4" s="268" t="s">
        <v>58</v>
      </c>
      <c r="O4" s="268" t="s">
        <v>59</v>
      </c>
      <c r="P4" s="154" t="s">
        <v>60</v>
      </c>
      <c r="Q4" s="269" t="s">
        <v>61</v>
      </c>
      <c r="R4" s="270" t="s">
        <v>62</v>
      </c>
      <c r="S4" s="270" t="s">
        <v>63</v>
      </c>
      <c r="T4" s="271" t="s">
        <v>64</v>
      </c>
      <c r="U4" s="272" t="s">
        <v>65</v>
      </c>
      <c r="V4" s="546"/>
      <c r="W4" s="416"/>
      <c r="X4" s="546"/>
      <c r="Y4" s="551"/>
      <c r="Z4" s="551"/>
      <c r="AA4" s="552"/>
      <c r="AB4" s="267" t="s">
        <v>66</v>
      </c>
      <c r="AC4" s="8" t="s">
        <v>67</v>
      </c>
      <c r="AD4" s="267" t="s">
        <v>11</v>
      </c>
      <c r="AE4" s="267" t="s">
        <v>12</v>
      </c>
      <c r="AF4" s="8" t="s">
        <v>13</v>
      </c>
      <c r="AG4" s="267" t="s">
        <v>68</v>
      </c>
      <c r="AH4" s="267" t="s">
        <v>69</v>
      </c>
      <c r="AI4" s="273" t="s">
        <v>29</v>
      </c>
      <c r="AJ4" s="552"/>
      <c r="AK4" s="267" t="s">
        <v>70</v>
      </c>
      <c r="AL4" s="267" t="s">
        <v>71</v>
      </c>
      <c r="AM4" s="553"/>
    </row>
    <row r="5" spans="1:40" s="113" customFormat="1" ht="51" customHeight="1">
      <c r="A5" s="225">
        <v>1</v>
      </c>
      <c r="B5" s="210" t="s">
        <v>72</v>
      </c>
      <c r="C5" s="212" t="s">
        <v>33</v>
      </c>
      <c r="D5" s="296">
        <v>28</v>
      </c>
      <c r="E5" s="297">
        <v>0</v>
      </c>
      <c r="F5" s="298">
        <f t="shared" ref="F5:F8" si="0">IF((E5/3)&gt;=1,TRUNC(E5/3,0),0)</f>
        <v>0</v>
      </c>
      <c r="G5" s="298">
        <f t="shared" ref="G5:G8" si="1">E5-F5*3</f>
        <v>0</v>
      </c>
      <c r="H5" s="297">
        <v>0</v>
      </c>
      <c r="I5" s="298">
        <f t="shared" ref="I5:I8" si="2">IF(H5&lt;1,H5,H5-1)</f>
        <v>0</v>
      </c>
      <c r="J5" s="298">
        <f t="shared" ref="J5:J8" si="3">H5-I5</f>
        <v>0</v>
      </c>
      <c r="K5" s="298">
        <f>0+3+0.5</f>
        <v>3.5</v>
      </c>
      <c r="L5" s="297">
        <v>0</v>
      </c>
      <c r="M5" s="298">
        <v>0</v>
      </c>
      <c r="N5" s="298">
        <v>0</v>
      </c>
      <c r="O5" s="298">
        <v>0</v>
      </c>
      <c r="P5" s="299">
        <f>L5+M5+N5+O5</f>
        <v>0</v>
      </c>
      <c r="Q5" s="300">
        <f t="shared" ref="Q5" si="4">(F5*0.5)+(I5*0.5)+M5+(N5*2)</f>
        <v>0</v>
      </c>
      <c r="R5" s="241"/>
      <c r="S5" s="241"/>
      <c r="T5" s="241"/>
      <c r="U5" s="241">
        <f>R5-(S5+T5)</f>
        <v>0</v>
      </c>
      <c r="V5" s="172">
        <v>10000</v>
      </c>
      <c r="W5" s="172">
        <f>V5</f>
        <v>10000</v>
      </c>
      <c r="X5" s="172">
        <v>0</v>
      </c>
      <c r="Y5" s="172">
        <f>V5-AB5</f>
        <v>10000</v>
      </c>
      <c r="Z5" s="172">
        <f>V5/D5</f>
        <v>357.14285714285717</v>
      </c>
      <c r="AA5" s="172">
        <f>V5*45%</f>
        <v>4500</v>
      </c>
      <c r="AB5" s="182">
        <f>Q5*Z5</f>
        <v>0</v>
      </c>
      <c r="AC5" s="182"/>
      <c r="AD5" s="182">
        <f>(AC5)*Z5</f>
        <v>0</v>
      </c>
      <c r="AE5" s="172">
        <f>T5</f>
        <v>0</v>
      </c>
      <c r="AF5" s="172"/>
      <c r="AG5" s="182">
        <v>0</v>
      </c>
      <c r="AH5" s="182">
        <v>0</v>
      </c>
      <c r="AI5" s="182">
        <f>SUM(AB5:AH5)</f>
        <v>0</v>
      </c>
      <c r="AJ5" s="182">
        <f>ROUND(SUM(W5:X5)-AI5,)</f>
        <v>10000</v>
      </c>
      <c r="AK5" s="182"/>
      <c r="AL5" s="182"/>
      <c r="AM5" s="266"/>
      <c r="AN5" s="257" t="s">
        <v>248</v>
      </c>
    </row>
    <row r="6" spans="1:40" s="113" customFormat="1" ht="51" customHeight="1">
      <c r="A6" s="225">
        <v>2</v>
      </c>
      <c r="B6" s="274" t="s">
        <v>82</v>
      </c>
      <c r="C6" s="212" t="s">
        <v>127</v>
      </c>
      <c r="D6" s="304">
        <v>28</v>
      </c>
      <c r="E6" s="305">
        <v>0</v>
      </c>
      <c r="F6" s="306">
        <f t="shared" si="0"/>
        <v>0</v>
      </c>
      <c r="G6" s="306">
        <f t="shared" si="1"/>
        <v>0</v>
      </c>
      <c r="H6" s="305">
        <v>0</v>
      </c>
      <c r="I6" s="306">
        <f t="shared" si="2"/>
        <v>0</v>
      </c>
      <c r="J6" s="306">
        <f t="shared" si="3"/>
        <v>0</v>
      </c>
      <c r="K6" s="306">
        <f>3+0+3</f>
        <v>6</v>
      </c>
      <c r="L6" s="305">
        <v>0</v>
      </c>
      <c r="M6" s="306">
        <v>0</v>
      </c>
      <c r="N6" s="306">
        <v>0</v>
      </c>
      <c r="O6" s="306">
        <v>0</v>
      </c>
      <c r="P6" s="307">
        <f>L6+M6+N6+O6</f>
        <v>0</v>
      </c>
      <c r="Q6" s="308">
        <f>(F6*0.5)+(I6*0.5)+M6+(N6*2)</f>
        <v>0</v>
      </c>
      <c r="R6" s="241"/>
      <c r="S6" s="241"/>
      <c r="T6" s="241"/>
      <c r="U6" s="241">
        <f>R6-(S6+T6)</f>
        <v>0</v>
      </c>
      <c r="V6" s="172">
        <v>10000</v>
      </c>
      <c r="W6" s="172">
        <f>V6</f>
        <v>10000</v>
      </c>
      <c r="X6" s="172">
        <v>0</v>
      </c>
      <c r="Y6" s="172">
        <f t="shared" ref="Y6:Y8" si="5">V6-AB6</f>
        <v>10000</v>
      </c>
      <c r="Z6" s="172">
        <f t="shared" ref="Z6:Z8" si="6">V6/D6</f>
        <v>357.14285714285717</v>
      </c>
      <c r="AA6" s="172">
        <f t="shared" ref="AA6:AA8" si="7">V6*45%</f>
        <v>4500</v>
      </c>
      <c r="AB6" s="182">
        <f t="shared" ref="AB6:AB8" si="8">Q6*Z6</f>
        <v>0</v>
      </c>
      <c r="AC6" s="182"/>
      <c r="AD6" s="182">
        <f>(AC6)*Z6</f>
        <v>0</v>
      </c>
      <c r="AE6" s="172">
        <f>T6</f>
        <v>0</v>
      </c>
      <c r="AF6" s="172"/>
      <c r="AG6" s="182">
        <v>0</v>
      </c>
      <c r="AH6" s="182">
        <v>0</v>
      </c>
      <c r="AI6" s="182">
        <f t="shared" ref="AI6:AI8" si="9">SUM(AB6:AH6)</f>
        <v>0</v>
      </c>
      <c r="AJ6" s="182">
        <f t="shared" ref="AJ6:AJ8" si="10">ROUND(SUM(W6:X6)-AI6,)</f>
        <v>10000</v>
      </c>
      <c r="AK6" s="182"/>
      <c r="AL6" s="182"/>
      <c r="AM6" s="266"/>
      <c r="AN6" s="257" t="s">
        <v>261</v>
      </c>
    </row>
    <row r="7" spans="1:40" s="113" customFormat="1" ht="51" customHeight="1">
      <c r="A7" s="225">
        <v>3</v>
      </c>
      <c r="B7" s="210" t="s">
        <v>89</v>
      </c>
      <c r="C7" s="212" t="s">
        <v>128</v>
      </c>
      <c r="D7" s="304">
        <v>28</v>
      </c>
      <c r="E7" s="305">
        <v>0</v>
      </c>
      <c r="F7" s="306">
        <f t="shared" si="0"/>
        <v>0</v>
      </c>
      <c r="G7" s="306">
        <f t="shared" si="1"/>
        <v>0</v>
      </c>
      <c r="H7" s="305">
        <v>0</v>
      </c>
      <c r="I7" s="306">
        <f t="shared" si="2"/>
        <v>0</v>
      </c>
      <c r="J7" s="306">
        <f t="shared" si="3"/>
        <v>0</v>
      </c>
      <c r="K7" s="306">
        <f>5+2.5+4.5</f>
        <v>12</v>
      </c>
      <c r="L7" s="305">
        <v>1</v>
      </c>
      <c r="M7" s="306">
        <v>0</v>
      </c>
      <c r="N7" s="306">
        <v>0</v>
      </c>
      <c r="O7" s="306">
        <v>0</v>
      </c>
      <c r="P7" s="307">
        <f>L7+M7+N7+O7</f>
        <v>1</v>
      </c>
      <c r="Q7" s="308">
        <f>(F7*0.5)+(I7*0.5)+M7+(N7*2)</f>
        <v>0</v>
      </c>
      <c r="R7" s="241"/>
      <c r="S7" s="241"/>
      <c r="T7" s="241"/>
      <c r="U7" s="241">
        <f>R7-(S7+T7)</f>
        <v>0</v>
      </c>
      <c r="V7" s="172">
        <v>4000</v>
      </c>
      <c r="W7" s="172">
        <f>V7</f>
        <v>4000</v>
      </c>
      <c r="X7" s="172">
        <v>0</v>
      </c>
      <c r="Y7" s="172">
        <f t="shared" si="5"/>
        <v>4000</v>
      </c>
      <c r="Z7" s="172">
        <f t="shared" si="6"/>
        <v>142.85714285714286</v>
      </c>
      <c r="AA7" s="172">
        <f t="shared" si="7"/>
        <v>1800</v>
      </c>
      <c r="AB7" s="182">
        <f t="shared" si="8"/>
        <v>0</v>
      </c>
      <c r="AC7" s="182"/>
      <c r="AD7" s="182">
        <f>(AC7)*Z7</f>
        <v>0</v>
      </c>
      <c r="AE7" s="172">
        <f>T7</f>
        <v>0</v>
      </c>
      <c r="AF7" s="172"/>
      <c r="AG7" s="182">
        <v>0</v>
      </c>
      <c r="AH7" s="182">
        <v>0</v>
      </c>
      <c r="AI7" s="182">
        <f t="shared" si="9"/>
        <v>0</v>
      </c>
      <c r="AJ7" s="182">
        <f t="shared" si="10"/>
        <v>4000</v>
      </c>
      <c r="AK7" s="182"/>
      <c r="AL7" s="182"/>
      <c r="AM7" s="214"/>
      <c r="AN7" s="257" t="s">
        <v>237</v>
      </c>
    </row>
    <row r="8" spans="1:40" s="113" customFormat="1" ht="51" customHeight="1">
      <c r="A8" s="225">
        <v>4</v>
      </c>
      <c r="B8" s="274" t="s">
        <v>91</v>
      </c>
      <c r="C8" s="212" t="s">
        <v>92</v>
      </c>
      <c r="D8" s="304">
        <v>28</v>
      </c>
      <c r="E8" s="305">
        <v>0</v>
      </c>
      <c r="F8" s="306">
        <f t="shared" si="0"/>
        <v>0</v>
      </c>
      <c r="G8" s="306">
        <f t="shared" si="1"/>
        <v>0</v>
      </c>
      <c r="H8" s="305">
        <v>0</v>
      </c>
      <c r="I8" s="306">
        <f t="shared" si="2"/>
        <v>0</v>
      </c>
      <c r="J8" s="306">
        <f t="shared" si="3"/>
        <v>0</v>
      </c>
      <c r="K8" s="306">
        <f>5+5+4.5</f>
        <v>14.5</v>
      </c>
      <c r="L8" s="305">
        <v>0.5</v>
      </c>
      <c r="M8" s="306">
        <v>1.5</v>
      </c>
      <c r="N8" s="306">
        <v>0</v>
      </c>
      <c r="O8" s="306">
        <v>0</v>
      </c>
      <c r="P8" s="307">
        <f>L8+M8+N8+O8</f>
        <v>2</v>
      </c>
      <c r="Q8" s="308">
        <f>(F8*0.5)+(I8*0.5)+M8+(N8*2)</f>
        <v>1.5</v>
      </c>
      <c r="R8" s="241"/>
      <c r="S8" s="241"/>
      <c r="T8" s="241"/>
      <c r="U8" s="241">
        <f>R8-(S8+T8)</f>
        <v>0</v>
      </c>
      <c r="V8" s="172">
        <v>10000</v>
      </c>
      <c r="W8" s="172">
        <f>V8</f>
        <v>10000</v>
      </c>
      <c r="X8" s="172">
        <v>0</v>
      </c>
      <c r="Y8" s="172">
        <f t="shared" si="5"/>
        <v>9464.2857142857138</v>
      </c>
      <c r="Z8" s="172">
        <f t="shared" si="6"/>
        <v>357.14285714285717</v>
      </c>
      <c r="AA8" s="172">
        <f t="shared" si="7"/>
        <v>4500</v>
      </c>
      <c r="AB8" s="182">
        <f t="shared" si="8"/>
        <v>535.71428571428578</v>
      </c>
      <c r="AC8" s="182"/>
      <c r="AD8" s="182">
        <f>(AC8)*Z8</f>
        <v>0</v>
      </c>
      <c r="AE8" s="172">
        <f>T8</f>
        <v>0</v>
      </c>
      <c r="AF8" s="172"/>
      <c r="AG8" s="182">
        <v>0</v>
      </c>
      <c r="AH8" s="182">
        <v>0</v>
      </c>
      <c r="AI8" s="182">
        <f t="shared" si="9"/>
        <v>535.71428571428578</v>
      </c>
      <c r="AJ8" s="182">
        <f t="shared" si="10"/>
        <v>9464</v>
      </c>
      <c r="AK8" s="182"/>
      <c r="AL8" s="182"/>
      <c r="AM8" s="214"/>
      <c r="AN8" s="257" t="s">
        <v>243</v>
      </c>
    </row>
    <row r="9" spans="1:40" ht="51" customHeight="1">
      <c r="A9" s="548" t="s">
        <v>105</v>
      </c>
      <c r="B9" s="549"/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  <c r="P9" s="549"/>
      <c r="Q9" s="549"/>
      <c r="R9" s="275">
        <f>SUM(R5:R8)</f>
        <v>0</v>
      </c>
      <c r="S9" s="275">
        <f>SUM(S5:S8)</f>
        <v>0</v>
      </c>
      <c r="T9" s="275">
        <f>SUM(T5:T8)</f>
        <v>0</v>
      </c>
      <c r="U9" s="275">
        <f>SUM(U5:U8)</f>
        <v>0</v>
      </c>
      <c r="V9" s="275">
        <f>SUM(V5:V8)</f>
        <v>34000</v>
      </c>
      <c r="W9" s="275">
        <f t="shared" ref="W9:AL9" si="11">SUM(W5:W8)</f>
        <v>34000</v>
      </c>
      <c r="X9" s="275">
        <f t="shared" si="11"/>
        <v>0</v>
      </c>
      <c r="Y9" s="275">
        <f t="shared" si="11"/>
        <v>33464.28571428571</v>
      </c>
      <c r="Z9" s="275">
        <f t="shared" si="11"/>
        <v>1214.2857142857144</v>
      </c>
      <c r="AA9" s="275">
        <f t="shared" si="11"/>
        <v>15300</v>
      </c>
      <c r="AB9" s="275">
        <f t="shared" si="11"/>
        <v>535.71428571428578</v>
      </c>
      <c r="AC9" s="275">
        <f t="shared" si="11"/>
        <v>0</v>
      </c>
      <c r="AD9" s="275">
        <f t="shared" si="11"/>
        <v>0</v>
      </c>
      <c r="AE9" s="275">
        <f t="shared" si="11"/>
        <v>0</v>
      </c>
      <c r="AF9" s="275">
        <f t="shared" si="11"/>
        <v>0</v>
      </c>
      <c r="AG9" s="275">
        <f t="shared" si="11"/>
        <v>0</v>
      </c>
      <c r="AH9" s="275">
        <f t="shared" si="11"/>
        <v>0</v>
      </c>
      <c r="AI9" s="275">
        <f t="shared" si="11"/>
        <v>535.71428571428578</v>
      </c>
      <c r="AJ9" s="275">
        <f t="shared" si="11"/>
        <v>33464</v>
      </c>
      <c r="AK9" s="275">
        <f t="shared" si="11"/>
        <v>0</v>
      </c>
      <c r="AL9" s="275">
        <f t="shared" si="11"/>
        <v>0</v>
      </c>
      <c r="AM9" s="276"/>
    </row>
    <row r="10" spans="1:40" s="106" customFormat="1" ht="95.25" customHeight="1">
      <c r="A10" s="456" t="s">
        <v>31</v>
      </c>
      <c r="B10" s="457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457" t="s">
        <v>32</v>
      </c>
      <c r="V10" s="457"/>
      <c r="W10" s="457"/>
      <c r="X10" s="457"/>
      <c r="Y10" s="457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457" t="s">
        <v>81</v>
      </c>
      <c r="AL10" s="457"/>
      <c r="AM10" s="458"/>
    </row>
    <row r="11" spans="1:40" ht="20.25" customHeight="1">
      <c r="C11" s="96"/>
      <c r="Q11" s="96"/>
      <c r="R11" s="96"/>
      <c r="S11" s="96"/>
      <c r="T11" s="96"/>
      <c r="U11" s="96"/>
      <c r="Y11" s="96"/>
      <c r="Z11" s="96"/>
      <c r="AA11" s="103"/>
      <c r="AI11" s="103"/>
      <c r="AM11" s="96"/>
    </row>
    <row r="12" spans="1:40" ht="20.25" customHeight="1">
      <c r="C12" s="96"/>
      <c r="Q12" s="96"/>
      <c r="R12" s="96"/>
      <c r="S12" s="96"/>
      <c r="T12" s="96"/>
      <c r="U12" s="96"/>
      <c r="Y12" s="96"/>
      <c r="Z12" s="96"/>
      <c r="AK12" s="103"/>
      <c r="AM12" s="96"/>
    </row>
    <row r="13" spans="1:40" ht="20.25" customHeight="1">
      <c r="C13" s="96"/>
      <c r="Q13" s="96"/>
      <c r="R13" s="96"/>
      <c r="S13" s="96"/>
      <c r="T13" s="96"/>
      <c r="U13" s="96"/>
      <c r="Y13" s="96"/>
      <c r="Z13" s="96"/>
      <c r="AK13" s="103"/>
      <c r="AM13" s="96"/>
    </row>
    <row r="14" spans="1:40" ht="20.25" customHeight="1">
      <c r="C14" s="96"/>
      <c r="Q14" s="96"/>
      <c r="R14" s="96"/>
      <c r="S14" s="96"/>
      <c r="T14" s="96"/>
      <c r="U14" s="96"/>
      <c r="Y14" s="96"/>
      <c r="Z14" s="96"/>
      <c r="AM14" s="96"/>
    </row>
    <row r="15" spans="1:40" ht="20.25" customHeight="1">
      <c r="C15" s="96"/>
      <c r="Q15" s="96"/>
      <c r="R15" s="96"/>
      <c r="S15" s="96"/>
      <c r="T15" s="96"/>
      <c r="U15" s="96"/>
      <c r="Y15" s="96"/>
      <c r="Z15" s="96"/>
      <c r="AJ15" s="103"/>
      <c r="AM15" s="96"/>
    </row>
    <row r="16" spans="1:40" ht="20.25" customHeight="1">
      <c r="C16" s="96"/>
      <c r="Q16" s="96"/>
      <c r="R16" s="96"/>
      <c r="S16" s="96"/>
      <c r="T16" s="96"/>
      <c r="U16" s="96"/>
      <c r="V16" s="103"/>
      <c r="W16" s="103"/>
      <c r="X16" s="103"/>
      <c r="Y16" s="96"/>
      <c r="Z16" s="96"/>
      <c r="AM16" s="96"/>
    </row>
    <row r="17" spans="22:36" s="96" customFormat="1" ht="20.25" customHeight="1"/>
    <row r="18" spans="22:36" s="96" customFormat="1" ht="20.25" customHeight="1">
      <c r="V18" s="103"/>
      <c r="W18" s="103"/>
      <c r="X18" s="103"/>
      <c r="AJ18" s="103"/>
    </row>
    <row r="19" spans="22:36" s="96" customFormat="1" ht="20.25" customHeight="1"/>
    <row r="20" spans="22:36" s="96" customFormat="1" ht="20.25" customHeight="1"/>
    <row r="21" spans="22:36" s="96" customFormat="1" ht="20.25" customHeight="1"/>
  </sheetData>
  <autoFilter ref="AG4:AH25" xr:uid="{00000000-0009-0000-0000-00000B000000}"/>
  <mergeCells count="21">
    <mergeCell ref="A9:Q9"/>
    <mergeCell ref="A10:B10"/>
    <mergeCell ref="U10:Y10"/>
    <mergeCell ref="AK10:AM10"/>
    <mergeCell ref="A3:A4"/>
    <mergeCell ref="B3:B4"/>
    <mergeCell ref="C3:C4"/>
    <mergeCell ref="V3:V4"/>
    <mergeCell ref="X3:X4"/>
    <mergeCell ref="Y3:Y4"/>
    <mergeCell ref="Z3:Z4"/>
    <mergeCell ref="AA3:AA4"/>
    <mergeCell ref="AJ3:AJ4"/>
    <mergeCell ref="AM3:AM4"/>
    <mergeCell ref="A1:AM1"/>
    <mergeCell ref="A2:AM2"/>
    <mergeCell ref="D3:Q3"/>
    <mergeCell ref="R3:U3"/>
    <mergeCell ref="AB3:AI3"/>
    <mergeCell ref="AK3:AL3"/>
    <mergeCell ref="W3:W4"/>
  </mergeCells>
  <conditionalFormatting sqref="J5:J8">
    <cfRule type="cellIs" dxfId="7" priority="1" stopIfTrue="1" operator="equal">
      <formula>"ER"</formula>
    </cfRule>
  </conditionalFormatting>
  <conditionalFormatting sqref="M5:N5">
    <cfRule type="cellIs" dxfId="6" priority="4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40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499984740745262"/>
    <pageSetUpPr fitToPage="1"/>
  </sheetPr>
  <dimension ref="A1:AM13"/>
  <sheetViews>
    <sheetView zoomScale="90" zoomScaleNormal="90" zoomScaleSheetLayoutView="92" zoomScalePageLayoutView="35" workbookViewId="0">
      <pane ySplit="3" topLeftCell="A4" activePane="bottomLeft" state="frozen"/>
      <selection pane="bottomLeft" activeCell="I7" sqref="I7"/>
    </sheetView>
  </sheetViews>
  <sheetFormatPr defaultColWidth="9.1796875" defaultRowHeight="20.25" customHeight="1"/>
  <cols>
    <col min="1" max="1" width="6.26953125" style="135" customWidth="1"/>
    <col min="2" max="2" width="16.453125" style="135" bestFit="1" customWidth="1"/>
    <col min="3" max="3" width="15.1796875" style="141" customWidth="1"/>
    <col min="4" max="4" width="16" style="135" customWidth="1"/>
    <col min="5" max="6" width="19.453125" style="135" customWidth="1"/>
    <col min="7" max="7" width="13.453125" style="135" customWidth="1"/>
    <col min="8" max="8" width="20.81640625" style="135" customWidth="1"/>
    <col min="9" max="9" width="12.453125" style="135" customWidth="1"/>
    <col min="10" max="10" width="44.453125" style="135" bestFit="1" customWidth="1"/>
    <col min="11" max="11" width="22.453125" style="135" bestFit="1" customWidth="1"/>
    <col min="12" max="12" width="18.81640625" style="135" bestFit="1" customWidth="1"/>
    <col min="13" max="13" width="9.81640625" style="135" customWidth="1"/>
    <col min="14" max="14" width="9.1796875" style="135"/>
    <col min="15" max="15" width="10.453125" style="135" customWidth="1"/>
    <col min="16" max="16384" width="9.1796875" style="135"/>
  </cols>
  <sheetData>
    <row r="1" spans="1:39" ht="20.25" customHeight="1">
      <c r="A1" s="445" t="s">
        <v>0</v>
      </c>
      <c r="B1" s="446"/>
      <c r="C1" s="446"/>
      <c r="D1" s="446"/>
      <c r="E1" s="446"/>
      <c r="F1" s="446"/>
      <c r="G1" s="446"/>
      <c r="H1" s="446"/>
      <c r="I1" s="446"/>
      <c r="J1" s="447"/>
    </row>
    <row r="2" spans="1:39" ht="20.25" customHeight="1">
      <c r="A2" s="554" t="s">
        <v>307</v>
      </c>
      <c r="B2" s="449"/>
      <c r="C2" s="449"/>
      <c r="D2" s="449"/>
      <c r="E2" s="449"/>
      <c r="F2" s="449"/>
      <c r="G2" s="449"/>
      <c r="H2" s="449"/>
      <c r="I2" s="449"/>
      <c r="J2" s="450"/>
      <c r="K2" s="136"/>
      <c r="L2" s="136"/>
    </row>
    <row r="3" spans="1:39" ht="39" customHeight="1">
      <c r="A3" s="223" t="s">
        <v>35</v>
      </c>
      <c r="B3" s="173" t="s">
        <v>36</v>
      </c>
      <c r="C3" s="173" t="s">
        <v>37</v>
      </c>
      <c r="D3" s="208" t="s">
        <v>129</v>
      </c>
      <c r="E3" s="208" t="s">
        <v>168</v>
      </c>
      <c r="F3" s="208" t="s">
        <v>195</v>
      </c>
      <c r="G3" s="208" t="s">
        <v>147</v>
      </c>
      <c r="H3" s="208" t="s">
        <v>169</v>
      </c>
      <c r="I3" s="208" t="s">
        <v>45</v>
      </c>
      <c r="J3" s="224" t="s">
        <v>47</v>
      </c>
    </row>
    <row r="4" spans="1:39" s="349" customFormat="1" ht="51" customHeight="1">
      <c r="A4" s="340">
        <v>1</v>
      </c>
      <c r="B4" s="341" t="s">
        <v>162</v>
      </c>
      <c r="C4" s="342" t="s">
        <v>163</v>
      </c>
      <c r="D4" s="343">
        <f>E4*1200</f>
        <v>0</v>
      </c>
      <c r="E4" s="344">
        <v>0</v>
      </c>
      <c r="F4" s="343"/>
      <c r="G4" s="345">
        <v>0</v>
      </c>
      <c r="H4" s="346">
        <f>0*750</f>
        <v>0</v>
      </c>
      <c r="I4" s="345">
        <f>ROUND((D4+H4)-G4,0)</f>
        <v>0</v>
      </c>
      <c r="J4" s="347" t="s">
        <v>209</v>
      </c>
      <c r="K4" s="348" t="s">
        <v>244</v>
      </c>
    </row>
    <row r="5" spans="1:39" s="165" customFormat="1" ht="51" customHeight="1">
      <c r="A5" s="225">
        <v>2</v>
      </c>
      <c r="B5" s="210" t="s">
        <v>210</v>
      </c>
      <c r="C5" s="209" t="s">
        <v>161</v>
      </c>
      <c r="D5" s="182">
        <f>E5*1050</f>
        <v>22050</v>
      </c>
      <c r="E5" s="211">
        <v>21</v>
      </c>
      <c r="F5" s="182"/>
      <c r="G5" s="172">
        <v>0</v>
      </c>
      <c r="H5" s="265"/>
      <c r="I5" s="345">
        <f t="shared" ref="I5:I9" si="0">ROUND((D5+H5)-G5,0)</f>
        <v>22050</v>
      </c>
      <c r="J5" s="214" t="s">
        <v>201</v>
      </c>
      <c r="K5" s="179" t="s">
        <v>245</v>
      </c>
    </row>
    <row r="6" spans="1:39" s="165" customFormat="1" ht="51" customHeight="1">
      <c r="A6" s="340">
        <v>3</v>
      </c>
      <c r="B6" s="210" t="s">
        <v>167</v>
      </c>
      <c r="C6" s="209" t="s">
        <v>161</v>
      </c>
      <c r="D6" s="182">
        <f>E6*1000</f>
        <v>6000</v>
      </c>
      <c r="E6" s="211">
        <v>6</v>
      </c>
      <c r="F6" s="182">
        <v>0</v>
      </c>
      <c r="G6" s="172">
        <v>0</v>
      </c>
      <c r="H6" s="265">
        <v>0</v>
      </c>
      <c r="I6" s="345">
        <f t="shared" si="0"/>
        <v>6000</v>
      </c>
      <c r="J6" s="214" t="s">
        <v>171</v>
      </c>
      <c r="K6" s="180" t="s">
        <v>151</v>
      </c>
    </row>
    <row r="7" spans="1:39" s="165" customFormat="1" ht="51" customHeight="1">
      <c r="A7" s="225">
        <v>4</v>
      </c>
      <c r="B7" s="210" t="s">
        <v>186</v>
      </c>
      <c r="C7" s="209" t="s">
        <v>159</v>
      </c>
      <c r="D7" s="182">
        <f>E7*1200</f>
        <v>0</v>
      </c>
      <c r="E7" s="211">
        <v>0</v>
      </c>
      <c r="F7" s="182"/>
      <c r="G7" s="172">
        <v>0</v>
      </c>
      <c r="H7" s="323">
        <f>0*100</f>
        <v>0</v>
      </c>
      <c r="I7" s="345">
        <f t="shared" si="0"/>
        <v>0</v>
      </c>
      <c r="J7" s="214" t="s">
        <v>256</v>
      </c>
      <c r="K7" s="180" t="s">
        <v>160</v>
      </c>
    </row>
    <row r="8" spans="1:39" s="165" customFormat="1" ht="51" customHeight="1">
      <c r="A8" s="340">
        <v>5</v>
      </c>
      <c r="B8" s="210" t="s">
        <v>187</v>
      </c>
      <c r="C8" s="209" t="s">
        <v>170</v>
      </c>
      <c r="D8" s="182">
        <f>E8*1000</f>
        <v>0</v>
      </c>
      <c r="E8" s="211">
        <v>0</v>
      </c>
      <c r="F8" s="182">
        <v>0</v>
      </c>
      <c r="G8" s="172">
        <v>0</v>
      </c>
      <c r="H8" s="265">
        <v>0</v>
      </c>
      <c r="I8" s="345">
        <f t="shared" si="0"/>
        <v>0</v>
      </c>
      <c r="J8" s="214" t="s">
        <v>197</v>
      </c>
      <c r="K8" s="180" t="s">
        <v>151</v>
      </c>
    </row>
    <row r="9" spans="1:39" ht="51" customHeight="1">
      <c r="A9" s="225">
        <v>6</v>
      </c>
      <c r="B9" s="210" t="s">
        <v>94</v>
      </c>
      <c r="C9" s="209" t="s">
        <v>95</v>
      </c>
      <c r="D9" s="182">
        <v>10000</v>
      </c>
      <c r="E9" s="182">
        <v>0</v>
      </c>
      <c r="F9" s="182">
        <v>0</v>
      </c>
      <c r="G9" s="172">
        <v>0</v>
      </c>
      <c r="H9" s="265">
        <v>0</v>
      </c>
      <c r="I9" s="345">
        <f t="shared" si="0"/>
        <v>10000</v>
      </c>
      <c r="J9" s="214" t="s">
        <v>202</v>
      </c>
      <c r="K9" s="125" t="s">
        <v>246</v>
      </c>
    </row>
    <row r="10" spans="1:39" s="137" customFormat="1" ht="51" customHeight="1">
      <c r="A10" s="554" t="s">
        <v>29</v>
      </c>
      <c r="B10" s="449"/>
      <c r="C10" s="449"/>
      <c r="D10" s="213">
        <f t="shared" ref="D10:I10" si="1">SUM(D4:D9)</f>
        <v>38050</v>
      </c>
      <c r="E10" s="213">
        <f t="shared" si="1"/>
        <v>27</v>
      </c>
      <c r="F10" s="213">
        <f t="shared" si="1"/>
        <v>0</v>
      </c>
      <c r="G10" s="213">
        <f t="shared" si="1"/>
        <v>0</v>
      </c>
      <c r="H10" s="213">
        <f t="shared" si="1"/>
        <v>0</v>
      </c>
      <c r="I10" s="213">
        <f t="shared" si="1"/>
        <v>38050</v>
      </c>
      <c r="J10" s="226"/>
    </row>
    <row r="11" spans="1:39" s="140" customFormat="1" ht="91" customHeight="1" thickBot="1">
      <c r="A11" s="555" t="s">
        <v>253</v>
      </c>
      <c r="B11" s="556"/>
      <c r="C11" s="556"/>
      <c r="D11" s="556"/>
      <c r="E11" s="556"/>
      <c r="F11" s="556"/>
      <c r="G11" s="556"/>
      <c r="H11" s="556"/>
      <c r="I11" s="556"/>
      <c r="J11" s="557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9"/>
    </row>
    <row r="13" spans="1:39" ht="20.25" customHeight="1">
      <c r="C13" s="135"/>
    </row>
  </sheetData>
  <autoFilter ref="AE3:AF90" xr:uid="{00000000-0009-0000-0000-00000C000000}"/>
  <mergeCells count="4">
    <mergeCell ref="A1:J1"/>
    <mergeCell ref="A2:J2"/>
    <mergeCell ref="A10:C10"/>
    <mergeCell ref="A11:J11"/>
  </mergeCells>
  <conditionalFormatting sqref="K12:M73">
    <cfRule type="cellIs" dxfId="5" priority="1" stopIfTrue="1" operator="equal">
      <formula>"ER"</formula>
    </cfRule>
  </conditionalFormatting>
  <conditionalFormatting sqref="M4:M5 I4:I9 K6:M8 L9:M9 K10:M10 I12:I73">
    <cfRule type="cellIs" dxfId="4" priority="2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74" fitToHeight="0" orientation="landscape"/>
  <rowBreaks count="4" manualBreakCount="4">
    <brk id="15" max="16383" man="1"/>
    <brk id="24" max="16383" man="1"/>
    <brk id="35" max="8" man="1"/>
    <brk id="51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-0.499984740745262"/>
    <pageSetUpPr fitToPage="1"/>
  </sheetPr>
  <dimension ref="A1:M7"/>
  <sheetViews>
    <sheetView zoomScaleNormal="100" zoomScaleSheetLayoutView="85" zoomScalePageLayoutView="35" workbookViewId="0">
      <pane ySplit="3" topLeftCell="A4" activePane="bottomLeft" state="frozen"/>
      <selection pane="bottomLeft" activeCell="K9" sqref="K9"/>
    </sheetView>
  </sheetViews>
  <sheetFormatPr defaultColWidth="9.1796875" defaultRowHeight="39" customHeight="1"/>
  <cols>
    <col min="1" max="1" width="5.453125" style="18" customWidth="1"/>
    <col min="2" max="2" width="12.453125" style="18" customWidth="1"/>
    <col min="3" max="3" width="11.453125" style="19" customWidth="1"/>
    <col min="4" max="4" width="12.1796875" style="18" customWidth="1"/>
    <col min="5" max="5" width="12.81640625" style="16" customWidth="1"/>
    <col min="6" max="6" width="21.453125" style="18" customWidth="1"/>
    <col min="7" max="7" width="13.453125" style="18" customWidth="1"/>
    <col min="8" max="8" width="18.453125" style="18" customWidth="1"/>
    <col min="9" max="9" width="14.81640625" style="18" customWidth="1"/>
    <col min="10" max="10" width="16.453125" style="18" customWidth="1"/>
    <col min="11" max="11" width="15.81640625" style="18" customWidth="1"/>
    <col min="12" max="12" width="11" style="18" customWidth="1"/>
    <col min="13" max="13" width="42.81640625" style="18" customWidth="1"/>
    <col min="14" max="16384" width="9.1796875" style="18"/>
  </cols>
  <sheetData>
    <row r="1" spans="1:13" ht="28.75" customHeight="1">
      <c r="A1" s="558" t="s">
        <v>0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60"/>
    </row>
    <row r="2" spans="1:13" ht="39" customHeight="1">
      <c r="A2" s="561" t="s">
        <v>308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3"/>
    </row>
    <row r="3" spans="1:13" s="14" customFormat="1" ht="39" customHeight="1">
      <c r="A3" s="20" t="s">
        <v>35</v>
      </c>
      <c r="B3" s="21" t="s">
        <v>36</v>
      </c>
      <c r="C3" s="21" t="s">
        <v>37</v>
      </c>
      <c r="D3" s="22" t="s">
        <v>129</v>
      </c>
      <c r="E3" s="22" t="s">
        <v>144</v>
      </c>
      <c r="F3" s="22" t="s">
        <v>206</v>
      </c>
      <c r="G3" s="22" t="s">
        <v>132</v>
      </c>
      <c r="H3" s="22" t="s">
        <v>133</v>
      </c>
      <c r="I3" s="22" t="s">
        <v>134</v>
      </c>
      <c r="J3" s="22" t="s">
        <v>194</v>
      </c>
      <c r="K3" s="22" t="s">
        <v>148</v>
      </c>
      <c r="L3" s="22" t="s">
        <v>45</v>
      </c>
      <c r="M3" s="30" t="s">
        <v>47</v>
      </c>
    </row>
    <row r="4" spans="1:13" s="15" customFormat="1" ht="39" customHeight="1">
      <c r="A4" s="23">
        <v>1</v>
      </c>
      <c r="B4" s="24" t="s">
        <v>172</v>
      </c>
      <c r="C4" s="25" t="s">
        <v>173</v>
      </c>
      <c r="D4" s="26">
        <v>60000</v>
      </c>
      <c r="E4" s="26">
        <v>7</v>
      </c>
      <c r="F4" s="27">
        <v>0</v>
      </c>
      <c r="G4" s="27">
        <v>0</v>
      </c>
      <c r="H4" s="27">
        <v>0</v>
      </c>
      <c r="I4" s="27">
        <v>0</v>
      </c>
      <c r="J4" s="26"/>
      <c r="K4" s="26">
        <f>F4++H4+J4</f>
        <v>0</v>
      </c>
      <c r="L4" s="26">
        <f>D4-K4</f>
        <v>60000</v>
      </c>
      <c r="M4" s="31" t="s">
        <v>328</v>
      </c>
    </row>
    <row r="5" spans="1:13" s="16" customFormat="1" ht="39" customHeight="1">
      <c r="A5" s="564" t="s">
        <v>29</v>
      </c>
      <c r="B5" s="565"/>
      <c r="C5" s="565"/>
      <c r="D5" s="28">
        <f>SUM(D4:D4)</f>
        <v>60000</v>
      </c>
      <c r="E5" s="28">
        <f t="shared" ref="E5:L5" si="0">SUM(E4:E4)</f>
        <v>7</v>
      </c>
      <c r="F5" s="28">
        <f t="shared" si="0"/>
        <v>0</v>
      </c>
      <c r="G5" s="28">
        <f t="shared" si="0"/>
        <v>0</v>
      </c>
      <c r="H5" s="28">
        <f t="shared" si="0"/>
        <v>0</v>
      </c>
      <c r="I5" s="28">
        <f t="shared" si="0"/>
        <v>0</v>
      </c>
      <c r="J5" s="28">
        <f t="shared" si="0"/>
        <v>0</v>
      </c>
      <c r="K5" s="28">
        <f t="shared" si="0"/>
        <v>0</v>
      </c>
      <c r="L5" s="28">
        <f t="shared" si="0"/>
        <v>60000</v>
      </c>
      <c r="M5" s="32" t="s">
        <v>79</v>
      </c>
    </row>
    <row r="6" spans="1:13" s="3" customFormat="1" ht="91" customHeight="1">
      <c r="A6" s="566" t="s">
        <v>31</v>
      </c>
      <c r="B6" s="567"/>
      <c r="C6" s="567"/>
      <c r="D6" s="12"/>
      <c r="E6" s="12"/>
      <c r="F6" s="12"/>
      <c r="G6" s="12"/>
      <c r="H6" s="567" t="s">
        <v>33</v>
      </c>
      <c r="I6" s="567"/>
      <c r="J6" s="12"/>
      <c r="K6" s="12"/>
      <c r="L6" s="12"/>
      <c r="M6" s="13" t="s">
        <v>81</v>
      </c>
    </row>
    <row r="7" spans="1:13" s="17" customFormat="1" ht="39" customHeight="1">
      <c r="C7" s="29"/>
    </row>
  </sheetData>
  <mergeCells count="5">
    <mergeCell ref="A1:M1"/>
    <mergeCell ref="A2:M2"/>
    <mergeCell ref="A5:C5"/>
    <mergeCell ref="A6:C6"/>
    <mergeCell ref="H6:I6"/>
  </mergeCells>
  <conditionalFormatting sqref="G4:G5 G7:G70">
    <cfRule type="cellIs" dxfId="3" priority="4" stopIfTrue="1" operator="equal">
      <formula>"ER"</formula>
    </cfRule>
  </conditionalFormatting>
  <conditionalFormatting sqref="I4:K5 I7:K70">
    <cfRule type="cellIs" dxfId="2" priority="3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65" fitToHeight="0" orientation="landscape"/>
  <rowBreaks count="4" manualBreakCount="4">
    <brk id="7" max="13" man="1"/>
    <brk id="21" max="16383" man="1"/>
    <brk id="32" max="13" man="1"/>
    <brk id="48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499984740745262"/>
    <pageSetUpPr fitToPage="1"/>
  </sheetPr>
  <dimension ref="A1:P7"/>
  <sheetViews>
    <sheetView zoomScale="80" zoomScaleNormal="80" zoomScaleSheetLayoutView="85" zoomScalePageLayoutView="35" workbookViewId="0">
      <pane ySplit="1" topLeftCell="A2" activePane="bottomLeft" state="frozen"/>
      <selection pane="bottomLeft" activeCell="D6" sqref="D6:N6"/>
    </sheetView>
  </sheetViews>
  <sheetFormatPr defaultColWidth="9.1796875" defaultRowHeight="39" customHeight="1"/>
  <cols>
    <col min="1" max="1" width="4.453125" style="67" bestFit="1" customWidth="1"/>
    <col min="2" max="2" width="10.1796875" style="67" bestFit="1" customWidth="1"/>
    <col min="3" max="3" width="14.453125" style="72" customWidth="1"/>
    <col min="4" max="4" width="10.453125" style="67" bestFit="1" customWidth="1"/>
    <col min="5" max="5" width="13.453125" style="73" bestFit="1" customWidth="1"/>
    <col min="6" max="6" width="9.453125" style="67" bestFit="1" customWidth="1"/>
    <col min="7" max="7" width="11.453125" style="67" bestFit="1" customWidth="1"/>
    <col min="8" max="8" width="14.453125" style="67" customWidth="1"/>
    <col min="9" max="9" width="13.26953125" style="67" customWidth="1"/>
    <col min="10" max="10" width="11" style="67" bestFit="1" customWidth="1"/>
    <col min="11" max="11" width="13.453125" style="67" bestFit="1" customWidth="1"/>
    <col min="12" max="12" width="12.26953125" style="67" customWidth="1"/>
    <col min="13" max="13" width="13.1796875" style="67" bestFit="1" customWidth="1"/>
    <col min="14" max="14" width="10.81640625" style="67" customWidth="1"/>
    <col min="15" max="15" width="42.1796875" style="67" customWidth="1"/>
    <col min="16" max="16" width="5.453125" style="67" bestFit="1" customWidth="1"/>
    <col min="17" max="17" width="9.1796875" style="67"/>
    <col min="18" max="18" width="5.1796875" style="67" bestFit="1" customWidth="1"/>
    <col min="19" max="16384" width="9.1796875" style="67"/>
  </cols>
  <sheetData>
    <row r="1" spans="1:16" s="66" customFormat="1" ht="39" customHeight="1">
      <c r="A1" s="568" t="s">
        <v>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70"/>
    </row>
    <row r="2" spans="1:16" ht="39" customHeight="1">
      <c r="A2" s="571" t="s">
        <v>309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3"/>
    </row>
    <row r="3" spans="1:16" ht="43.5">
      <c r="A3" s="278" t="s">
        <v>35</v>
      </c>
      <c r="B3" s="279" t="s">
        <v>36</v>
      </c>
      <c r="C3" s="279" t="s">
        <v>37</v>
      </c>
      <c r="D3" s="279" t="s">
        <v>129</v>
      </c>
      <c r="E3" s="279" t="s">
        <v>143</v>
      </c>
      <c r="F3" s="279" t="s">
        <v>177</v>
      </c>
      <c r="G3" s="282" t="s">
        <v>145</v>
      </c>
      <c r="H3" s="279" t="s">
        <v>132</v>
      </c>
      <c r="I3" s="279" t="s">
        <v>133</v>
      </c>
      <c r="J3" s="279" t="s">
        <v>146</v>
      </c>
      <c r="K3" s="279" t="s">
        <v>195</v>
      </c>
      <c r="L3" s="279" t="s">
        <v>147</v>
      </c>
      <c r="M3" s="279" t="s">
        <v>148</v>
      </c>
      <c r="N3" s="68" t="s">
        <v>45</v>
      </c>
      <c r="O3" s="285" t="s">
        <v>47</v>
      </c>
    </row>
    <row r="4" spans="1:16" s="75" customFormat="1" ht="77.5">
      <c r="A4" s="286">
        <v>1</v>
      </c>
      <c r="B4" s="215" t="s">
        <v>252</v>
      </c>
      <c r="C4" s="212" t="s">
        <v>174</v>
      </c>
      <c r="D4" s="182">
        <f>((18800+1880)+3000)/28*F4</f>
        <v>3382.8571428571427</v>
      </c>
      <c r="E4" s="283"/>
      <c r="F4" s="283">
        <v>4</v>
      </c>
      <c r="G4" s="283">
        <f>((18800+1880)+3000)/28</f>
        <v>845.71428571428567</v>
      </c>
      <c r="H4" s="283">
        <v>0</v>
      </c>
      <c r="I4" s="283">
        <v>0</v>
      </c>
      <c r="J4" s="284">
        <v>0</v>
      </c>
      <c r="K4" s="283">
        <v>0</v>
      </c>
      <c r="L4" s="283">
        <f>G4*J4</f>
        <v>0</v>
      </c>
      <c r="M4" s="283">
        <f>I4+L4+K4</f>
        <v>0</v>
      </c>
      <c r="N4" s="283">
        <f>ROUND(D4-M4,0)</f>
        <v>3383</v>
      </c>
      <c r="O4" s="214" t="s">
        <v>294</v>
      </c>
      <c r="P4" s="75" t="s">
        <v>160</v>
      </c>
    </row>
    <row r="5" spans="1:16" s="75" customFormat="1" ht="70" customHeight="1">
      <c r="A5" s="286">
        <v>2</v>
      </c>
      <c r="B5" s="215" t="s">
        <v>190</v>
      </c>
      <c r="C5" s="215" t="s">
        <v>191</v>
      </c>
      <c r="D5" s="283">
        <f>35000</f>
        <v>35000</v>
      </c>
      <c r="E5" s="283"/>
      <c r="F5" s="283">
        <v>11</v>
      </c>
      <c r="G5" s="283">
        <f>D5/28</f>
        <v>1250</v>
      </c>
      <c r="H5" s="283">
        <v>0</v>
      </c>
      <c r="I5" s="283">
        <v>0</v>
      </c>
      <c r="J5" s="284">
        <v>0</v>
      </c>
      <c r="K5" s="283">
        <v>0</v>
      </c>
      <c r="L5" s="283">
        <f>G5*J5</f>
        <v>0</v>
      </c>
      <c r="M5" s="283">
        <f>I5+L5+K5</f>
        <v>0</v>
      </c>
      <c r="N5" s="283">
        <f>ROUND(D5-M5,0)</f>
        <v>35000</v>
      </c>
      <c r="O5" s="216" t="s">
        <v>277</v>
      </c>
      <c r="P5" s="75" t="s">
        <v>160</v>
      </c>
    </row>
    <row r="6" spans="1:16" ht="39" customHeight="1">
      <c r="A6" s="571" t="s">
        <v>29</v>
      </c>
      <c r="B6" s="572"/>
      <c r="C6" s="572"/>
      <c r="D6" s="68">
        <f t="shared" ref="D6:N6" si="0">SUM(D4:D5)</f>
        <v>38382.857142857145</v>
      </c>
      <c r="E6" s="68">
        <f t="shared" si="0"/>
        <v>0</v>
      </c>
      <c r="F6" s="68">
        <f t="shared" si="0"/>
        <v>15</v>
      </c>
      <c r="G6" s="68">
        <f t="shared" si="0"/>
        <v>2095.7142857142858</v>
      </c>
      <c r="H6" s="68">
        <f t="shared" si="0"/>
        <v>0</v>
      </c>
      <c r="I6" s="68">
        <f t="shared" si="0"/>
        <v>0</v>
      </c>
      <c r="J6" s="68">
        <f t="shared" si="0"/>
        <v>0</v>
      </c>
      <c r="K6" s="68">
        <f t="shared" si="0"/>
        <v>0</v>
      </c>
      <c r="L6" s="68">
        <f t="shared" si="0"/>
        <v>0</v>
      </c>
      <c r="M6" s="68">
        <f t="shared" si="0"/>
        <v>0</v>
      </c>
      <c r="N6" s="68">
        <f t="shared" si="0"/>
        <v>38383</v>
      </c>
      <c r="O6" s="69" t="s">
        <v>79</v>
      </c>
    </row>
    <row r="7" spans="1:16" s="71" customFormat="1" ht="75" customHeight="1" thickBot="1">
      <c r="A7" s="574" t="s">
        <v>31</v>
      </c>
      <c r="B7" s="575"/>
      <c r="C7" s="70"/>
      <c r="D7" s="70"/>
      <c r="E7" s="70"/>
      <c r="F7" s="70"/>
      <c r="G7" s="70"/>
      <c r="H7" s="575"/>
      <c r="I7" s="575"/>
      <c r="J7" s="70"/>
      <c r="K7" s="70"/>
      <c r="L7" s="70"/>
      <c r="M7" s="70"/>
      <c r="N7" s="575" t="s">
        <v>81</v>
      </c>
      <c r="O7" s="576"/>
    </row>
  </sheetData>
  <mergeCells count="6">
    <mergeCell ref="A1:O1"/>
    <mergeCell ref="A2:O2"/>
    <mergeCell ref="A6:C6"/>
    <mergeCell ref="A7:B7"/>
    <mergeCell ref="H7:I7"/>
    <mergeCell ref="N7:O7"/>
  </mergeCells>
  <conditionalFormatting sqref="H4:H5 K4:M5 G8:G62">
    <cfRule type="cellIs" dxfId="1" priority="3" stopIfTrue="1" operator="equal">
      <formula>"ER"</formula>
    </cfRule>
  </conditionalFormatting>
  <conditionalFormatting sqref="I8:K62">
    <cfRule type="cellIs" dxfId="0" priority="2" stopIfTrue="1" operator="equal">
      <formula>"ER"</formula>
    </cfRule>
  </conditionalFormatting>
  <printOptions horizontalCentered="1"/>
  <pageMargins left="0" right="0" top="0.23622047244094499" bottom="0" header="0.31496062992126" footer="0"/>
  <pageSetup paperSize="9" scale="67" fitToHeight="0" orientation="landscape"/>
  <rowBreaks count="3" manualBreakCount="3">
    <brk id="13" max="16383" man="1"/>
    <brk id="24" max="13" man="1"/>
    <brk id="4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27</vt:i4>
      </vt:variant>
    </vt:vector>
  </HeadingPairs>
  <TitlesOfParts>
    <vt:vector size="44" baseType="lpstr">
      <vt:lpstr>Overall - Top sheet</vt:lpstr>
      <vt:lpstr>Academics</vt:lpstr>
      <vt:lpstr>Relieved Academics</vt:lpstr>
      <vt:lpstr>Admin</vt:lpstr>
      <vt:lpstr>Relieved Admin</vt:lpstr>
      <vt:lpstr>Drivers</vt:lpstr>
      <vt:lpstr>Conductors</vt:lpstr>
      <vt:lpstr>Securities</vt:lpstr>
      <vt:lpstr>House Keeping</vt:lpstr>
      <vt:lpstr>Hostel</vt:lpstr>
      <vt:lpstr>ECA - Regular</vt:lpstr>
      <vt:lpstr> Part Time - Academics</vt:lpstr>
      <vt:lpstr>Aca +ECA = Spl</vt:lpstr>
      <vt:lpstr>Theni - Upparpatti</vt:lpstr>
      <vt:lpstr>AEP</vt:lpstr>
      <vt:lpstr>Rifle</vt:lpstr>
      <vt:lpstr>Part Time - Admin</vt:lpstr>
      <vt:lpstr>' Part Time - Academics'!Print_Area</vt:lpstr>
      <vt:lpstr>'Aca +ECA = Spl'!Print_Area</vt:lpstr>
      <vt:lpstr>Academics!Print_Area</vt:lpstr>
      <vt:lpstr>Admin!Print_Area</vt:lpstr>
      <vt:lpstr>AEP!Print_Area</vt:lpstr>
      <vt:lpstr>Conductors!Print_Area</vt:lpstr>
      <vt:lpstr>Drivers!Print_Area</vt:lpstr>
      <vt:lpstr>'ECA - Regular'!Print_Area</vt:lpstr>
      <vt:lpstr>'House Keeping'!Print_Area</vt:lpstr>
      <vt:lpstr>'Overall - Top sheet'!Print_Area</vt:lpstr>
      <vt:lpstr>'Relieved Academics'!Print_Area</vt:lpstr>
      <vt:lpstr>Securities!Print_Area</vt:lpstr>
      <vt:lpstr>'Theni - Upparpatti'!Print_Area</vt:lpstr>
      <vt:lpstr>' Part Time - Academics'!Print_Titles</vt:lpstr>
      <vt:lpstr>'Aca +ECA = Spl'!Print_Titles</vt:lpstr>
      <vt:lpstr>Academics!Print_Titles</vt:lpstr>
      <vt:lpstr>Admin!Print_Titles</vt:lpstr>
      <vt:lpstr>AEP!Print_Titles</vt:lpstr>
      <vt:lpstr>Conductors!Print_Titles</vt:lpstr>
      <vt:lpstr>Drivers!Print_Titles</vt:lpstr>
      <vt:lpstr>'ECA - Regular'!Print_Titles</vt:lpstr>
      <vt:lpstr>'House Keeping'!Print_Titles</vt:lpstr>
      <vt:lpstr>'Relieved Academics'!Print_Titles</vt:lpstr>
      <vt:lpstr>'Relieved Admin'!Print_Titles</vt:lpstr>
      <vt:lpstr>Rifle!Print_Titles</vt:lpstr>
      <vt:lpstr>Securities!Print_Titles</vt:lpstr>
      <vt:lpstr>'Theni - Upparpatti'!Print_Titles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Sathish Kumar</cp:lastModifiedBy>
  <cp:lastPrinted>2026-03-04T10:21:05Z</cp:lastPrinted>
  <dcterms:created xsi:type="dcterms:W3CDTF">2024-05-23T05:01:00Z</dcterms:created>
  <dcterms:modified xsi:type="dcterms:W3CDTF">2026-03-13T06:14:23Z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90ee5aaf-dbf1-4b16-9acd-ecf21e9f3be4</vt:lpwstr>
  </property>
  <property fmtid="{D5CDD505-2E9C-101B-9397-08002B2CF9AE}" pid="3" name="ICV">
    <vt:lpwstr>FA6431AFD1B74CD387B038EB8070E668_12</vt:lpwstr>
  </property>
  <property fmtid="{D5CDD505-2E9C-101B-9397-08002B2CF9AE}" pid="4" name="KSOProductBuildVer">
    <vt:lpwstr>2057-12.2.0.18639</vt:lpwstr>
  </property>
</Properties>
</file>