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sers\Admin\Desktop\New folder\"/>
    </mc:Choice>
  </mc:AlternateContent>
  <xr:revisionPtr revIDLastSave="0" documentId="13_ncr:1_{3E5FD0C7-8008-4F32-90A5-2EDCC7E43EC8}" xr6:coauthVersionLast="47" xr6:coauthVersionMax="47" xr10:uidLastSave="{00000000-0000-0000-0000-000000000000}"/>
  <bookViews>
    <workbookView xWindow="-108" yWindow="-108" windowWidth="23256" windowHeight="12456" firstSheet="1" activeTab="7" xr2:uid="{00000000-000D-0000-FFFF-FFFF00000000}"/>
  </bookViews>
  <sheets>
    <sheet name="2BJune " sheetId="1" r:id="rId1"/>
    <sheet name="2B July" sheetId="2" r:id="rId2"/>
    <sheet name="2B August" sheetId="6" r:id="rId3"/>
    <sheet name="2B September" sheetId="8" r:id="rId4"/>
    <sheet name="2B October" sheetId="11" r:id="rId5"/>
    <sheet name="2B November" sheetId="14" r:id="rId6"/>
    <sheet name="2B December" sheetId="13" r:id="rId7"/>
    <sheet name="2B January" sheetId="17" r:id="rId8"/>
  </sheets>
  <definedNames>
    <definedName name="_xlnm.Print_Titles" localSheetId="7">'2B January'!$2:$4</definedName>
  </definedNames>
  <calcPr calcId="191029"/>
</workbook>
</file>

<file path=xl/calcChain.xml><?xml version="1.0" encoding="utf-8"?>
<calcChain xmlns="http://schemas.openxmlformats.org/spreadsheetml/2006/main">
  <c r="U17" i="17" l="1"/>
  <c r="U13" i="17"/>
  <c r="U12" i="17"/>
  <c r="U11" i="17"/>
  <c r="S43" i="17"/>
  <c r="R43" i="17"/>
  <c r="Q43" i="17"/>
  <c r="P43" i="17"/>
  <c r="O43" i="17"/>
  <c r="M43" i="17"/>
  <c r="L43" i="17"/>
  <c r="K43" i="17"/>
  <c r="J43" i="17"/>
  <c r="I43" i="17"/>
  <c r="H43" i="17"/>
  <c r="G43" i="17"/>
  <c r="F43" i="17"/>
  <c r="E43" i="17"/>
  <c r="D43" i="17"/>
  <c r="C43" i="17"/>
  <c r="U40" i="17"/>
  <c r="U39" i="17"/>
  <c r="U34" i="17"/>
  <c r="U32" i="17"/>
  <c r="U30" i="17"/>
  <c r="U28" i="17"/>
  <c r="U27" i="17"/>
  <c r="U26" i="17"/>
  <c r="U24" i="17"/>
  <c r="U22" i="17"/>
  <c r="U21" i="17"/>
  <c r="U19" i="17"/>
  <c r="U10" i="17"/>
  <c r="U8" i="17"/>
  <c r="U7" i="17"/>
  <c r="U6" i="17"/>
  <c r="U43" i="17" l="1"/>
  <c r="U7" i="14" l="1"/>
  <c r="U8" i="14"/>
  <c r="U9" i="14"/>
  <c r="U11" i="14"/>
  <c r="U12" i="14"/>
  <c r="U15" i="14"/>
  <c r="U16" i="14"/>
  <c r="U18" i="14"/>
  <c r="U20" i="14"/>
  <c r="U22" i="14"/>
  <c r="U23" i="14"/>
  <c r="U25" i="14"/>
  <c r="U27" i="14"/>
  <c r="U28" i="14"/>
  <c r="U29" i="14"/>
  <c r="U31" i="14"/>
  <c r="U33" i="14"/>
  <c r="U35" i="14"/>
  <c r="U40" i="14"/>
  <c r="U41" i="14"/>
  <c r="C44" i="14"/>
  <c r="D44" i="14"/>
  <c r="E44" i="14"/>
  <c r="F44" i="14"/>
  <c r="G44" i="14"/>
  <c r="H44" i="14"/>
  <c r="I44" i="14"/>
  <c r="J44" i="14"/>
  <c r="K44" i="14"/>
  <c r="L44" i="14"/>
  <c r="M44" i="14"/>
  <c r="O44" i="14"/>
  <c r="P44" i="14"/>
  <c r="Q44" i="14"/>
  <c r="R44" i="14"/>
  <c r="S44" i="14"/>
  <c r="T44" i="14"/>
  <c r="U44" i="14"/>
  <c r="T43" i="13"/>
  <c r="S43" i="13"/>
  <c r="R43" i="13"/>
  <c r="Q43" i="13"/>
  <c r="P43" i="13"/>
  <c r="O43" i="13"/>
  <c r="M43" i="13"/>
  <c r="L43" i="13"/>
  <c r="K43" i="13"/>
  <c r="J43" i="13"/>
  <c r="I43" i="13"/>
  <c r="H43" i="13"/>
  <c r="G43" i="13"/>
  <c r="F43" i="13"/>
  <c r="E43" i="13"/>
  <c r="D43" i="13"/>
  <c r="C43" i="13"/>
  <c r="U40" i="13"/>
  <c r="U39" i="13"/>
  <c r="U34" i="13"/>
  <c r="U32" i="13"/>
  <c r="U30" i="13"/>
  <c r="U28" i="13"/>
  <c r="U27" i="13"/>
  <c r="U26" i="13"/>
  <c r="U24" i="13"/>
  <c r="U22" i="13"/>
  <c r="U21" i="13"/>
  <c r="U19" i="13"/>
  <c r="U10" i="13"/>
  <c r="U8" i="13"/>
  <c r="U7" i="13"/>
  <c r="U6" i="13"/>
  <c r="U6" i="11"/>
  <c r="U7" i="11"/>
  <c r="U8" i="11"/>
  <c r="U10" i="11"/>
  <c r="U14" i="11"/>
  <c r="U19" i="11"/>
  <c r="U21" i="11"/>
  <c r="U22" i="11"/>
  <c r="U24" i="11"/>
  <c r="U26" i="11"/>
  <c r="U27" i="11"/>
  <c r="U28" i="11"/>
  <c r="U30" i="11"/>
  <c r="U32" i="11"/>
  <c r="U34" i="11"/>
  <c r="U39" i="11"/>
  <c r="U40" i="11"/>
  <c r="C43" i="11"/>
  <c r="D43" i="11"/>
  <c r="E43" i="11"/>
  <c r="F43" i="11"/>
  <c r="G43" i="11"/>
  <c r="H43" i="11"/>
  <c r="I43" i="11"/>
  <c r="J43" i="11"/>
  <c r="K43" i="11"/>
  <c r="L43" i="11"/>
  <c r="M43" i="11"/>
  <c r="O43" i="11"/>
  <c r="P43" i="11"/>
  <c r="Q43" i="11"/>
  <c r="R43" i="11"/>
  <c r="S43" i="11"/>
  <c r="T43" i="11"/>
  <c r="U43" i="11"/>
  <c r="U44" i="8"/>
  <c r="T44" i="8"/>
  <c r="S44" i="8"/>
  <c r="R44" i="8"/>
  <c r="Q44" i="8"/>
  <c r="P44" i="8"/>
  <c r="O44" i="8"/>
  <c r="M44" i="8"/>
  <c r="L44" i="8"/>
  <c r="K44" i="8"/>
  <c r="J44" i="8"/>
  <c r="I44" i="8"/>
  <c r="H44" i="8"/>
  <c r="G44" i="8"/>
  <c r="F44" i="8"/>
  <c r="E44" i="8"/>
  <c r="D44" i="8"/>
  <c r="C44" i="8"/>
  <c r="V44" i="8" s="1"/>
  <c r="V41" i="8"/>
  <c r="V40" i="8"/>
  <c r="V35" i="8"/>
  <c r="V33" i="8"/>
  <c r="V31" i="8"/>
  <c r="V29" i="8"/>
  <c r="V28" i="8"/>
  <c r="V27" i="8"/>
  <c r="V25" i="8"/>
  <c r="V23" i="8"/>
  <c r="V22" i="8"/>
  <c r="V20" i="8"/>
  <c r="V18" i="8"/>
  <c r="V14" i="8"/>
  <c r="V13" i="8"/>
  <c r="V11" i="8"/>
  <c r="V9" i="8"/>
  <c r="V8" i="8"/>
  <c r="V7" i="8"/>
  <c r="U44" i="6"/>
  <c r="T44" i="6"/>
  <c r="S44" i="6"/>
  <c r="R44" i="6"/>
  <c r="Q44" i="6"/>
  <c r="P44" i="6"/>
  <c r="O44" i="6"/>
  <c r="M44" i="6"/>
  <c r="L44" i="6"/>
  <c r="K44" i="6"/>
  <c r="J44" i="6"/>
  <c r="I44" i="6"/>
  <c r="H44" i="6"/>
  <c r="G44" i="6"/>
  <c r="F44" i="6"/>
  <c r="E44" i="6"/>
  <c r="D44" i="6"/>
  <c r="C44" i="6"/>
  <c r="V44" i="6" s="1"/>
  <c r="V41" i="6"/>
  <c r="V40" i="6"/>
  <c r="V33" i="6"/>
  <c r="V31" i="6"/>
  <c r="V29" i="6"/>
  <c r="V28" i="6"/>
  <c r="V27" i="6"/>
  <c r="V25" i="6"/>
  <c r="V23" i="6"/>
  <c r="V22" i="6"/>
  <c r="V20" i="6"/>
  <c r="V15" i="6"/>
  <c r="V14" i="6"/>
  <c r="V13" i="6"/>
  <c r="V12" i="6"/>
  <c r="V11" i="6"/>
  <c r="V9" i="6"/>
  <c r="V8" i="6"/>
  <c r="V7" i="6"/>
  <c r="D44" i="2"/>
  <c r="C44" i="2"/>
  <c r="E44" i="2"/>
  <c r="F44" i="2"/>
  <c r="W25" i="2"/>
  <c r="W15" i="2"/>
  <c r="W7" i="2"/>
  <c r="W40" i="2"/>
  <c r="W33" i="2"/>
  <c r="W35" i="2"/>
  <c r="W8" i="2"/>
  <c r="W9" i="2"/>
  <c r="W11" i="2"/>
  <c r="W16" i="2"/>
  <c r="W20" i="2"/>
  <c r="W22" i="2"/>
  <c r="W23" i="2"/>
  <c r="W27" i="2"/>
  <c r="W28" i="2"/>
  <c r="W29" i="2"/>
  <c r="W31" i="2"/>
  <c r="W41" i="2"/>
  <c r="G44" i="2"/>
  <c r="H44" i="2"/>
  <c r="I44" i="2"/>
  <c r="J44" i="2"/>
  <c r="K44" i="2"/>
  <c r="L44" i="2"/>
  <c r="M44" i="2"/>
  <c r="N44" i="2"/>
  <c r="P44" i="2"/>
  <c r="Q44" i="2"/>
  <c r="R44" i="2"/>
  <c r="S44" i="2"/>
  <c r="T44" i="2"/>
  <c r="U44" i="2"/>
  <c r="V44" i="2"/>
  <c r="I44" i="1"/>
  <c r="V44" i="1"/>
  <c r="U44" i="1"/>
  <c r="T44" i="1"/>
  <c r="S44" i="1"/>
  <c r="R44" i="1"/>
  <c r="Q44" i="1"/>
  <c r="P44" i="1"/>
  <c r="N44" i="1"/>
  <c r="M44" i="1"/>
  <c r="L44" i="1"/>
  <c r="K44" i="1"/>
  <c r="J44" i="1"/>
  <c r="H44" i="1"/>
  <c r="G44" i="1"/>
  <c r="F44" i="1"/>
  <c r="E44" i="1"/>
  <c r="D44" i="1"/>
  <c r="C44" i="1"/>
  <c r="W41" i="1"/>
  <c r="W40" i="1"/>
  <c r="W33" i="1"/>
  <c r="W31" i="1"/>
  <c r="W29" i="1"/>
  <c r="W28" i="1"/>
  <c r="W27" i="1"/>
  <c r="W25" i="1"/>
  <c r="W23" i="1"/>
  <c r="W22" i="1"/>
  <c r="W20" i="1"/>
  <c r="W15" i="1"/>
  <c r="W11" i="1"/>
  <c r="W9" i="1"/>
  <c r="W8" i="1"/>
  <c r="W7" i="1"/>
  <c r="U43" i="13" l="1"/>
  <c r="W44" i="2"/>
  <c r="W44" i="1"/>
</calcChain>
</file>

<file path=xl/sharedStrings.xml><?xml version="1.0" encoding="utf-8"?>
<sst xmlns="http://schemas.openxmlformats.org/spreadsheetml/2006/main" count="2296" uniqueCount="122">
  <si>
    <t>Queen Mira International School</t>
  </si>
  <si>
    <t>Overall 3 Point Scale Rating</t>
  </si>
  <si>
    <t>Sub Parameter</t>
  </si>
  <si>
    <t>1. Punctuality</t>
  </si>
  <si>
    <t xml:space="preserve">1.a. </t>
  </si>
  <si>
    <t>Attendance</t>
  </si>
  <si>
    <t>NA</t>
  </si>
  <si>
    <t xml:space="preserve">1.b. </t>
  </si>
  <si>
    <t>Accomplishing Home Work / Assignments on time</t>
  </si>
  <si>
    <t xml:space="preserve">1.c. </t>
  </si>
  <si>
    <t>On time reporting</t>
  </si>
  <si>
    <t xml:space="preserve">2.a. </t>
  </si>
  <si>
    <t>Classroom activity</t>
  </si>
  <si>
    <t xml:space="preserve">2.b. </t>
  </si>
  <si>
    <t>Interschool activity</t>
  </si>
  <si>
    <t xml:space="preserve">2.c. </t>
  </si>
  <si>
    <t>Co curriculur activities (Performance Arts)</t>
  </si>
  <si>
    <t xml:space="preserve">2.d. </t>
  </si>
  <si>
    <t>Co curricular activities (Martial Arts)</t>
  </si>
  <si>
    <t xml:space="preserve">2.e. </t>
  </si>
  <si>
    <t>Interactions during Special programs</t>
  </si>
  <si>
    <t xml:space="preserve">2.f. </t>
  </si>
  <si>
    <t>Inter House competitions</t>
  </si>
  <si>
    <t xml:space="preserve">2.g. </t>
  </si>
  <si>
    <t>Assembly Performance</t>
  </si>
  <si>
    <t xml:space="preserve">2.h. </t>
  </si>
  <si>
    <t>BFIT</t>
  </si>
  <si>
    <t>3. Classroom Behaviour</t>
  </si>
  <si>
    <t xml:space="preserve">3.a. </t>
  </si>
  <si>
    <t>Classroom Behaviour</t>
  </si>
  <si>
    <t>4. Health and Hygiene</t>
  </si>
  <si>
    <t xml:space="preserve">4.a. </t>
  </si>
  <si>
    <t>Personal Grooming</t>
  </si>
  <si>
    <t xml:space="preserve">4.b. </t>
  </si>
  <si>
    <t>Nutritious Diet</t>
  </si>
  <si>
    <t>5. Table Etiquette</t>
  </si>
  <si>
    <t xml:space="preserve">5.a. </t>
  </si>
  <si>
    <t>Table Etiquette</t>
  </si>
  <si>
    <t>6. Handling Resources</t>
  </si>
  <si>
    <t xml:space="preserve">6.a. </t>
  </si>
  <si>
    <t>Maintenance of books &amp; notebooks</t>
  </si>
  <si>
    <t xml:space="preserve">6.b. </t>
  </si>
  <si>
    <t>Classroom resources</t>
  </si>
  <si>
    <t xml:space="preserve">6.c. </t>
  </si>
  <si>
    <t>Personal objects</t>
  </si>
  <si>
    <t>7. Communication in English</t>
  </si>
  <si>
    <t xml:space="preserve">7.a. </t>
  </si>
  <si>
    <t>Communication in English</t>
  </si>
  <si>
    <t>8. Socializing</t>
  </si>
  <si>
    <t xml:space="preserve">8.a. </t>
  </si>
  <si>
    <t>Socializing</t>
  </si>
  <si>
    <t>9. Academic Performance</t>
  </si>
  <si>
    <t xml:space="preserve">9.a. </t>
  </si>
  <si>
    <t>Assesments</t>
  </si>
  <si>
    <t>10 Creativity</t>
  </si>
  <si>
    <t xml:space="preserve">10.a. </t>
  </si>
  <si>
    <t>Student's Blog</t>
  </si>
  <si>
    <t xml:space="preserve">10.b. </t>
  </si>
  <si>
    <t>Bulletin Board</t>
  </si>
  <si>
    <t>11. Leadership</t>
  </si>
  <si>
    <t xml:space="preserve">11.a. </t>
  </si>
  <si>
    <t>Exhibiting Leadership</t>
  </si>
  <si>
    <t xml:space="preserve">11.b. </t>
  </si>
  <si>
    <t>Environmental Concern</t>
  </si>
  <si>
    <t>12. Library Usage</t>
  </si>
  <si>
    <t xml:space="preserve">12.a. </t>
  </si>
  <si>
    <t>Library Usage</t>
  </si>
  <si>
    <t>Star Titles</t>
  </si>
  <si>
    <t>Winner</t>
  </si>
  <si>
    <t>Runner up 1</t>
  </si>
  <si>
    <t>Runner up 2</t>
  </si>
  <si>
    <t>Star of the Month</t>
  </si>
  <si>
    <t>Academic Accolades</t>
  </si>
  <si>
    <t>Progressive Worker</t>
  </si>
  <si>
    <t>Creative Hearts</t>
  </si>
  <si>
    <t>Sports Star</t>
  </si>
  <si>
    <t>Readers are Leaders</t>
  </si>
  <si>
    <t>Class Mentor                  Coordinator                       VP                             Principal                    Senior Principal</t>
  </si>
  <si>
    <t>Assessments</t>
  </si>
  <si>
    <t>Arudhran A</t>
  </si>
  <si>
    <t>Ariyan S</t>
  </si>
  <si>
    <t>Brihatara.S</t>
  </si>
  <si>
    <t>Debinsha J</t>
  </si>
  <si>
    <t>Dharshik Mallarapu</t>
  </si>
  <si>
    <t>Dhasvanth B</t>
  </si>
  <si>
    <t>Dhivan Harid.V</t>
  </si>
  <si>
    <t>Dhuvarakesh.E</t>
  </si>
  <si>
    <t>Jaya Khumaran S</t>
  </si>
  <si>
    <t>Kevin Rajan C</t>
  </si>
  <si>
    <t xml:space="preserve">Khaythre S.M </t>
  </si>
  <si>
    <t>Mithra B</t>
  </si>
  <si>
    <t>Sai Krish J.K.J</t>
  </si>
  <si>
    <t>Sharveshwaran</t>
  </si>
  <si>
    <t>Visakamithran.B.S</t>
  </si>
  <si>
    <t>Yash Pranav.P</t>
  </si>
  <si>
    <t>Yazharuvi</t>
  </si>
  <si>
    <t>Class Mentor: Ms.Edith</t>
  </si>
  <si>
    <t>Star of the Month - June 2025</t>
  </si>
  <si>
    <t>Grade 2B</t>
  </si>
  <si>
    <t>Class Mentor - Ms.Edith</t>
  </si>
  <si>
    <t xml:space="preserve">Class Mentor                                                Coordinator                                                             Principal       </t>
  </si>
  <si>
    <t>Hemanth P</t>
  </si>
  <si>
    <t>Krishwanth.R</t>
  </si>
  <si>
    <t>Siddhartha MJ Krishna</t>
  </si>
  <si>
    <t>Yazharuvi.L</t>
  </si>
  <si>
    <t>Star of the Month - July 2025</t>
  </si>
  <si>
    <t>Star of the Month - August 2025</t>
  </si>
  <si>
    <t>1.a</t>
  </si>
  <si>
    <t>Star of the Month - August  2025</t>
  </si>
  <si>
    <t>Class Mentor: Ms Edith</t>
  </si>
  <si>
    <t>Class Mentor                      Facilitator                      Coordinator                           AVP                                        Principal</t>
  </si>
  <si>
    <t>Star of the Month - September 2025</t>
  </si>
  <si>
    <r>
      <t xml:space="preserve">Class Mentor          </t>
    </r>
    <r>
      <rPr>
        <sz val="10"/>
        <color theme="1"/>
        <rFont val="Times New Roman"/>
        <family val="1"/>
      </rPr>
      <t xml:space="preserve"> Facilitator  </t>
    </r>
    <r>
      <rPr>
        <b/>
        <sz val="10"/>
        <color theme="1"/>
        <rFont val="Times New Roman"/>
        <family val="1"/>
      </rPr>
      <t xml:space="preserve">                 Coordinator                           AVP                                        Principal</t>
    </r>
  </si>
  <si>
    <t>Star of the Month - October 2025</t>
  </si>
  <si>
    <r>
      <t>Class Mentor                 Facilitator</t>
    </r>
    <r>
      <rPr>
        <sz val="10"/>
        <color indexed="8"/>
        <rFont val="Times New Roman"/>
        <charset val="134"/>
      </rPr>
      <t xml:space="preserve">  </t>
    </r>
    <r>
      <rPr>
        <b/>
        <sz val="10"/>
        <color indexed="8"/>
        <rFont val="Times New Roman"/>
        <charset val="134"/>
      </rPr>
      <t xml:space="preserve">                         Coordinator                                AVP                                              Principal</t>
    </r>
  </si>
  <si>
    <t>Star of the Month - November 2025</t>
  </si>
  <si>
    <r>
      <t>Class Mentor               Facilitator</t>
    </r>
    <r>
      <rPr>
        <sz val="10"/>
        <color indexed="8"/>
        <rFont val="Times New Roman"/>
        <charset val="134"/>
      </rPr>
      <t xml:space="preserve">  </t>
    </r>
    <r>
      <rPr>
        <b/>
        <sz val="10"/>
        <color indexed="8"/>
        <rFont val="Times New Roman"/>
        <charset val="134"/>
      </rPr>
      <t xml:space="preserve">              Coordinator                                AVP                                    Principal</t>
    </r>
  </si>
  <si>
    <t>Star of the Month - December 2025</t>
  </si>
  <si>
    <t>2.Active Participation</t>
  </si>
  <si>
    <t>Star of the Month - January 2026</t>
  </si>
  <si>
    <t>Star of the Month - January  2026</t>
  </si>
  <si>
    <t>2. Classroom Behaviour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</si>
</sst>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6">
    <font>
      <sz val="11"/>
      <color theme="1"/>
      <name val="Calibri"/>
      <scheme val="minor"/>
    </font>
    <font>
      <b/>
      <sz val="10"/>
      <color theme="1"/>
      <name val="Times New Roman"/>
      <family val="1"/>
    </font>
    <font>
      <sz val="11"/>
      <name val="Calibri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0"/>
      <color theme="1"/>
      <name val="Times New Roman"/>
      <family val="1"/>
    </font>
    <font>
      <sz val="11"/>
      <name val="Calibri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sz val="11"/>
      <color indexed="8"/>
      <name val="Calibri"/>
      <charset val="134"/>
    </font>
    <font>
      <b/>
      <sz val="10"/>
      <color indexed="8"/>
      <name val="Times New Roman"/>
      <charset val="134"/>
    </font>
    <font>
      <sz val="12"/>
      <color indexed="8"/>
      <name val="Times New Roman"/>
      <charset val="134"/>
    </font>
    <font>
      <sz val="10"/>
      <color indexed="8"/>
      <name val="Times New Roman"/>
      <charset val="134"/>
    </font>
    <font>
      <b/>
      <sz val="10"/>
      <name val="Times New Roman"/>
      <charset val="134"/>
    </font>
    <font>
      <b/>
      <sz val="11"/>
      <color theme="1"/>
      <name val="Calibri"/>
      <family val="2"/>
      <scheme val="minor"/>
    </font>
    <font>
      <b/>
      <sz val="10"/>
      <color indexed="8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9BBB59"/>
      </patternFill>
    </fill>
    <fill>
      <patternFill patternType="solid">
        <fgColor rgb="FFFFFF00"/>
        <bgColor theme="0"/>
      </patternFill>
    </fill>
    <fill>
      <patternFill patternType="solid">
        <fgColor theme="0"/>
        <bgColor rgb="FFD8D8D8"/>
      </patternFill>
    </fill>
    <fill>
      <patternFill patternType="solid">
        <fgColor theme="0"/>
        <bgColor rgb="FFDBE5F1"/>
      </patternFill>
    </fill>
    <fill>
      <patternFill patternType="solid">
        <fgColor theme="2"/>
        <bgColor rgb="FF666666"/>
      </patternFill>
    </fill>
    <fill>
      <patternFill patternType="solid">
        <fgColor rgb="FFFFFF00"/>
        <bgColor rgb="FFFFFFFF"/>
      </patternFill>
    </fill>
    <fill>
      <patternFill patternType="solid">
        <fgColor theme="2"/>
        <bgColor rgb="FFDBE5F1"/>
      </patternFill>
    </fill>
    <fill>
      <patternFill patternType="solid">
        <fgColor rgb="FFDBE5F1"/>
        <bgColor indexed="64"/>
      </patternFill>
    </fill>
    <fill>
      <patternFill patternType="solid">
        <fgColor rgb="FFCCC0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8" fillId="0" borderId="13">
      <alignment vertical="center"/>
    </xf>
    <xf numFmtId="0" fontId="8" fillId="0" borderId="13"/>
    <xf numFmtId="0" fontId="8" fillId="0" borderId="13">
      <alignment vertical="center"/>
    </xf>
  </cellStyleXfs>
  <cellXfs count="257">
    <xf numFmtId="0" fontId="0" fillId="0" borderId="0" xfId="0"/>
    <xf numFmtId="0" fontId="3" fillId="0" borderId="0" xfId="0" applyFont="1"/>
    <xf numFmtId="0" fontId="1" fillId="0" borderId="7" xfId="0" applyFont="1" applyBorder="1" applyAlignment="1">
      <alignment horizontal="center" vertical="center"/>
    </xf>
    <xf numFmtId="0" fontId="4" fillId="0" borderId="0" xfId="0" applyFont="1"/>
    <xf numFmtId="0" fontId="3" fillId="0" borderId="0" xfId="0" applyFont="1" applyAlignment="1">
      <alignment textRotation="90"/>
    </xf>
    <xf numFmtId="0" fontId="1" fillId="3" borderId="12" xfId="0" applyFont="1" applyFill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/>
    </xf>
    <xf numFmtId="2" fontId="1" fillId="2" borderId="12" xfId="0" applyNumberFormat="1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2" fontId="1" fillId="2" borderId="7" xfId="0" applyNumberFormat="1" applyFont="1" applyFill="1" applyBorder="1" applyAlignment="1">
      <alignment horizontal="center" vertical="center"/>
    </xf>
    <xf numFmtId="2" fontId="5" fillId="0" borderId="7" xfId="0" applyNumberFormat="1" applyFont="1" applyBorder="1" applyAlignment="1">
      <alignment horizontal="center" vertical="center"/>
    </xf>
    <xf numFmtId="2" fontId="5" fillId="4" borderId="7" xfId="0" applyNumberFormat="1" applyFont="1" applyFill="1" applyBorder="1" applyAlignment="1">
      <alignment horizontal="center" vertical="center"/>
    </xf>
    <xf numFmtId="2" fontId="1" fillId="4" borderId="7" xfId="0" applyNumberFormat="1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2" fontId="1" fillId="5" borderId="7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5" borderId="13" xfId="0" applyNumberFormat="1" applyFont="1" applyFill="1" applyBorder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wrapText="1"/>
    </xf>
    <xf numFmtId="2" fontId="1" fillId="6" borderId="7" xfId="0" applyNumberFormat="1" applyFont="1" applyFill="1" applyBorder="1" applyAlignment="1">
      <alignment horizontal="center" vertical="center"/>
    </xf>
    <xf numFmtId="2" fontId="5" fillId="0" borderId="10" xfId="0" applyNumberFormat="1" applyFont="1" applyBorder="1" applyAlignment="1">
      <alignment horizontal="center" vertical="center"/>
    </xf>
    <xf numFmtId="2" fontId="5" fillId="0" borderId="12" xfId="0" applyNumberFormat="1" applyFont="1" applyBorder="1" applyAlignment="1">
      <alignment horizontal="center" vertical="center"/>
    </xf>
    <xf numFmtId="2" fontId="7" fillId="0" borderId="12" xfId="0" applyNumberFormat="1" applyFont="1" applyBorder="1" applyAlignment="1">
      <alignment horizontal="center" vertical="center"/>
    </xf>
    <xf numFmtId="2" fontId="7" fillId="4" borderId="7" xfId="0" applyNumberFormat="1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9" fillId="0" borderId="14" xfId="1" applyFont="1" applyBorder="1" applyAlignment="1">
      <alignment horizontal="center" vertical="center" textRotation="90"/>
    </xf>
    <xf numFmtId="0" fontId="9" fillId="7" borderId="14" xfId="1" applyFont="1" applyFill="1" applyBorder="1" applyAlignment="1">
      <alignment horizontal="center" vertical="center" textRotation="90"/>
    </xf>
    <xf numFmtId="0" fontId="10" fillId="8" borderId="14" xfId="1" applyFont="1" applyFill="1" applyBorder="1" applyAlignment="1">
      <alignment horizontal="center" vertical="center" textRotation="90"/>
    </xf>
    <xf numFmtId="2" fontId="0" fillId="0" borderId="0" xfId="0" applyNumberFormat="1"/>
    <xf numFmtId="2" fontId="7" fillId="0" borderId="14" xfId="0" applyNumberFormat="1" applyFont="1" applyBorder="1" applyAlignment="1">
      <alignment horizontal="center" vertical="center"/>
    </xf>
    <xf numFmtId="2" fontId="6" fillId="4" borderId="7" xfId="0" applyNumberFormat="1" applyFont="1" applyFill="1" applyBorder="1" applyAlignment="1">
      <alignment horizontal="center" vertical="center"/>
    </xf>
    <xf numFmtId="2" fontId="1" fillId="9" borderId="7" xfId="0" applyNumberFormat="1" applyFont="1" applyFill="1" applyBorder="1" applyAlignment="1">
      <alignment horizontal="center" vertical="center"/>
    </xf>
    <xf numFmtId="2" fontId="1" fillId="10" borderId="7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0" fillId="0" borderId="15" xfId="0" applyBorder="1"/>
    <xf numFmtId="2" fontId="1" fillId="11" borderId="15" xfId="0" applyNumberFormat="1" applyFont="1" applyFill="1" applyBorder="1" applyAlignment="1">
      <alignment horizontal="center" vertical="center"/>
    </xf>
    <xf numFmtId="0" fontId="13" fillId="0" borderId="13" xfId="2" applyFont="1"/>
    <xf numFmtId="0" fontId="8" fillId="0" borderId="13" xfId="2"/>
    <xf numFmtId="0" fontId="11" fillId="0" borderId="7" xfId="2" applyFont="1" applyBorder="1" applyAlignment="1">
      <alignment horizontal="center" vertical="center"/>
    </xf>
    <xf numFmtId="0" fontId="14" fillId="0" borderId="13" xfId="2" applyFont="1"/>
    <xf numFmtId="0" fontId="15" fillId="0" borderId="14" xfId="3" applyFont="1" applyBorder="1" applyAlignment="1">
      <alignment horizontal="center" vertical="center" textRotation="90"/>
    </xf>
    <xf numFmtId="0" fontId="15" fillId="7" borderId="14" xfId="3" applyFont="1" applyFill="1" applyBorder="1" applyAlignment="1">
      <alignment horizontal="center" vertical="center" textRotation="90"/>
    </xf>
    <xf numFmtId="0" fontId="16" fillId="8" borderId="14" xfId="3" applyFont="1" applyFill="1" applyBorder="1" applyAlignment="1">
      <alignment horizontal="center" vertical="center" textRotation="90"/>
    </xf>
    <xf numFmtId="0" fontId="13" fillId="0" borderId="13" xfId="2" applyFont="1" applyAlignment="1">
      <alignment textRotation="90"/>
    </xf>
    <xf numFmtId="0" fontId="11" fillId="3" borderId="12" xfId="2" applyFont="1" applyFill="1" applyBorder="1" applyAlignment="1">
      <alignment horizontal="center" vertical="center" wrapText="1"/>
    </xf>
    <xf numFmtId="2" fontId="17" fillId="0" borderId="12" xfId="2" applyNumberFormat="1" applyFont="1" applyBorder="1" applyAlignment="1">
      <alignment horizontal="center" vertical="center"/>
    </xf>
    <xf numFmtId="164" fontId="11" fillId="2" borderId="12" xfId="2" applyNumberFormat="1" applyFont="1" applyFill="1" applyBorder="1" applyAlignment="1">
      <alignment horizontal="center" vertical="center"/>
    </xf>
    <xf numFmtId="0" fontId="11" fillId="3" borderId="7" xfId="2" applyFont="1" applyFill="1" applyBorder="1" applyAlignment="1">
      <alignment horizontal="center" vertical="center" wrapText="1"/>
    </xf>
    <xf numFmtId="164" fontId="11" fillId="2" borderId="7" xfId="2" applyNumberFormat="1" applyFont="1" applyFill="1" applyBorder="1" applyAlignment="1">
      <alignment horizontal="center" vertical="center"/>
    </xf>
    <xf numFmtId="2" fontId="17" fillId="0" borderId="7" xfId="2" applyNumberFormat="1" applyFont="1" applyBorder="1" applyAlignment="1">
      <alignment horizontal="center" vertical="center"/>
    </xf>
    <xf numFmtId="2" fontId="17" fillId="4" borderId="7" xfId="2" applyNumberFormat="1" applyFont="1" applyFill="1" applyBorder="1" applyAlignment="1">
      <alignment horizontal="center" vertical="center"/>
    </xf>
    <xf numFmtId="164" fontId="11" fillId="4" borderId="7" xfId="2" applyNumberFormat="1" applyFont="1" applyFill="1" applyBorder="1" applyAlignment="1">
      <alignment horizontal="center" vertical="center"/>
    </xf>
    <xf numFmtId="164" fontId="17" fillId="4" borderId="7" xfId="2" applyNumberFormat="1" applyFont="1" applyFill="1" applyBorder="1" applyAlignment="1">
      <alignment horizontal="center" vertical="center"/>
    </xf>
    <xf numFmtId="164" fontId="17" fillId="0" borderId="7" xfId="2" applyNumberFormat="1" applyFont="1" applyBorder="1" applyAlignment="1">
      <alignment horizontal="center" vertical="center"/>
    </xf>
    <xf numFmtId="164" fontId="11" fillId="9" borderId="7" xfId="2" applyNumberFormat="1" applyFont="1" applyFill="1" applyBorder="1" applyAlignment="1">
      <alignment horizontal="center" vertical="center"/>
    </xf>
    <xf numFmtId="164" fontId="18" fillId="12" borderId="7" xfId="2" applyNumberFormat="1" applyFont="1" applyFill="1" applyBorder="1" applyAlignment="1">
      <alignment horizontal="center" vertical="center"/>
    </xf>
    <xf numFmtId="164" fontId="11" fillId="5" borderId="7" xfId="2" applyNumberFormat="1" applyFont="1" applyFill="1" applyBorder="1" applyAlignment="1">
      <alignment horizontal="center" vertical="center"/>
    </xf>
    <xf numFmtId="164" fontId="11" fillId="12" borderId="7" xfId="2" applyNumberFormat="1" applyFont="1" applyFill="1" applyBorder="1" applyAlignment="1">
      <alignment horizontal="center" vertical="center"/>
    </xf>
    <xf numFmtId="164" fontId="11" fillId="13" borderId="7" xfId="2" applyNumberFormat="1" applyFont="1" applyFill="1" applyBorder="1" applyAlignment="1">
      <alignment horizontal="center" vertical="center"/>
    </xf>
    <xf numFmtId="164" fontId="11" fillId="14" borderId="7" xfId="2" applyNumberFormat="1" applyFont="1" applyFill="1" applyBorder="1" applyAlignment="1">
      <alignment horizontal="center" vertical="center"/>
    </xf>
    <xf numFmtId="0" fontId="11" fillId="0" borderId="13" xfId="2" applyFont="1" applyAlignment="1">
      <alignment horizontal="center" vertical="center"/>
    </xf>
    <xf numFmtId="2" fontId="11" fillId="0" borderId="13" xfId="2" applyNumberFormat="1" applyFont="1" applyAlignment="1">
      <alignment horizontal="center" vertical="center"/>
    </xf>
    <xf numFmtId="2" fontId="11" fillId="5" borderId="13" xfId="2" applyNumberFormat="1" applyFont="1" applyFill="1" applyAlignment="1">
      <alignment horizontal="center" vertical="center"/>
    </xf>
    <xf numFmtId="0" fontId="17" fillId="0" borderId="13" xfId="2" applyFont="1"/>
    <xf numFmtId="0" fontId="13" fillId="0" borderId="13" xfId="2" applyFont="1" applyAlignment="1">
      <alignment wrapText="1"/>
    </xf>
    <xf numFmtId="0" fontId="11" fillId="0" borderId="7" xfId="0" applyFont="1" applyBorder="1" applyAlignment="1">
      <alignment horizontal="center" vertical="center"/>
    </xf>
    <xf numFmtId="0" fontId="15" fillId="0" borderId="14" xfId="1" applyFont="1" applyBorder="1" applyAlignment="1">
      <alignment horizontal="center" vertical="center" textRotation="90"/>
    </xf>
    <xf numFmtId="0" fontId="15" fillId="7" borderId="14" xfId="1" applyFont="1" applyFill="1" applyBorder="1" applyAlignment="1">
      <alignment horizontal="center" vertical="center" textRotation="90"/>
    </xf>
    <xf numFmtId="0" fontId="16" fillId="8" borderId="14" xfId="1" applyFont="1" applyFill="1" applyBorder="1" applyAlignment="1">
      <alignment horizontal="center" vertical="center" textRotation="90"/>
    </xf>
    <xf numFmtId="0" fontId="11" fillId="3" borderId="12" xfId="0" applyFont="1" applyFill="1" applyBorder="1" applyAlignment="1">
      <alignment horizontal="center" vertical="center" wrapText="1"/>
    </xf>
    <xf numFmtId="2" fontId="17" fillId="0" borderId="12" xfId="0" applyNumberFormat="1" applyFont="1" applyBorder="1" applyAlignment="1">
      <alignment horizontal="center" vertical="center"/>
    </xf>
    <xf numFmtId="164" fontId="11" fillId="2" borderId="12" xfId="0" applyNumberFormat="1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 wrapText="1"/>
    </xf>
    <xf numFmtId="164" fontId="11" fillId="2" borderId="7" xfId="0" applyNumberFormat="1" applyFont="1" applyFill="1" applyBorder="1" applyAlignment="1">
      <alignment horizontal="center" vertical="center"/>
    </xf>
    <xf numFmtId="2" fontId="17" fillId="0" borderId="7" xfId="0" applyNumberFormat="1" applyFont="1" applyBorder="1" applyAlignment="1">
      <alignment horizontal="center" vertical="center"/>
    </xf>
    <xf numFmtId="2" fontId="17" fillId="4" borderId="7" xfId="0" applyNumberFormat="1" applyFont="1" applyFill="1" applyBorder="1" applyAlignment="1">
      <alignment horizontal="center" vertical="center"/>
    </xf>
    <xf numFmtId="164" fontId="11" fillId="4" borderId="7" xfId="0" applyNumberFormat="1" applyFont="1" applyFill="1" applyBorder="1" applyAlignment="1">
      <alignment horizontal="center" vertical="center"/>
    </xf>
    <xf numFmtId="164" fontId="17" fillId="4" borderId="7" xfId="0" applyNumberFormat="1" applyFont="1" applyFill="1" applyBorder="1" applyAlignment="1">
      <alignment horizontal="center" vertical="center"/>
    </xf>
    <xf numFmtId="164" fontId="17" fillId="0" borderId="7" xfId="0" applyNumberFormat="1" applyFont="1" applyBorder="1" applyAlignment="1">
      <alignment horizontal="center" vertical="center"/>
    </xf>
    <xf numFmtId="164" fontId="18" fillId="12" borderId="7" xfId="0" applyNumberFormat="1" applyFont="1" applyFill="1" applyBorder="1" applyAlignment="1">
      <alignment horizontal="center" vertical="center"/>
    </xf>
    <xf numFmtId="164" fontId="11" fillId="5" borderId="7" xfId="0" applyNumberFormat="1" applyFont="1" applyFill="1" applyBorder="1" applyAlignment="1">
      <alignment horizontal="center" vertical="center"/>
    </xf>
    <xf numFmtId="164" fontId="11" fillId="12" borderId="7" xfId="0" applyNumberFormat="1" applyFont="1" applyFill="1" applyBorder="1" applyAlignment="1">
      <alignment horizontal="center" vertical="center"/>
    </xf>
    <xf numFmtId="164" fontId="11" fillId="14" borderId="7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2" fontId="11" fillId="5" borderId="0" xfId="0" applyNumberFormat="1" applyFont="1" applyFill="1" applyAlignment="1">
      <alignment horizontal="center" vertical="center"/>
    </xf>
    <xf numFmtId="0" fontId="17" fillId="0" borderId="0" xfId="0" applyFont="1"/>
    <xf numFmtId="164" fontId="11" fillId="13" borderId="7" xfId="0" applyNumberFormat="1" applyFont="1" applyFill="1" applyBorder="1" applyAlignment="1">
      <alignment horizontal="center" vertical="center"/>
    </xf>
    <xf numFmtId="164" fontId="11" fillId="9" borderId="7" xfId="0" applyNumberFormat="1" applyFont="1" applyFill="1" applyBorder="1" applyAlignment="1">
      <alignment horizontal="center" vertical="center"/>
    </xf>
    <xf numFmtId="0" fontId="19" fillId="0" borderId="13" xfId="0" applyFont="1" applyBorder="1"/>
    <xf numFmtId="0" fontId="20" fillId="0" borderId="7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 textRotation="90"/>
    </xf>
    <xf numFmtId="0" fontId="21" fillId="17" borderId="16" xfId="0" applyFont="1" applyFill="1" applyBorder="1" applyAlignment="1">
      <alignment horizontal="center" vertical="center" textRotation="90"/>
    </xf>
    <xf numFmtId="0" fontId="20" fillId="16" borderId="12" xfId="0" applyFont="1" applyFill="1" applyBorder="1" applyAlignment="1">
      <alignment horizontal="center" vertical="center" wrapText="1"/>
    </xf>
    <xf numFmtId="2" fontId="22" fillId="0" borderId="12" xfId="0" applyNumberFormat="1" applyFont="1" applyBorder="1" applyAlignment="1">
      <alignment horizontal="center" vertical="center"/>
    </xf>
    <xf numFmtId="164" fontId="20" fillId="15" borderId="12" xfId="0" applyNumberFormat="1" applyFont="1" applyFill="1" applyBorder="1" applyAlignment="1">
      <alignment horizontal="center" vertical="center"/>
    </xf>
    <xf numFmtId="0" fontId="20" fillId="16" borderId="7" xfId="0" applyFont="1" applyFill="1" applyBorder="1" applyAlignment="1">
      <alignment horizontal="center" vertical="center" wrapText="1"/>
    </xf>
    <xf numFmtId="164" fontId="20" fillId="15" borderId="7" xfId="0" applyNumberFormat="1" applyFont="1" applyFill="1" applyBorder="1" applyAlignment="1">
      <alignment horizontal="center" vertical="center"/>
    </xf>
    <xf numFmtId="2" fontId="22" fillId="0" borderId="7" xfId="0" applyNumberFormat="1" applyFont="1" applyBorder="1" applyAlignment="1">
      <alignment horizontal="center" vertical="center"/>
    </xf>
    <xf numFmtId="2" fontId="22" fillId="18" borderId="7" xfId="0" applyNumberFormat="1" applyFont="1" applyFill="1" applyBorder="1" applyAlignment="1">
      <alignment horizontal="center" vertical="center"/>
    </xf>
    <xf numFmtId="2" fontId="20" fillId="18" borderId="7" xfId="0" applyNumberFormat="1" applyFont="1" applyFill="1" applyBorder="1" applyAlignment="1">
      <alignment horizontal="center" vertical="center"/>
    </xf>
    <xf numFmtId="164" fontId="20" fillId="18" borderId="7" xfId="0" applyNumberFormat="1" applyFont="1" applyFill="1" applyBorder="1" applyAlignment="1">
      <alignment horizontal="center" vertical="center"/>
    </xf>
    <xf numFmtId="164" fontId="22" fillId="18" borderId="7" xfId="0" applyNumberFormat="1" applyFont="1" applyFill="1" applyBorder="1" applyAlignment="1">
      <alignment horizontal="center" vertical="center"/>
    </xf>
    <xf numFmtId="164" fontId="20" fillId="0" borderId="7" xfId="0" applyNumberFormat="1" applyFont="1" applyBorder="1" applyAlignment="1">
      <alignment horizontal="center" vertical="center"/>
    </xf>
    <xf numFmtId="164" fontId="20" fillId="19" borderId="7" xfId="0" applyNumberFormat="1" applyFont="1" applyFill="1" applyBorder="1" applyAlignment="1">
      <alignment horizontal="center" vertical="center"/>
    </xf>
    <xf numFmtId="164" fontId="23" fillId="17" borderId="7" xfId="0" applyNumberFormat="1" applyFont="1" applyFill="1" applyBorder="1" applyAlignment="1">
      <alignment horizontal="center" vertical="center"/>
    </xf>
    <xf numFmtId="164" fontId="20" fillId="17" borderId="7" xfId="0" applyNumberFormat="1" applyFont="1" applyFill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2" fontId="20" fillId="0" borderId="13" xfId="0" applyNumberFormat="1" applyFont="1" applyBorder="1" applyAlignment="1">
      <alignment horizontal="center" vertical="center"/>
    </xf>
    <xf numFmtId="2" fontId="20" fillId="17" borderId="13" xfId="0" applyNumberFormat="1" applyFont="1" applyFill="1" applyBorder="1" applyAlignment="1">
      <alignment horizontal="center" vertical="center"/>
    </xf>
    <xf numFmtId="0" fontId="22" fillId="0" borderId="13" xfId="0" applyFont="1" applyBorder="1"/>
    <xf numFmtId="164" fontId="20" fillId="7" borderId="7" xfId="0" applyNumberFormat="1" applyFont="1" applyFill="1" applyBorder="1" applyAlignment="1">
      <alignment horizontal="center" vertical="center"/>
    </xf>
    <xf numFmtId="0" fontId="21" fillId="0" borderId="17" xfId="0" applyFont="1" applyBorder="1" applyAlignment="1">
      <alignment horizontal="center" vertical="center" textRotation="90"/>
    </xf>
    <xf numFmtId="0" fontId="21" fillId="17" borderId="17" xfId="0" applyFont="1" applyFill="1" applyBorder="1" applyAlignment="1">
      <alignment horizontal="center" vertical="center" textRotation="90"/>
    </xf>
    <xf numFmtId="2" fontId="20" fillId="0" borderId="12" xfId="0" applyNumberFormat="1" applyFont="1" applyBorder="1" applyAlignment="1">
      <alignment horizontal="center" vertical="center"/>
    </xf>
    <xf numFmtId="2" fontId="19" fillId="0" borderId="13" xfId="0" applyNumberFormat="1" applyFont="1" applyBorder="1"/>
    <xf numFmtId="2" fontId="20" fillId="0" borderId="7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6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6" xfId="0" applyFont="1" applyBorder="1"/>
    <xf numFmtId="0" fontId="2" fillId="0" borderId="9" xfId="0" applyFont="1" applyBorder="1"/>
    <xf numFmtId="0" fontId="2" fillId="0" borderId="10" xfId="0" applyFont="1" applyBorder="1"/>
    <xf numFmtId="2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textRotation="90" wrapText="1"/>
    </xf>
    <xf numFmtId="0" fontId="2" fillId="0" borderId="8" xfId="0" applyFont="1" applyBorder="1"/>
    <xf numFmtId="0" fontId="2" fillId="0" borderId="11" xfId="0" applyFont="1" applyBorder="1"/>
    <xf numFmtId="0" fontId="1" fillId="3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2" fontId="5" fillId="0" borderId="1" xfId="0" applyNumberFormat="1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2" fillId="0" borderId="2" xfId="2" applyFont="1" applyBorder="1"/>
    <xf numFmtId="0" fontId="12" fillId="0" borderId="3" xfId="2" applyFont="1" applyBorder="1"/>
    <xf numFmtId="0" fontId="11" fillId="2" borderId="4" xfId="2" applyFont="1" applyFill="1" applyBorder="1" applyAlignment="1">
      <alignment horizontal="center" vertical="center" textRotation="90" wrapText="1"/>
    </xf>
    <xf numFmtId="0" fontId="11" fillId="2" borderId="8" xfId="2" applyFont="1" applyFill="1" applyBorder="1" applyAlignment="1">
      <alignment horizontal="center" vertical="center" textRotation="90" wrapText="1"/>
    </xf>
    <xf numFmtId="0" fontId="11" fillId="2" borderId="12" xfId="2" applyFont="1" applyFill="1" applyBorder="1" applyAlignment="1">
      <alignment horizontal="center" vertical="center" textRotation="90" wrapText="1"/>
    </xf>
    <xf numFmtId="0" fontId="11" fillId="3" borderId="5" xfId="2" applyFont="1" applyFill="1" applyBorder="1" applyAlignment="1">
      <alignment horizontal="center" vertical="center"/>
    </xf>
    <xf numFmtId="0" fontId="11" fillId="3" borderId="6" xfId="2" applyFont="1" applyFill="1" applyBorder="1" applyAlignment="1">
      <alignment horizontal="center" vertical="center"/>
    </xf>
    <xf numFmtId="0" fontId="11" fillId="3" borderId="9" xfId="2" applyFont="1" applyFill="1" applyBorder="1" applyAlignment="1">
      <alignment horizontal="center" vertical="center"/>
    </xf>
    <xf numFmtId="0" fontId="11" fillId="3" borderId="10" xfId="2" applyFont="1" applyFill="1" applyBorder="1" applyAlignment="1">
      <alignment horizontal="center" vertical="center"/>
    </xf>
    <xf numFmtId="0" fontId="11" fillId="2" borderId="1" xfId="2" applyFont="1" applyFill="1" applyBorder="1" applyAlignment="1">
      <alignment horizontal="left" vertical="center"/>
    </xf>
    <xf numFmtId="0" fontId="11" fillId="2" borderId="1" xfId="2" applyFont="1" applyFill="1" applyBorder="1" applyAlignment="1">
      <alignment horizontal="left" vertical="center" wrapText="1"/>
    </xf>
    <xf numFmtId="0" fontId="11" fillId="0" borderId="1" xfId="2" applyFont="1" applyBorder="1" applyAlignment="1">
      <alignment horizontal="center" vertical="center" wrapText="1"/>
    </xf>
    <xf numFmtId="0" fontId="11" fillId="0" borderId="1" xfId="2" applyFont="1" applyBorder="1" applyAlignment="1">
      <alignment horizontal="left" vertical="center" wrapText="1"/>
    </xf>
    <xf numFmtId="0" fontId="11" fillId="0" borderId="5" xfId="2" applyFont="1" applyBorder="1" applyAlignment="1">
      <alignment horizontal="center" vertical="center" wrapText="1"/>
    </xf>
    <xf numFmtId="0" fontId="12" fillId="0" borderId="6" xfId="2" applyFont="1" applyBorder="1"/>
    <xf numFmtId="0" fontId="12" fillId="0" borderId="9" xfId="2" applyFont="1" applyBorder="1"/>
    <xf numFmtId="0" fontId="12" fillId="0" borderId="10" xfId="2" applyFont="1" applyBorder="1"/>
    <xf numFmtId="0" fontId="17" fillId="0" borderId="1" xfId="2" applyFont="1" applyBorder="1" applyAlignment="1">
      <alignment horizontal="center" vertical="center"/>
    </xf>
    <xf numFmtId="2" fontId="17" fillId="0" borderId="1" xfId="2" applyNumberFormat="1" applyFont="1" applyBorder="1" applyAlignment="1">
      <alignment horizontal="center" vertical="center"/>
    </xf>
    <xf numFmtId="0" fontId="13" fillId="0" borderId="1" xfId="2" applyFont="1" applyBorder="1" applyAlignment="1">
      <alignment horizontal="center"/>
    </xf>
    <xf numFmtId="0" fontId="17" fillId="0" borderId="2" xfId="2" applyFont="1" applyBorder="1" applyAlignment="1">
      <alignment horizontal="center" vertical="center"/>
    </xf>
    <xf numFmtId="0" fontId="17" fillId="0" borderId="3" xfId="2" applyFont="1" applyBorder="1" applyAlignment="1">
      <alignment horizontal="center" vertical="center"/>
    </xf>
    <xf numFmtId="0" fontId="11" fillId="0" borderId="1" xfId="0" applyFont="1" applyBorder="1" applyAlignment="1">
      <alignment horizontal="center" wrapText="1"/>
    </xf>
    <xf numFmtId="0" fontId="12" fillId="0" borderId="2" xfId="0" applyFont="1" applyBorder="1"/>
    <xf numFmtId="0" fontId="12" fillId="0" borderId="3" xfId="0" applyFont="1" applyBorder="1"/>
    <xf numFmtId="0" fontId="11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2" fillId="0" borderId="6" xfId="0" applyFont="1" applyBorder="1"/>
    <xf numFmtId="0" fontId="12" fillId="0" borderId="9" xfId="0" applyFont="1" applyBorder="1"/>
    <xf numFmtId="0" fontId="12" fillId="0" borderId="10" xfId="0" applyFont="1" applyBorder="1"/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horizontal="center" vertical="center" textRotation="90" wrapText="1"/>
    </xf>
    <xf numFmtId="0" fontId="11" fillId="2" borderId="8" xfId="0" applyFont="1" applyFill="1" applyBorder="1" applyAlignment="1">
      <alignment horizontal="center" vertical="center" textRotation="90" wrapText="1"/>
    </xf>
    <xf numFmtId="0" fontId="11" fillId="2" borderId="12" xfId="0" applyFont="1" applyFill="1" applyBorder="1" applyAlignment="1">
      <alignment horizontal="center" vertical="center" textRotation="90" wrapText="1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20" fillId="15" borderId="1" xfId="0" applyFont="1" applyFill="1" applyBorder="1" applyAlignment="1">
      <alignment horizontal="left" vertical="center"/>
    </xf>
    <xf numFmtId="0" fontId="20" fillId="15" borderId="2" xfId="0" applyFont="1" applyFill="1" applyBorder="1" applyAlignment="1">
      <alignment horizontal="left" vertical="center"/>
    </xf>
    <xf numFmtId="0" fontId="20" fillId="15" borderId="3" xfId="0" applyFont="1" applyFill="1" applyBorder="1" applyAlignment="1">
      <alignment horizontal="left" vertical="center"/>
    </xf>
    <xf numFmtId="0" fontId="20" fillId="0" borderId="1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15" borderId="4" xfId="0" applyFont="1" applyFill="1" applyBorder="1" applyAlignment="1">
      <alignment horizontal="center" vertical="center" textRotation="90" wrapText="1"/>
    </xf>
    <xf numFmtId="0" fontId="20" fillId="15" borderId="8" xfId="0" applyFont="1" applyFill="1" applyBorder="1" applyAlignment="1">
      <alignment horizontal="center" vertical="center" textRotation="90" wrapText="1"/>
    </xf>
    <xf numFmtId="0" fontId="20" fillId="15" borderId="12" xfId="0" applyFont="1" applyFill="1" applyBorder="1" applyAlignment="1">
      <alignment horizontal="center" vertical="center" textRotation="90" wrapText="1"/>
    </xf>
    <xf numFmtId="0" fontId="20" fillId="16" borderId="5" xfId="0" applyFont="1" applyFill="1" applyBorder="1" applyAlignment="1">
      <alignment horizontal="center" vertical="center"/>
    </xf>
    <xf numFmtId="0" fontId="20" fillId="16" borderId="6" xfId="0" applyFont="1" applyFill="1" applyBorder="1" applyAlignment="1">
      <alignment horizontal="center" vertical="center"/>
    </xf>
    <xf numFmtId="0" fontId="20" fillId="16" borderId="9" xfId="0" applyFont="1" applyFill="1" applyBorder="1" applyAlignment="1">
      <alignment horizontal="center" vertical="center"/>
    </xf>
    <xf numFmtId="0" fontId="20" fillId="16" borderId="10" xfId="0" applyFont="1" applyFill="1" applyBorder="1" applyAlignment="1">
      <alignment horizontal="center" vertical="center"/>
    </xf>
    <xf numFmtId="0" fontId="20" fillId="15" borderId="1" xfId="0" applyFont="1" applyFill="1" applyBorder="1" applyAlignment="1">
      <alignment horizontal="left" vertical="center" wrapText="1"/>
    </xf>
    <xf numFmtId="0" fontId="20" fillId="15" borderId="2" xfId="0" applyFont="1" applyFill="1" applyBorder="1" applyAlignment="1">
      <alignment horizontal="left" vertical="center" wrapText="1"/>
    </xf>
    <xf numFmtId="0" fontId="20" fillId="15" borderId="3" xfId="0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2" fontId="22" fillId="0" borderId="1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2" fillId="0" borderId="3" xfId="0" applyNumberFormat="1" applyFont="1" applyBorder="1" applyAlignment="1">
      <alignment horizontal="center" vertical="center"/>
    </xf>
    <xf numFmtId="164" fontId="22" fillId="0" borderId="1" xfId="0" applyNumberFormat="1" applyFont="1" applyBorder="1" applyAlignment="1">
      <alignment horizontal="center" vertical="center"/>
    </xf>
    <xf numFmtId="164" fontId="22" fillId="0" borderId="2" xfId="0" applyNumberFormat="1" applyFont="1" applyBorder="1" applyAlignment="1">
      <alignment horizontal="center" vertical="center"/>
    </xf>
    <xf numFmtId="164" fontId="22" fillId="0" borderId="3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0" fillId="15" borderId="18" xfId="0" applyFont="1" applyFill="1" applyBorder="1" applyAlignment="1">
      <alignment horizontal="left" vertical="center"/>
    </xf>
    <xf numFmtId="0" fontId="20" fillId="15" borderId="6" xfId="0" applyFont="1" applyFill="1" applyBorder="1" applyAlignment="1">
      <alignment horizontal="left" vertical="center"/>
    </xf>
    <xf numFmtId="2" fontId="22" fillId="0" borderId="17" xfId="0" applyNumberFormat="1" applyFont="1" applyBorder="1" applyAlignment="1">
      <alignment horizontal="center" vertical="center"/>
    </xf>
    <xf numFmtId="164" fontId="20" fillId="15" borderId="17" xfId="0" applyNumberFormat="1" applyFont="1" applyFill="1" applyBorder="1" applyAlignment="1">
      <alignment horizontal="center" vertical="center"/>
    </xf>
    <xf numFmtId="2" fontId="22" fillId="18" borderId="17" xfId="0" applyNumberFormat="1" applyFont="1" applyFill="1" applyBorder="1" applyAlignment="1">
      <alignment horizontal="center" vertical="center"/>
    </xf>
    <xf numFmtId="0" fontId="20" fillId="15" borderId="19" xfId="0" applyFont="1" applyFill="1" applyBorder="1" applyAlignment="1">
      <alignment horizontal="left" vertical="center" wrapText="1"/>
    </xf>
    <xf numFmtId="0" fontId="20" fillId="15" borderId="10" xfId="0" applyFont="1" applyFill="1" applyBorder="1" applyAlignment="1">
      <alignment horizontal="left" vertical="center" wrapText="1"/>
    </xf>
    <xf numFmtId="164" fontId="25" fillId="19" borderId="7" xfId="0" applyNumberFormat="1" applyFont="1" applyFill="1" applyBorder="1" applyAlignment="1">
      <alignment horizontal="center" vertical="center"/>
    </xf>
    <xf numFmtId="164" fontId="18" fillId="17" borderId="7" xfId="0" applyNumberFormat="1" applyFont="1" applyFill="1" applyBorder="1" applyAlignment="1">
      <alignment horizontal="center" vertical="center"/>
    </xf>
    <xf numFmtId="164" fontId="25" fillId="17" borderId="7" xfId="0" applyNumberFormat="1" applyFont="1" applyFill="1" applyBorder="1" applyAlignment="1">
      <alignment horizontal="center" vertical="center"/>
    </xf>
    <xf numFmtId="164" fontId="25" fillId="7" borderId="7" xfId="0" applyNumberFormat="1" applyFont="1" applyFill="1" applyBorder="1" applyAlignment="1">
      <alignment horizontal="center" vertical="center"/>
    </xf>
    <xf numFmtId="164" fontId="25" fillId="18" borderId="7" xfId="0" applyNumberFormat="1" applyFont="1" applyFill="1" applyBorder="1" applyAlignment="1">
      <alignment horizontal="center" vertical="center"/>
    </xf>
    <xf numFmtId="164" fontId="25" fillId="15" borderId="12" xfId="0" applyNumberFormat="1" applyFont="1" applyFill="1" applyBorder="1" applyAlignment="1">
      <alignment horizontal="center" vertical="center"/>
    </xf>
    <xf numFmtId="164" fontId="25" fillId="15" borderId="7" xfId="0" applyNumberFormat="1" applyFont="1" applyFill="1" applyBorder="1" applyAlignment="1">
      <alignment horizontal="center" vertical="center"/>
    </xf>
    <xf numFmtId="164" fontId="25" fillId="15" borderId="17" xfId="0" applyNumberFormat="1" applyFont="1" applyFill="1" applyBorder="1" applyAlignment="1">
      <alignment horizontal="center" vertical="center"/>
    </xf>
    <xf numFmtId="164" fontId="24" fillId="0" borderId="17" xfId="0" applyNumberFormat="1" applyFont="1" applyBorder="1"/>
    <xf numFmtId="2" fontId="25" fillId="18" borderId="17" xfId="0" applyNumberFormat="1" applyFont="1" applyFill="1" applyBorder="1" applyAlignment="1">
      <alignment horizontal="center" vertical="center"/>
    </xf>
    <xf numFmtId="2" fontId="25" fillId="18" borderId="7" xfId="0" applyNumberFormat="1" applyFont="1" applyFill="1" applyBorder="1" applyAlignment="1">
      <alignment horizontal="center" vertical="center"/>
    </xf>
    <xf numFmtId="0" fontId="25" fillId="15" borderId="1" xfId="0" applyFont="1" applyFill="1" applyBorder="1" applyAlignment="1">
      <alignment horizontal="left" vertical="center"/>
    </xf>
    <xf numFmtId="0" fontId="20" fillId="16" borderId="8" xfId="0" applyFont="1" applyFill="1" applyBorder="1" applyAlignment="1">
      <alignment horizontal="center" vertical="center" wrapText="1"/>
    </xf>
    <xf numFmtId="0" fontId="20" fillId="16" borderId="4" xfId="0" applyFont="1" applyFill="1" applyBorder="1" applyAlignment="1">
      <alignment horizontal="center" vertical="center" wrapText="1"/>
    </xf>
    <xf numFmtId="2" fontId="22" fillId="18" borderId="4" xfId="0" applyNumberFormat="1" applyFont="1" applyFill="1" applyBorder="1" applyAlignment="1">
      <alignment horizontal="center" vertical="center"/>
    </xf>
    <xf numFmtId="164" fontId="20" fillId="15" borderId="4" xfId="0" applyNumberFormat="1" applyFont="1" applyFill="1" applyBorder="1" applyAlignment="1">
      <alignment horizontal="center" vertical="center"/>
    </xf>
    <xf numFmtId="2" fontId="0" fillId="0" borderId="13" xfId="0" applyNumberFormat="1" applyBorder="1"/>
    <xf numFmtId="0" fontId="0" fillId="0" borderId="13" xfId="0" applyBorder="1"/>
    <xf numFmtId="0" fontId="2" fillId="0" borderId="13" xfId="0" applyFont="1" applyBorder="1" applyAlignment="1"/>
    <xf numFmtId="0" fontId="1" fillId="2" borderId="20" xfId="0" applyFont="1" applyFill="1" applyBorder="1" applyAlignment="1">
      <alignment vertical="center"/>
    </xf>
    <xf numFmtId="0" fontId="1" fillId="2" borderId="21" xfId="0" applyFont="1" applyFill="1" applyBorder="1" applyAlignment="1">
      <alignment vertical="center"/>
    </xf>
    <xf numFmtId="0" fontId="1" fillId="2" borderId="22" xfId="0" applyFont="1" applyFill="1" applyBorder="1" applyAlignment="1">
      <alignment vertical="center"/>
    </xf>
    <xf numFmtId="0" fontId="20" fillId="16" borderId="1" xfId="0" applyFont="1" applyFill="1" applyBorder="1" applyAlignment="1">
      <alignment horizontal="center" vertical="center" wrapText="1"/>
    </xf>
    <xf numFmtId="2" fontId="22" fillId="18" borderId="5" xfId="0" applyNumberFormat="1" applyFont="1" applyFill="1" applyBorder="1" applyAlignment="1">
      <alignment horizontal="center" vertical="center"/>
    </xf>
    <xf numFmtId="2" fontId="22" fillId="0" borderId="9" xfId="0" applyNumberFormat="1" applyFont="1" applyBorder="1" applyAlignment="1">
      <alignment horizontal="center" vertical="center"/>
    </xf>
  </cellXfs>
  <cellStyles count="4">
    <cellStyle name="Normal" xfId="0" builtinId="0"/>
    <cellStyle name="Normal 2" xfId="1" xr:uid="{921ACBAD-AB9D-4FB3-A694-DCE15FB65B7E}"/>
    <cellStyle name="Normal 2 3" xfId="3" xr:uid="{8D6E1BC9-F8BA-452E-B801-01E6BAD4436E}"/>
    <cellStyle name="Normal 4" xfId="2" xr:uid="{DDFF37D3-F824-43EC-9C72-5BAEFA5267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A1000"/>
  <sheetViews>
    <sheetView workbookViewId="0">
      <pane ySplit="6" topLeftCell="A45" activePane="bottomLeft" state="frozen"/>
      <selection activeCell="P53" sqref="P53"/>
      <selection pane="bottomLeft" activeCell="P53" sqref="P53"/>
    </sheetView>
  </sheetViews>
  <sheetFormatPr defaultColWidth="14.44140625" defaultRowHeight="15" customHeight="1"/>
  <cols>
    <col min="1" max="1" width="4" customWidth="1"/>
    <col min="2" max="2" width="23.33203125" customWidth="1"/>
    <col min="3" max="3" width="5.44140625" customWidth="1"/>
    <col min="4" max="4" width="5.109375" customWidth="1"/>
    <col min="5" max="5" width="5" customWidth="1"/>
    <col min="6" max="7" width="5.33203125" customWidth="1"/>
    <col min="8" max="9" width="5.109375" customWidth="1"/>
    <col min="10" max="10" width="5.6640625" customWidth="1"/>
    <col min="11" max="11" width="5.5546875" customWidth="1"/>
    <col min="12" max="12" width="5.109375" customWidth="1"/>
    <col min="13" max="13" width="5.5546875" customWidth="1"/>
    <col min="14" max="14" width="5" customWidth="1"/>
    <col min="15" max="15" width="5.109375" customWidth="1"/>
    <col min="16" max="17" width="4.88671875" customWidth="1"/>
    <col min="18" max="18" width="5.5546875" customWidth="1"/>
    <col min="19" max="19" width="5.44140625" customWidth="1"/>
    <col min="20" max="20" width="5" customWidth="1"/>
    <col min="21" max="22" width="5.33203125" customWidth="1"/>
    <col min="23" max="23" width="6.44140625" customWidth="1"/>
    <col min="24" max="25" width="9" customWidth="1"/>
  </cols>
  <sheetData>
    <row r="1" spans="1:25" ht="14.25" customHeight="1">
      <c r="A1" s="126" t="s">
        <v>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1"/>
      <c r="X1" s="1"/>
      <c r="Y1" s="1"/>
    </row>
    <row r="2" spans="1:25" ht="14.25" customHeight="1">
      <c r="A2" s="126" t="s">
        <v>97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1"/>
      <c r="X2" s="1"/>
      <c r="Y2" s="1"/>
    </row>
    <row r="3" spans="1:25" ht="14.25" customHeight="1">
      <c r="A3" s="126" t="s">
        <v>98</v>
      </c>
      <c r="B3" s="121"/>
      <c r="C3" s="126" t="s">
        <v>99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35" t="s">
        <v>1</v>
      </c>
      <c r="X3" s="1"/>
      <c r="Y3" s="1"/>
    </row>
    <row r="4" spans="1:25" ht="14.25" customHeight="1">
      <c r="A4" s="138" t="s">
        <v>2</v>
      </c>
      <c r="B4" s="129"/>
      <c r="C4" s="2">
        <v>1</v>
      </c>
      <c r="D4" s="2">
        <v>2</v>
      </c>
      <c r="E4" s="2">
        <v>3</v>
      </c>
      <c r="F4" s="2">
        <v>4</v>
      </c>
      <c r="G4" s="2">
        <v>5</v>
      </c>
      <c r="H4" s="2">
        <v>6</v>
      </c>
      <c r="I4" s="2">
        <v>7</v>
      </c>
      <c r="J4" s="2">
        <v>8</v>
      </c>
      <c r="K4" s="2">
        <v>9</v>
      </c>
      <c r="L4" s="2">
        <v>10</v>
      </c>
      <c r="M4" s="2">
        <v>11</v>
      </c>
      <c r="N4" s="2">
        <v>12</v>
      </c>
      <c r="O4" s="2">
        <v>13</v>
      </c>
      <c r="P4" s="2">
        <v>14</v>
      </c>
      <c r="Q4" s="2">
        <v>15</v>
      </c>
      <c r="R4" s="2">
        <v>16</v>
      </c>
      <c r="S4" s="2">
        <v>17</v>
      </c>
      <c r="T4" s="2">
        <v>18</v>
      </c>
      <c r="U4" s="2">
        <v>19</v>
      </c>
      <c r="V4" s="2">
        <v>20</v>
      </c>
      <c r="W4" s="136"/>
      <c r="X4" s="3"/>
      <c r="Y4" s="3"/>
    </row>
    <row r="5" spans="1:25" ht="132.6" customHeight="1">
      <c r="A5" s="130"/>
      <c r="B5" s="131"/>
      <c r="C5" s="27" t="s">
        <v>79</v>
      </c>
      <c r="D5" s="27" t="s">
        <v>80</v>
      </c>
      <c r="E5" s="28" t="s">
        <v>81</v>
      </c>
      <c r="F5" s="28" t="s">
        <v>82</v>
      </c>
      <c r="G5" s="28" t="s">
        <v>83</v>
      </c>
      <c r="H5" s="28" t="s">
        <v>84</v>
      </c>
      <c r="I5" s="29" t="s">
        <v>85</v>
      </c>
      <c r="J5" s="28" t="s">
        <v>86</v>
      </c>
      <c r="K5" s="28" t="s">
        <v>101</v>
      </c>
      <c r="L5" s="28" t="s">
        <v>87</v>
      </c>
      <c r="M5" s="28" t="s">
        <v>88</v>
      </c>
      <c r="N5" s="28" t="s">
        <v>89</v>
      </c>
      <c r="O5" s="28" t="s">
        <v>102</v>
      </c>
      <c r="P5" s="28" t="s">
        <v>90</v>
      </c>
      <c r="Q5" s="28" t="s">
        <v>91</v>
      </c>
      <c r="R5" s="28" t="s">
        <v>92</v>
      </c>
      <c r="S5" s="27" t="s">
        <v>103</v>
      </c>
      <c r="T5" s="28" t="s">
        <v>93</v>
      </c>
      <c r="U5" s="28" t="s">
        <v>94</v>
      </c>
      <c r="V5" s="27" t="s">
        <v>104</v>
      </c>
      <c r="W5" s="137"/>
      <c r="X5" s="4"/>
      <c r="Y5" s="4"/>
    </row>
    <row r="6" spans="1:25" ht="14.25" customHeight="1">
      <c r="A6" s="133" t="s">
        <v>3</v>
      </c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1"/>
      <c r="X6" s="4"/>
      <c r="Y6" s="4"/>
    </row>
    <row r="7" spans="1:25" ht="19.5" customHeight="1">
      <c r="A7" s="5" t="s">
        <v>4</v>
      </c>
      <c r="B7" s="5" t="s">
        <v>5</v>
      </c>
      <c r="C7" s="23">
        <v>3</v>
      </c>
      <c r="D7" s="31">
        <v>2.5</v>
      </c>
      <c r="E7" s="22">
        <v>2.5</v>
      </c>
      <c r="F7" s="23">
        <v>3</v>
      </c>
      <c r="G7" s="23">
        <v>2</v>
      </c>
      <c r="H7" s="23">
        <v>3</v>
      </c>
      <c r="I7" s="23">
        <v>3</v>
      </c>
      <c r="J7" s="23">
        <v>3</v>
      </c>
      <c r="K7" s="23">
        <v>2.5</v>
      </c>
      <c r="L7" s="23">
        <v>3</v>
      </c>
      <c r="M7" s="23">
        <v>3</v>
      </c>
      <c r="N7" s="23">
        <v>3</v>
      </c>
      <c r="O7" s="23" t="s">
        <v>6</v>
      </c>
      <c r="P7" s="23">
        <v>3</v>
      </c>
      <c r="Q7" s="23">
        <v>3</v>
      </c>
      <c r="R7" s="23">
        <v>3</v>
      </c>
      <c r="S7" s="23">
        <v>2.5</v>
      </c>
      <c r="T7" s="23">
        <v>3</v>
      </c>
      <c r="U7" s="23">
        <v>2</v>
      </c>
      <c r="V7" s="23">
        <v>3</v>
      </c>
      <c r="W7" s="7">
        <f>AVERAGE(C7:V7)</f>
        <v>2.7894736842105261</v>
      </c>
      <c r="X7" s="1"/>
      <c r="Y7" s="1"/>
    </row>
    <row r="8" spans="1:25" ht="48" customHeight="1">
      <c r="A8" s="5" t="s">
        <v>7</v>
      </c>
      <c r="B8" s="8" t="s">
        <v>8</v>
      </c>
      <c r="C8" s="31">
        <v>3</v>
      </c>
      <c r="D8" s="31">
        <v>3</v>
      </c>
      <c r="E8" s="22">
        <v>3</v>
      </c>
      <c r="F8" s="23">
        <v>3</v>
      </c>
      <c r="G8" s="23">
        <v>3</v>
      </c>
      <c r="H8" s="23">
        <v>3</v>
      </c>
      <c r="I8" s="23">
        <v>3</v>
      </c>
      <c r="J8" s="23">
        <v>3</v>
      </c>
      <c r="K8" s="23">
        <v>2</v>
      </c>
      <c r="L8" s="23">
        <v>3</v>
      </c>
      <c r="M8" s="23">
        <v>3</v>
      </c>
      <c r="N8" s="23">
        <v>3</v>
      </c>
      <c r="O8" s="24" t="s">
        <v>6</v>
      </c>
      <c r="P8" s="23">
        <v>3</v>
      </c>
      <c r="Q8" s="23">
        <v>2</v>
      </c>
      <c r="R8" s="23">
        <v>3</v>
      </c>
      <c r="S8" s="23">
        <v>2</v>
      </c>
      <c r="T8" s="23">
        <v>3</v>
      </c>
      <c r="U8" s="23">
        <v>3</v>
      </c>
      <c r="V8" s="23">
        <v>3</v>
      </c>
      <c r="W8" s="9">
        <f>AVERAGE(C8:V8)</f>
        <v>2.8421052631578947</v>
      </c>
      <c r="X8" s="1"/>
      <c r="Y8" s="1"/>
    </row>
    <row r="9" spans="1:25" ht="18.75" customHeight="1">
      <c r="A9" s="5" t="s">
        <v>9</v>
      </c>
      <c r="B9" s="8" t="s">
        <v>10</v>
      </c>
      <c r="C9" s="23">
        <v>3</v>
      </c>
      <c r="D9" s="23">
        <v>3</v>
      </c>
      <c r="E9" s="23">
        <v>3</v>
      </c>
      <c r="F9" s="23">
        <v>3</v>
      </c>
      <c r="G9" s="23">
        <v>3</v>
      </c>
      <c r="H9" s="23">
        <v>3</v>
      </c>
      <c r="I9" s="23">
        <v>3</v>
      </c>
      <c r="J9" s="23">
        <v>3</v>
      </c>
      <c r="K9" s="23">
        <v>3</v>
      </c>
      <c r="L9" s="23">
        <v>3</v>
      </c>
      <c r="M9" s="23">
        <v>3</v>
      </c>
      <c r="N9" s="23">
        <v>3</v>
      </c>
      <c r="O9" s="24" t="s">
        <v>6</v>
      </c>
      <c r="P9" s="23">
        <v>3</v>
      </c>
      <c r="Q9" s="23">
        <v>3</v>
      </c>
      <c r="R9" s="23">
        <v>3</v>
      </c>
      <c r="S9" s="23">
        <v>3</v>
      </c>
      <c r="T9" s="23">
        <v>3</v>
      </c>
      <c r="U9" s="23">
        <v>3</v>
      </c>
      <c r="V9" s="23">
        <v>3</v>
      </c>
      <c r="W9" s="9">
        <f>AVERAGE(C9:V9)</f>
        <v>3</v>
      </c>
      <c r="X9" s="1"/>
      <c r="Y9" s="1"/>
    </row>
    <row r="10" spans="1:25" ht="15.75" customHeight="1">
      <c r="A10" s="133">
        <v>2</v>
      </c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1"/>
      <c r="X10" s="1"/>
      <c r="Y10" s="1"/>
    </row>
    <row r="11" spans="1:25" ht="14.25" customHeight="1">
      <c r="A11" s="5" t="s">
        <v>11</v>
      </c>
      <c r="B11" s="8" t="s">
        <v>12</v>
      </c>
      <c r="C11" s="11">
        <v>3</v>
      </c>
      <c r="D11" s="11">
        <v>3</v>
      </c>
      <c r="E11" s="11">
        <v>3</v>
      </c>
      <c r="F11" s="11">
        <v>3</v>
      </c>
      <c r="G11" s="11">
        <v>3</v>
      </c>
      <c r="H11" s="11">
        <v>3</v>
      </c>
      <c r="I11" s="11">
        <v>3</v>
      </c>
      <c r="J11" s="11">
        <v>3</v>
      </c>
      <c r="K11" s="11">
        <v>3</v>
      </c>
      <c r="L11" s="11">
        <v>3</v>
      </c>
      <c r="M11" s="11">
        <v>3</v>
      </c>
      <c r="N11" s="11">
        <v>3</v>
      </c>
      <c r="O11" s="25" t="s">
        <v>6</v>
      </c>
      <c r="P11" s="11">
        <v>3</v>
      </c>
      <c r="Q11" s="11">
        <v>3</v>
      </c>
      <c r="R11" s="11">
        <v>3</v>
      </c>
      <c r="S11" s="11">
        <v>3</v>
      </c>
      <c r="T11" s="11">
        <v>3</v>
      </c>
      <c r="U11" s="11">
        <v>3</v>
      </c>
      <c r="V11" s="11">
        <v>3</v>
      </c>
      <c r="W11" s="9">
        <f>AVERAGE(C11:V11)</f>
        <v>3</v>
      </c>
      <c r="X11" s="1"/>
      <c r="Y11" s="1"/>
    </row>
    <row r="12" spans="1:25" ht="17.25" customHeight="1">
      <c r="A12" s="5" t="s">
        <v>13</v>
      </c>
      <c r="B12" s="8" t="s">
        <v>14</v>
      </c>
      <c r="C12" s="11" t="s">
        <v>6</v>
      </c>
      <c r="D12" s="11" t="s">
        <v>6</v>
      </c>
      <c r="E12" s="11" t="s">
        <v>6</v>
      </c>
      <c r="F12" s="11" t="s">
        <v>6</v>
      </c>
      <c r="G12" s="11" t="s">
        <v>6</v>
      </c>
      <c r="H12" s="11" t="s">
        <v>6</v>
      </c>
      <c r="I12" s="11" t="s">
        <v>6</v>
      </c>
      <c r="J12" s="11" t="s">
        <v>6</v>
      </c>
      <c r="K12" s="11" t="s">
        <v>6</v>
      </c>
      <c r="L12" s="11" t="s">
        <v>6</v>
      </c>
      <c r="M12" s="11" t="s">
        <v>6</v>
      </c>
      <c r="N12" s="11" t="s">
        <v>6</v>
      </c>
      <c r="O12" s="11" t="s">
        <v>6</v>
      </c>
      <c r="P12" s="11" t="s">
        <v>6</v>
      </c>
      <c r="Q12" s="11" t="s">
        <v>6</v>
      </c>
      <c r="R12" s="11" t="s">
        <v>6</v>
      </c>
      <c r="S12" s="11" t="s">
        <v>6</v>
      </c>
      <c r="T12" s="11" t="s">
        <v>6</v>
      </c>
      <c r="U12" s="11" t="s">
        <v>6</v>
      </c>
      <c r="V12" s="11" t="s">
        <v>6</v>
      </c>
      <c r="W12" s="12" t="s">
        <v>6</v>
      </c>
      <c r="X12" s="1"/>
      <c r="Y12" s="1"/>
    </row>
    <row r="13" spans="1:25" ht="32.25" customHeight="1">
      <c r="A13" s="5" t="s">
        <v>15</v>
      </c>
      <c r="B13" s="8" t="s">
        <v>16</v>
      </c>
      <c r="C13" s="11" t="s">
        <v>6</v>
      </c>
      <c r="D13" s="11" t="s">
        <v>6</v>
      </c>
      <c r="E13" s="11" t="s">
        <v>6</v>
      </c>
      <c r="F13" s="11" t="s">
        <v>6</v>
      </c>
      <c r="G13" s="11" t="s">
        <v>6</v>
      </c>
      <c r="H13" s="11" t="s">
        <v>6</v>
      </c>
      <c r="I13" s="11" t="s">
        <v>6</v>
      </c>
      <c r="J13" s="11" t="s">
        <v>6</v>
      </c>
      <c r="K13" s="11" t="s">
        <v>6</v>
      </c>
      <c r="L13" s="11" t="s">
        <v>6</v>
      </c>
      <c r="M13" s="11" t="s">
        <v>6</v>
      </c>
      <c r="N13" s="11" t="s">
        <v>6</v>
      </c>
      <c r="O13" s="11" t="s">
        <v>6</v>
      </c>
      <c r="P13" s="11" t="s">
        <v>6</v>
      </c>
      <c r="Q13" s="11" t="s">
        <v>6</v>
      </c>
      <c r="R13" s="11" t="s">
        <v>6</v>
      </c>
      <c r="S13" s="11" t="s">
        <v>6</v>
      </c>
      <c r="T13" s="11" t="s">
        <v>6</v>
      </c>
      <c r="U13" s="11" t="s">
        <v>6</v>
      </c>
      <c r="V13" s="11" t="s">
        <v>6</v>
      </c>
      <c r="W13" s="12" t="s">
        <v>6</v>
      </c>
      <c r="X13" s="1"/>
      <c r="Y13" s="1"/>
    </row>
    <row r="14" spans="1:25" ht="26.25" customHeight="1">
      <c r="A14" s="5" t="s">
        <v>17</v>
      </c>
      <c r="B14" s="8" t="s">
        <v>18</v>
      </c>
      <c r="C14" s="11" t="s">
        <v>6</v>
      </c>
      <c r="D14" s="11" t="s">
        <v>6</v>
      </c>
      <c r="E14" s="11" t="s">
        <v>6</v>
      </c>
      <c r="F14" s="11" t="s">
        <v>6</v>
      </c>
      <c r="G14" s="11" t="s">
        <v>6</v>
      </c>
      <c r="H14" s="11" t="s">
        <v>6</v>
      </c>
      <c r="I14" s="11" t="s">
        <v>6</v>
      </c>
      <c r="J14" s="11" t="s">
        <v>6</v>
      </c>
      <c r="K14" s="11" t="s">
        <v>6</v>
      </c>
      <c r="L14" s="11" t="s">
        <v>6</v>
      </c>
      <c r="M14" s="11" t="s">
        <v>6</v>
      </c>
      <c r="N14" s="11" t="s">
        <v>6</v>
      </c>
      <c r="O14" s="11" t="s">
        <v>6</v>
      </c>
      <c r="P14" s="11" t="s">
        <v>6</v>
      </c>
      <c r="Q14" s="11" t="s">
        <v>6</v>
      </c>
      <c r="R14" s="11" t="s">
        <v>6</v>
      </c>
      <c r="S14" s="11" t="s">
        <v>6</v>
      </c>
      <c r="T14" s="11" t="s">
        <v>6</v>
      </c>
      <c r="U14" s="11" t="s">
        <v>6</v>
      </c>
      <c r="V14" s="11" t="s">
        <v>6</v>
      </c>
      <c r="W14" s="12" t="s">
        <v>6</v>
      </c>
      <c r="X14" s="1"/>
      <c r="Y14" s="1"/>
    </row>
    <row r="15" spans="1:25" ht="24.75" customHeight="1">
      <c r="A15" s="5" t="s">
        <v>19</v>
      </c>
      <c r="B15" s="8" t="s">
        <v>20</v>
      </c>
      <c r="C15" s="13">
        <v>2</v>
      </c>
      <c r="D15" s="13">
        <v>2</v>
      </c>
      <c r="E15" s="13">
        <v>2</v>
      </c>
      <c r="F15" s="13">
        <v>3</v>
      </c>
      <c r="G15" s="13">
        <v>2</v>
      </c>
      <c r="H15" s="13">
        <v>2</v>
      </c>
      <c r="I15" s="13">
        <v>2</v>
      </c>
      <c r="J15" s="13">
        <v>2</v>
      </c>
      <c r="K15" s="13">
        <v>2</v>
      </c>
      <c r="L15" s="13">
        <v>2</v>
      </c>
      <c r="M15" s="13">
        <v>2</v>
      </c>
      <c r="N15" s="13">
        <v>2</v>
      </c>
      <c r="O15" s="26" t="s">
        <v>6</v>
      </c>
      <c r="P15" s="13">
        <v>3</v>
      </c>
      <c r="Q15" s="13">
        <v>3</v>
      </c>
      <c r="R15" s="13">
        <v>2</v>
      </c>
      <c r="S15" s="13">
        <v>2</v>
      </c>
      <c r="T15" s="13">
        <v>2</v>
      </c>
      <c r="U15" s="13">
        <v>2</v>
      </c>
      <c r="V15" s="13">
        <v>3</v>
      </c>
      <c r="W15" s="9">
        <f>AVERAGE(C15:V15)</f>
        <v>2.2105263157894739</v>
      </c>
      <c r="X15" s="1"/>
      <c r="Y15" s="1"/>
    </row>
    <row r="16" spans="1:25" ht="16.5" customHeight="1">
      <c r="A16" s="5" t="s">
        <v>21</v>
      </c>
      <c r="B16" s="8" t="s">
        <v>22</v>
      </c>
      <c r="C16" s="11" t="s">
        <v>6</v>
      </c>
      <c r="D16" s="11" t="s">
        <v>6</v>
      </c>
      <c r="E16" s="11" t="s">
        <v>6</v>
      </c>
      <c r="F16" s="11" t="s">
        <v>6</v>
      </c>
      <c r="G16" s="11" t="s">
        <v>6</v>
      </c>
      <c r="H16" s="11" t="s">
        <v>6</v>
      </c>
      <c r="I16" s="11" t="s">
        <v>6</v>
      </c>
      <c r="J16" s="11" t="s">
        <v>6</v>
      </c>
      <c r="K16" s="11" t="s">
        <v>6</v>
      </c>
      <c r="L16" s="11" t="s">
        <v>6</v>
      </c>
      <c r="M16" s="11" t="s">
        <v>6</v>
      </c>
      <c r="N16" s="11" t="s">
        <v>6</v>
      </c>
      <c r="O16" s="11" t="s">
        <v>6</v>
      </c>
      <c r="P16" s="11" t="s">
        <v>6</v>
      </c>
      <c r="Q16" s="11" t="s">
        <v>6</v>
      </c>
      <c r="R16" s="11" t="s">
        <v>6</v>
      </c>
      <c r="S16" s="11" t="s">
        <v>6</v>
      </c>
      <c r="T16" s="11" t="s">
        <v>6</v>
      </c>
      <c r="U16" s="11" t="s">
        <v>6</v>
      </c>
      <c r="V16" s="11" t="s">
        <v>6</v>
      </c>
      <c r="W16" s="12" t="s">
        <v>6</v>
      </c>
      <c r="X16" s="1"/>
      <c r="Y16" s="1"/>
    </row>
    <row r="17" spans="1:23" ht="18" customHeight="1">
      <c r="A17" s="5" t="s">
        <v>23</v>
      </c>
      <c r="B17" s="8" t="s">
        <v>24</v>
      </c>
      <c r="C17" s="11" t="s">
        <v>6</v>
      </c>
      <c r="D17" s="11" t="s">
        <v>6</v>
      </c>
      <c r="E17" s="11" t="s">
        <v>6</v>
      </c>
      <c r="F17" s="11" t="s">
        <v>6</v>
      </c>
      <c r="G17" s="11" t="s">
        <v>6</v>
      </c>
      <c r="H17" s="11" t="s">
        <v>6</v>
      </c>
      <c r="I17" s="11" t="s">
        <v>6</v>
      </c>
      <c r="J17" s="11" t="s">
        <v>6</v>
      </c>
      <c r="K17" s="11" t="s">
        <v>6</v>
      </c>
      <c r="L17" s="11" t="s">
        <v>6</v>
      </c>
      <c r="M17" s="11" t="s">
        <v>6</v>
      </c>
      <c r="N17" s="11" t="s">
        <v>6</v>
      </c>
      <c r="O17" s="11" t="s">
        <v>6</v>
      </c>
      <c r="P17" s="11" t="s">
        <v>6</v>
      </c>
      <c r="Q17" s="11" t="s">
        <v>6</v>
      </c>
      <c r="R17" s="11" t="s">
        <v>6</v>
      </c>
      <c r="S17" s="11" t="s">
        <v>6</v>
      </c>
      <c r="T17" s="11" t="s">
        <v>6</v>
      </c>
      <c r="U17" s="11" t="s">
        <v>6</v>
      </c>
      <c r="V17" s="11" t="s">
        <v>6</v>
      </c>
      <c r="W17" s="12" t="s">
        <v>6</v>
      </c>
    </row>
    <row r="18" spans="1:23" ht="12.75" customHeight="1">
      <c r="A18" s="5" t="s">
        <v>25</v>
      </c>
      <c r="B18" s="8" t="s">
        <v>26</v>
      </c>
      <c r="C18" s="10" t="s">
        <v>6</v>
      </c>
      <c r="D18" s="10" t="s">
        <v>6</v>
      </c>
      <c r="E18" s="10" t="s">
        <v>6</v>
      </c>
      <c r="F18" s="10" t="s">
        <v>6</v>
      </c>
      <c r="G18" s="10" t="s">
        <v>6</v>
      </c>
      <c r="H18" s="10" t="s">
        <v>6</v>
      </c>
      <c r="I18" s="10" t="s">
        <v>6</v>
      </c>
      <c r="J18" s="10" t="s">
        <v>6</v>
      </c>
      <c r="K18" s="10" t="s">
        <v>6</v>
      </c>
      <c r="L18" s="10" t="s">
        <v>6</v>
      </c>
      <c r="M18" s="10" t="s">
        <v>6</v>
      </c>
      <c r="N18" s="10" t="s">
        <v>6</v>
      </c>
      <c r="O18" s="10" t="s">
        <v>6</v>
      </c>
      <c r="P18" s="10" t="s">
        <v>6</v>
      </c>
      <c r="Q18" s="10" t="s">
        <v>6</v>
      </c>
      <c r="R18" s="10" t="s">
        <v>6</v>
      </c>
      <c r="S18" s="10" t="s">
        <v>6</v>
      </c>
      <c r="T18" s="10" t="s">
        <v>6</v>
      </c>
      <c r="U18" s="10" t="s">
        <v>6</v>
      </c>
      <c r="V18" s="10" t="s">
        <v>6</v>
      </c>
      <c r="W18" s="14" t="s">
        <v>6</v>
      </c>
    </row>
    <row r="19" spans="1:23" ht="19.5" customHeight="1">
      <c r="A19" s="134" t="s">
        <v>27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1"/>
    </row>
    <row r="20" spans="1:23" ht="18.75" customHeight="1">
      <c r="A20" s="5" t="s">
        <v>28</v>
      </c>
      <c r="B20" s="8" t="s">
        <v>29</v>
      </c>
      <c r="C20" s="11">
        <v>3</v>
      </c>
      <c r="D20" s="11">
        <v>3</v>
      </c>
      <c r="E20" s="11">
        <v>2</v>
      </c>
      <c r="F20" s="11">
        <v>0</v>
      </c>
      <c r="G20" s="11">
        <v>3</v>
      </c>
      <c r="H20" s="11">
        <v>0</v>
      </c>
      <c r="I20" s="11">
        <v>3</v>
      </c>
      <c r="J20" s="11">
        <v>0</v>
      </c>
      <c r="K20" s="11">
        <v>3</v>
      </c>
      <c r="L20" s="11">
        <v>0</v>
      </c>
      <c r="M20" s="11">
        <v>3</v>
      </c>
      <c r="N20" s="11">
        <v>3</v>
      </c>
      <c r="O20" s="11" t="s">
        <v>6</v>
      </c>
      <c r="P20" s="11">
        <v>2</v>
      </c>
      <c r="Q20" s="11">
        <v>2</v>
      </c>
      <c r="R20" s="11">
        <v>3</v>
      </c>
      <c r="S20" s="11">
        <v>3</v>
      </c>
      <c r="T20" s="11">
        <v>0</v>
      </c>
      <c r="U20" s="11">
        <v>3</v>
      </c>
      <c r="V20" s="11">
        <v>0</v>
      </c>
      <c r="W20" s="9">
        <f>AVERAGE(C20:V20)</f>
        <v>1.8947368421052631</v>
      </c>
    </row>
    <row r="21" spans="1:23" ht="19.5" customHeight="1">
      <c r="A21" s="133" t="s">
        <v>30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1"/>
    </row>
    <row r="22" spans="1:23" ht="19.5" customHeight="1">
      <c r="A22" s="5" t="s">
        <v>31</v>
      </c>
      <c r="B22" s="8" t="s">
        <v>32</v>
      </c>
      <c r="C22" s="11">
        <v>3</v>
      </c>
      <c r="D22" s="11">
        <v>3</v>
      </c>
      <c r="E22" s="11">
        <v>3</v>
      </c>
      <c r="F22" s="11">
        <v>2</v>
      </c>
      <c r="G22" s="11">
        <v>3</v>
      </c>
      <c r="H22" s="11">
        <v>2</v>
      </c>
      <c r="I22" s="11">
        <v>3</v>
      </c>
      <c r="J22" s="11">
        <v>2</v>
      </c>
      <c r="K22" s="11">
        <v>2</v>
      </c>
      <c r="L22" s="11">
        <v>2</v>
      </c>
      <c r="M22" s="11">
        <v>2</v>
      </c>
      <c r="N22" s="11">
        <v>3</v>
      </c>
      <c r="O22" s="11" t="s">
        <v>6</v>
      </c>
      <c r="P22" s="11">
        <v>3</v>
      </c>
      <c r="Q22" s="11">
        <v>3</v>
      </c>
      <c r="R22" s="11">
        <v>3</v>
      </c>
      <c r="S22" s="11">
        <v>3</v>
      </c>
      <c r="T22" s="11">
        <v>2</v>
      </c>
      <c r="U22" s="11">
        <v>3</v>
      </c>
      <c r="V22" s="11">
        <v>3</v>
      </c>
      <c r="W22" s="9">
        <f>AVERAGE(C22:V22)</f>
        <v>2.6315789473684212</v>
      </c>
    </row>
    <row r="23" spans="1:23" ht="26.25" customHeight="1">
      <c r="A23" s="5" t="s">
        <v>33</v>
      </c>
      <c r="B23" s="8" t="s">
        <v>34</v>
      </c>
      <c r="C23" s="11">
        <v>2</v>
      </c>
      <c r="D23" s="11">
        <v>2</v>
      </c>
      <c r="E23" s="11">
        <v>3</v>
      </c>
      <c r="F23" s="11">
        <v>3</v>
      </c>
      <c r="G23" s="11">
        <v>3</v>
      </c>
      <c r="H23" s="11">
        <v>2</v>
      </c>
      <c r="I23" s="11">
        <v>3</v>
      </c>
      <c r="J23" s="11">
        <v>2</v>
      </c>
      <c r="K23" s="11">
        <v>0</v>
      </c>
      <c r="L23" s="11">
        <v>2</v>
      </c>
      <c r="M23" s="11">
        <v>2</v>
      </c>
      <c r="N23" s="11">
        <v>0</v>
      </c>
      <c r="O23" s="11" t="s">
        <v>6</v>
      </c>
      <c r="P23" s="11">
        <v>3</v>
      </c>
      <c r="Q23" s="11">
        <v>2</v>
      </c>
      <c r="R23" s="11">
        <v>2</v>
      </c>
      <c r="S23" s="11">
        <v>3</v>
      </c>
      <c r="T23" s="11">
        <v>2</v>
      </c>
      <c r="U23" s="11">
        <v>2</v>
      </c>
      <c r="V23" s="11">
        <v>2</v>
      </c>
      <c r="W23" s="9">
        <f>AVERAGE(C23:V23)</f>
        <v>2.1052631578947367</v>
      </c>
    </row>
    <row r="24" spans="1:23" ht="21" customHeight="1">
      <c r="A24" s="133" t="s">
        <v>35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1"/>
    </row>
    <row r="25" spans="1:23" ht="25.5" customHeight="1">
      <c r="A25" s="5" t="s">
        <v>36</v>
      </c>
      <c r="B25" s="8" t="s">
        <v>37</v>
      </c>
      <c r="C25" s="10">
        <v>3</v>
      </c>
      <c r="D25" s="10">
        <v>3</v>
      </c>
      <c r="E25" s="10">
        <v>2</v>
      </c>
      <c r="F25" s="10">
        <v>2</v>
      </c>
      <c r="G25" s="10">
        <v>3</v>
      </c>
      <c r="H25" s="10">
        <v>2</v>
      </c>
      <c r="I25" s="10">
        <v>2</v>
      </c>
      <c r="J25" s="10">
        <v>2</v>
      </c>
      <c r="K25" s="10">
        <v>2</v>
      </c>
      <c r="L25" s="10">
        <v>2</v>
      </c>
      <c r="M25" s="10">
        <v>2</v>
      </c>
      <c r="N25" s="10">
        <v>3</v>
      </c>
      <c r="O25" s="10" t="s">
        <v>6</v>
      </c>
      <c r="P25" s="10">
        <v>3</v>
      </c>
      <c r="Q25" s="10">
        <v>2</v>
      </c>
      <c r="R25" s="10">
        <v>3</v>
      </c>
      <c r="S25" s="10">
        <v>2</v>
      </c>
      <c r="T25" s="10">
        <v>2</v>
      </c>
      <c r="U25" s="10">
        <v>3</v>
      </c>
      <c r="V25" s="10">
        <v>2</v>
      </c>
      <c r="W25" s="9">
        <f>AVERAGE(C25:V25)</f>
        <v>2.3684210526315788</v>
      </c>
    </row>
    <row r="26" spans="1:23" ht="19.5" customHeight="1">
      <c r="A26" s="134" t="s">
        <v>38</v>
      </c>
      <c r="B26" s="120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1"/>
    </row>
    <row r="27" spans="1:23" ht="26.25" customHeight="1">
      <c r="A27" s="5" t="s">
        <v>39</v>
      </c>
      <c r="B27" s="8" t="s">
        <v>40</v>
      </c>
      <c r="C27" s="11">
        <v>3</v>
      </c>
      <c r="D27" s="11">
        <v>3</v>
      </c>
      <c r="E27" s="11">
        <v>2</v>
      </c>
      <c r="F27" s="11">
        <v>2</v>
      </c>
      <c r="G27" s="11">
        <v>3</v>
      </c>
      <c r="H27" s="11">
        <v>2</v>
      </c>
      <c r="I27" s="11">
        <v>3</v>
      </c>
      <c r="J27" s="11">
        <v>2</v>
      </c>
      <c r="K27" s="11">
        <v>2</v>
      </c>
      <c r="L27" s="11">
        <v>2</v>
      </c>
      <c r="M27" s="11">
        <v>2</v>
      </c>
      <c r="N27" s="11">
        <v>2</v>
      </c>
      <c r="O27" s="11" t="s">
        <v>6</v>
      </c>
      <c r="P27" s="11">
        <v>3</v>
      </c>
      <c r="Q27" s="11">
        <v>2</v>
      </c>
      <c r="R27" s="11">
        <v>3</v>
      </c>
      <c r="S27" s="11">
        <v>3</v>
      </c>
      <c r="T27" s="11">
        <v>2</v>
      </c>
      <c r="U27" s="11">
        <v>3</v>
      </c>
      <c r="V27" s="11">
        <v>2</v>
      </c>
      <c r="W27" s="9">
        <f>AVERAGE(C27:V27)</f>
        <v>2.4210526315789473</v>
      </c>
    </row>
    <row r="28" spans="1:23" ht="17.25" customHeight="1">
      <c r="A28" s="5" t="s">
        <v>41</v>
      </c>
      <c r="B28" s="8" t="s">
        <v>42</v>
      </c>
      <c r="C28" s="11">
        <v>3</v>
      </c>
      <c r="D28" s="11">
        <v>3</v>
      </c>
      <c r="E28" s="11">
        <v>3</v>
      </c>
      <c r="F28" s="11">
        <v>2</v>
      </c>
      <c r="G28" s="11">
        <v>3</v>
      </c>
      <c r="H28" s="11">
        <v>2</v>
      </c>
      <c r="I28" s="11">
        <v>3</v>
      </c>
      <c r="J28" s="11">
        <v>2</v>
      </c>
      <c r="K28" s="11">
        <v>3</v>
      </c>
      <c r="L28" s="11">
        <v>2</v>
      </c>
      <c r="M28" s="11">
        <v>3</v>
      </c>
      <c r="N28" s="11">
        <v>3</v>
      </c>
      <c r="O28" s="11" t="s">
        <v>6</v>
      </c>
      <c r="P28" s="11">
        <v>3</v>
      </c>
      <c r="Q28" s="11">
        <v>3</v>
      </c>
      <c r="R28" s="11">
        <v>3</v>
      </c>
      <c r="S28" s="11">
        <v>3</v>
      </c>
      <c r="T28" s="11">
        <v>2</v>
      </c>
      <c r="U28" s="11">
        <v>3</v>
      </c>
      <c r="V28" s="11">
        <v>2</v>
      </c>
      <c r="W28" s="9">
        <f>AVERAGE(C28:V28)</f>
        <v>2.6842105263157894</v>
      </c>
    </row>
    <row r="29" spans="1:23" ht="15" customHeight="1">
      <c r="A29" s="5" t="s">
        <v>43</v>
      </c>
      <c r="B29" s="8" t="s">
        <v>44</v>
      </c>
      <c r="C29" s="11">
        <v>3</v>
      </c>
      <c r="D29" s="11">
        <v>3</v>
      </c>
      <c r="E29" s="11">
        <v>3</v>
      </c>
      <c r="F29" s="11">
        <v>2</v>
      </c>
      <c r="G29" s="11">
        <v>3</v>
      </c>
      <c r="H29" s="11">
        <v>2</v>
      </c>
      <c r="I29" s="11">
        <v>3</v>
      </c>
      <c r="J29" s="11">
        <v>2</v>
      </c>
      <c r="K29" s="11">
        <v>2</v>
      </c>
      <c r="L29" s="11">
        <v>2</v>
      </c>
      <c r="M29" s="11">
        <v>2</v>
      </c>
      <c r="N29" s="11">
        <v>3</v>
      </c>
      <c r="O29" s="11" t="s">
        <v>6</v>
      </c>
      <c r="P29" s="11">
        <v>3</v>
      </c>
      <c r="Q29" s="11">
        <v>3</v>
      </c>
      <c r="R29" s="11">
        <v>3</v>
      </c>
      <c r="S29" s="11">
        <v>3</v>
      </c>
      <c r="T29" s="11">
        <v>3</v>
      </c>
      <c r="U29" s="11">
        <v>3</v>
      </c>
      <c r="V29" s="11">
        <v>3</v>
      </c>
      <c r="W29" s="9">
        <f>AVERAGE(C29:V29)</f>
        <v>2.6842105263157894</v>
      </c>
    </row>
    <row r="30" spans="1:23" ht="19.5" customHeight="1">
      <c r="A30" s="134" t="s">
        <v>45</v>
      </c>
      <c r="B30" s="120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1"/>
    </row>
    <row r="31" spans="1:23" ht="21.75" customHeight="1">
      <c r="A31" s="5" t="s">
        <v>46</v>
      </c>
      <c r="B31" s="8" t="s">
        <v>47</v>
      </c>
      <c r="C31" s="10">
        <v>3</v>
      </c>
      <c r="D31" s="10">
        <v>3</v>
      </c>
      <c r="E31" s="10">
        <v>0</v>
      </c>
      <c r="F31" s="10">
        <v>0</v>
      </c>
      <c r="G31" s="10">
        <v>3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 t="s">
        <v>6</v>
      </c>
      <c r="P31" s="10">
        <v>3</v>
      </c>
      <c r="Q31" s="10">
        <v>0</v>
      </c>
      <c r="R31" s="10">
        <v>3</v>
      </c>
      <c r="S31" s="10">
        <v>3</v>
      </c>
      <c r="T31" s="10">
        <v>0</v>
      </c>
      <c r="U31" s="10">
        <v>3</v>
      </c>
      <c r="V31" s="10">
        <v>0</v>
      </c>
      <c r="W31" s="9">
        <f>AVERAGE(C31:V31)</f>
        <v>1.1052631578947369</v>
      </c>
    </row>
    <row r="32" spans="1:23" ht="18.75" customHeight="1">
      <c r="A32" s="133" t="s">
        <v>48</v>
      </c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1"/>
    </row>
    <row r="33" spans="1:27" ht="20.25" customHeight="1">
      <c r="A33" s="5" t="s">
        <v>49</v>
      </c>
      <c r="B33" s="8" t="s">
        <v>50</v>
      </c>
      <c r="C33" s="11">
        <v>3</v>
      </c>
      <c r="D33" s="11">
        <v>3</v>
      </c>
      <c r="E33" s="11">
        <v>3</v>
      </c>
      <c r="F33" s="11">
        <v>3</v>
      </c>
      <c r="G33" s="11">
        <v>3</v>
      </c>
      <c r="H33" s="11">
        <v>3</v>
      </c>
      <c r="I33" s="11">
        <v>2</v>
      </c>
      <c r="J33" s="11">
        <v>3</v>
      </c>
      <c r="K33" s="11">
        <v>2</v>
      </c>
      <c r="L33" s="11">
        <v>3</v>
      </c>
      <c r="M33" s="11">
        <v>3</v>
      </c>
      <c r="N33" s="11">
        <v>3</v>
      </c>
      <c r="O33" s="11" t="s">
        <v>6</v>
      </c>
      <c r="P33" s="11">
        <v>2</v>
      </c>
      <c r="Q33" s="11">
        <v>2</v>
      </c>
      <c r="R33" s="11">
        <v>2</v>
      </c>
      <c r="S33" s="11">
        <v>2</v>
      </c>
      <c r="T33" s="11">
        <v>2</v>
      </c>
      <c r="U33" s="11">
        <v>2</v>
      </c>
      <c r="V33" s="11">
        <v>3</v>
      </c>
      <c r="W33" s="9">
        <f>AVERAGE(C33:V33)</f>
        <v>2.5789473684210527</v>
      </c>
    </row>
    <row r="34" spans="1:27" ht="18.75" customHeight="1">
      <c r="A34" s="133" t="s">
        <v>51</v>
      </c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1"/>
    </row>
    <row r="35" spans="1:27" ht="14.25" customHeight="1">
      <c r="A35" s="5" t="s">
        <v>52</v>
      </c>
      <c r="B35" s="8" t="s">
        <v>53</v>
      </c>
      <c r="C35" s="10" t="s">
        <v>6</v>
      </c>
      <c r="D35" s="10" t="s">
        <v>6</v>
      </c>
      <c r="E35" s="10" t="s">
        <v>6</v>
      </c>
      <c r="F35" s="10" t="s">
        <v>6</v>
      </c>
      <c r="G35" s="10" t="s">
        <v>6</v>
      </c>
      <c r="H35" s="10" t="s">
        <v>6</v>
      </c>
      <c r="I35" s="10" t="s">
        <v>6</v>
      </c>
      <c r="J35" s="10" t="s">
        <v>6</v>
      </c>
      <c r="K35" s="10" t="s">
        <v>6</v>
      </c>
      <c r="L35" s="10" t="s">
        <v>6</v>
      </c>
      <c r="M35" s="10" t="s">
        <v>6</v>
      </c>
      <c r="N35" s="10" t="s">
        <v>6</v>
      </c>
      <c r="O35" s="10" t="s">
        <v>6</v>
      </c>
      <c r="P35" s="10" t="s">
        <v>6</v>
      </c>
      <c r="Q35" s="10" t="s">
        <v>6</v>
      </c>
      <c r="R35" s="10" t="s">
        <v>6</v>
      </c>
      <c r="S35" s="10" t="s">
        <v>6</v>
      </c>
      <c r="T35" s="10" t="s">
        <v>6</v>
      </c>
      <c r="U35" s="10" t="s">
        <v>6</v>
      </c>
      <c r="V35" s="10" t="s">
        <v>6</v>
      </c>
      <c r="W35" s="10" t="s">
        <v>6</v>
      </c>
    </row>
    <row r="36" spans="1:27" ht="15.75" customHeight="1">
      <c r="A36" s="133" t="s">
        <v>54</v>
      </c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1"/>
    </row>
    <row r="37" spans="1:27" ht="18" customHeight="1">
      <c r="A37" s="5" t="s">
        <v>55</v>
      </c>
      <c r="B37" s="8" t="s">
        <v>56</v>
      </c>
      <c r="C37" s="11" t="s">
        <v>6</v>
      </c>
      <c r="D37" s="11" t="s">
        <v>6</v>
      </c>
      <c r="E37" s="11" t="s">
        <v>6</v>
      </c>
      <c r="F37" s="11" t="s">
        <v>6</v>
      </c>
      <c r="G37" s="11" t="s">
        <v>6</v>
      </c>
      <c r="H37" s="11" t="s">
        <v>6</v>
      </c>
      <c r="I37" s="11" t="s">
        <v>6</v>
      </c>
      <c r="J37" s="11" t="s">
        <v>6</v>
      </c>
      <c r="K37" s="11" t="s">
        <v>6</v>
      </c>
      <c r="L37" s="11" t="s">
        <v>6</v>
      </c>
      <c r="M37" s="11" t="s">
        <v>6</v>
      </c>
      <c r="N37" s="11" t="s">
        <v>6</v>
      </c>
      <c r="O37" s="11" t="s">
        <v>6</v>
      </c>
      <c r="P37" s="11" t="s">
        <v>6</v>
      </c>
      <c r="Q37" s="11" t="s">
        <v>6</v>
      </c>
      <c r="R37" s="11" t="s">
        <v>6</v>
      </c>
      <c r="S37" s="11" t="s">
        <v>6</v>
      </c>
      <c r="T37" s="11" t="s">
        <v>6</v>
      </c>
      <c r="U37" s="11" t="s">
        <v>6</v>
      </c>
      <c r="V37" s="11" t="s">
        <v>6</v>
      </c>
      <c r="W37" s="11" t="s">
        <v>6</v>
      </c>
    </row>
    <row r="38" spans="1:27" ht="21" customHeight="1">
      <c r="A38" s="5" t="s">
        <v>57</v>
      </c>
      <c r="B38" s="8" t="s">
        <v>58</v>
      </c>
      <c r="C38" s="11" t="s">
        <v>6</v>
      </c>
      <c r="D38" s="11" t="s">
        <v>6</v>
      </c>
      <c r="E38" s="11" t="s">
        <v>6</v>
      </c>
      <c r="F38" s="11" t="s">
        <v>6</v>
      </c>
      <c r="G38" s="11" t="s">
        <v>6</v>
      </c>
      <c r="H38" s="11" t="s">
        <v>6</v>
      </c>
      <c r="I38" s="11" t="s">
        <v>6</v>
      </c>
      <c r="J38" s="11" t="s">
        <v>6</v>
      </c>
      <c r="K38" s="11" t="s">
        <v>6</v>
      </c>
      <c r="L38" s="11" t="s">
        <v>6</v>
      </c>
      <c r="M38" s="11" t="s">
        <v>6</v>
      </c>
      <c r="N38" s="11" t="s">
        <v>6</v>
      </c>
      <c r="O38" s="11" t="s">
        <v>6</v>
      </c>
      <c r="P38" s="11" t="s">
        <v>6</v>
      </c>
      <c r="Q38" s="11" t="s">
        <v>6</v>
      </c>
      <c r="R38" s="11" t="s">
        <v>6</v>
      </c>
      <c r="S38" s="11" t="s">
        <v>6</v>
      </c>
      <c r="T38" s="11" t="s">
        <v>6</v>
      </c>
      <c r="U38" s="11" t="s">
        <v>6</v>
      </c>
      <c r="V38" s="11" t="s">
        <v>6</v>
      </c>
      <c r="W38" s="11" t="s">
        <v>6</v>
      </c>
    </row>
    <row r="39" spans="1:27" ht="21" customHeight="1">
      <c r="A39" s="133" t="s">
        <v>59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1"/>
    </row>
    <row r="40" spans="1:27" ht="21" customHeight="1">
      <c r="A40" s="5" t="s">
        <v>60</v>
      </c>
      <c r="B40" s="8" t="s">
        <v>61</v>
      </c>
      <c r="C40" s="10">
        <v>1</v>
      </c>
      <c r="D40" s="10">
        <v>2</v>
      </c>
      <c r="E40" s="10">
        <v>1</v>
      </c>
      <c r="F40" s="10">
        <v>3</v>
      </c>
      <c r="G40" s="10">
        <v>2</v>
      </c>
      <c r="H40" s="10">
        <v>2</v>
      </c>
      <c r="I40" s="10">
        <v>2</v>
      </c>
      <c r="J40" s="10">
        <v>1</v>
      </c>
      <c r="K40" s="10">
        <v>1</v>
      </c>
      <c r="L40" s="10">
        <v>2</v>
      </c>
      <c r="M40" s="10">
        <v>1</v>
      </c>
      <c r="N40" s="10">
        <v>3</v>
      </c>
      <c r="O40" s="10" t="s">
        <v>6</v>
      </c>
      <c r="P40" s="10">
        <v>3</v>
      </c>
      <c r="Q40" s="10">
        <v>2</v>
      </c>
      <c r="R40" s="10">
        <v>2</v>
      </c>
      <c r="S40" s="10">
        <v>2</v>
      </c>
      <c r="T40" s="10">
        <v>2</v>
      </c>
      <c r="U40" s="10">
        <v>1</v>
      </c>
      <c r="V40" s="10">
        <v>3</v>
      </c>
      <c r="W40" s="9">
        <f>AVERAGE(C40:V40)</f>
        <v>1.8947368421052631</v>
      </c>
      <c r="AA40" s="30"/>
    </row>
    <row r="41" spans="1:27" ht="23.25" customHeight="1">
      <c r="A41" s="5" t="s">
        <v>62</v>
      </c>
      <c r="B41" s="8" t="s">
        <v>63</v>
      </c>
      <c r="C41" s="10">
        <v>3</v>
      </c>
      <c r="D41" s="10">
        <v>3</v>
      </c>
      <c r="E41" s="10">
        <v>2</v>
      </c>
      <c r="F41" s="10">
        <v>2</v>
      </c>
      <c r="G41" s="10">
        <v>3</v>
      </c>
      <c r="H41" s="10">
        <v>2</v>
      </c>
      <c r="I41" s="10">
        <v>2</v>
      </c>
      <c r="J41" s="10">
        <v>2</v>
      </c>
      <c r="K41" s="10">
        <v>2</v>
      </c>
      <c r="L41" s="10">
        <v>2</v>
      </c>
      <c r="M41" s="10">
        <v>2</v>
      </c>
      <c r="N41" s="10">
        <v>3</v>
      </c>
      <c r="O41" s="10" t="s">
        <v>6</v>
      </c>
      <c r="P41" s="10">
        <v>3</v>
      </c>
      <c r="Q41" s="10">
        <v>3</v>
      </c>
      <c r="R41" s="10">
        <v>3</v>
      </c>
      <c r="S41" s="10">
        <v>3</v>
      </c>
      <c r="T41" s="10">
        <v>2</v>
      </c>
      <c r="U41" s="10">
        <v>2</v>
      </c>
      <c r="V41" s="10">
        <v>3</v>
      </c>
      <c r="W41" s="9">
        <f>AVERAGE(C41:V41)</f>
        <v>2.4736842105263159</v>
      </c>
      <c r="AA41" s="30"/>
    </row>
    <row r="42" spans="1:27" ht="18" customHeight="1">
      <c r="A42" s="133" t="s">
        <v>64</v>
      </c>
      <c r="B42" s="120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1"/>
    </row>
    <row r="43" spans="1:27" ht="18.75" customHeight="1">
      <c r="A43" s="5" t="s">
        <v>65</v>
      </c>
      <c r="B43" s="8" t="s">
        <v>66</v>
      </c>
      <c r="C43" s="11" t="s">
        <v>6</v>
      </c>
      <c r="D43" s="11" t="s">
        <v>6</v>
      </c>
      <c r="E43" s="11" t="s">
        <v>6</v>
      </c>
      <c r="F43" s="11" t="s">
        <v>6</v>
      </c>
      <c r="G43" s="11" t="s">
        <v>6</v>
      </c>
      <c r="H43" s="11" t="s">
        <v>6</v>
      </c>
      <c r="I43" s="11" t="s">
        <v>6</v>
      </c>
      <c r="J43" s="11" t="s">
        <v>6</v>
      </c>
      <c r="K43" s="11" t="s">
        <v>6</v>
      </c>
      <c r="L43" s="11" t="s">
        <v>6</v>
      </c>
      <c r="M43" s="11" t="s">
        <v>6</v>
      </c>
      <c r="N43" s="11" t="s">
        <v>6</v>
      </c>
      <c r="O43" s="11" t="s">
        <v>6</v>
      </c>
      <c r="P43" s="11" t="s">
        <v>6</v>
      </c>
      <c r="Q43" s="11" t="s">
        <v>6</v>
      </c>
      <c r="R43" s="11" t="s">
        <v>6</v>
      </c>
      <c r="S43" s="11" t="s">
        <v>6</v>
      </c>
      <c r="T43" s="11" t="s">
        <v>6</v>
      </c>
      <c r="U43" s="11" t="s">
        <v>6</v>
      </c>
      <c r="V43" s="11" t="s">
        <v>6</v>
      </c>
      <c r="W43" s="11" t="s">
        <v>6</v>
      </c>
    </row>
    <row r="44" spans="1:27" ht="24" customHeight="1">
      <c r="A44" s="126"/>
      <c r="B44" s="121"/>
      <c r="C44" s="15">
        <f t="shared" ref="C44:H44" si="0">AVERAGE(C7:C43)</f>
        <v>2.75</v>
      </c>
      <c r="D44" s="33">
        <f t="shared" si="0"/>
        <v>2.78125</v>
      </c>
      <c r="E44" s="15">
        <f t="shared" si="0"/>
        <v>2.34375</v>
      </c>
      <c r="F44" s="15">
        <f t="shared" si="0"/>
        <v>2.25</v>
      </c>
      <c r="G44" s="33">
        <f t="shared" si="0"/>
        <v>2.8125</v>
      </c>
      <c r="H44" s="15">
        <f t="shared" si="0"/>
        <v>2.0625</v>
      </c>
      <c r="I44" s="32">
        <f>AVERAGE(I7:I43)</f>
        <v>2.5</v>
      </c>
      <c r="J44" s="15">
        <f t="shared" ref="J44:V44" si="1">AVERAGE(J7:J43)</f>
        <v>2</v>
      </c>
      <c r="K44" s="15">
        <f t="shared" si="1"/>
        <v>1.96875</v>
      </c>
      <c r="L44" s="15">
        <f t="shared" si="1"/>
        <v>2.0625</v>
      </c>
      <c r="M44" s="15">
        <f t="shared" si="1"/>
        <v>2.25</v>
      </c>
      <c r="N44" s="15">
        <f t="shared" si="1"/>
        <v>2.5</v>
      </c>
      <c r="O44" s="15" t="s">
        <v>6</v>
      </c>
      <c r="P44" s="33">
        <f t="shared" si="1"/>
        <v>2.875</v>
      </c>
      <c r="Q44" s="15">
        <f t="shared" si="1"/>
        <v>2.375</v>
      </c>
      <c r="R44" s="15">
        <f t="shared" si="1"/>
        <v>2.75</v>
      </c>
      <c r="S44" s="15">
        <f t="shared" si="1"/>
        <v>2.65625</v>
      </c>
      <c r="T44" s="15">
        <f t="shared" si="1"/>
        <v>2.0625</v>
      </c>
      <c r="U44" s="15">
        <f t="shared" si="1"/>
        <v>2.5625</v>
      </c>
      <c r="V44" s="15">
        <f t="shared" si="1"/>
        <v>2.375</v>
      </c>
      <c r="W44" s="9">
        <f>AVERAGE(C44:V44)</f>
        <v>2.4177631578947367</v>
      </c>
    </row>
    <row r="45" spans="1:27" ht="6" customHeight="1">
      <c r="A45" s="16"/>
      <c r="B45" s="16"/>
      <c r="C45" s="17"/>
      <c r="D45" s="17"/>
      <c r="E45" s="17"/>
      <c r="F45" s="17"/>
      <c r="G45" s="17"/>
      <c r="H45" s="17"/>
      <c r="I45" s="18"/>
      <c r="J45" s="17"/>
      <c r="K45" s="17"/>
      <c r="L45" s="17"/>
      <c r="M45" s="17"/>
      <c r="N45" s="17"/>
      <c r="O45" s="18"/>
      <c r="P45" s="17"/>
      <c r="Q45" s="17"/>
      <c r="R45" s="17"/>
      <c r="S45" s="17"/>
      <c r="T45" s="17"/>
      <c r="U45" s="17"/>
      <c r="V45" s="17"/>
      <c r="W45" s="18"/>
    </row>
    <row r="46" spans="1:27" ht="14.25" customHeight="1">
      <c r="A46" s="123" t="s">
        <v>97</v>
      </c>
      <c r="B46" s="120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1"/>
      <c r="O46" s="19"/>
      <c r="P46" s="19"/>
      <c r="Q46" s="19"/>
      <c r="R46" s="19"/>
      <c r="S46" s="19"/>
      <c r="T46" s="19"/>
      <c r="U46" s="19"/>
      <c r="V46" s="19"/>
      <c r="W46" s="19"/>
    </row>
    <row r="47" spans="1:27" ht="14.25" customHeight="1">
      <c r="A47" s="127" t="s">
        <v>98</v>
      </c>
      <c r="B47" s="120"/>
      <c r="C47" s="120"/>
      <c r="D47" s="120"/>
      <c r="E47" s="120"/>
      <c r="F47" s="121"/>
      <c r="G47" s="126" t="s">
        <v>96</v>
      </c>
      <c r="H47" s="120"/>
      <c r="I47" s="120"/>
      <c r="J47" s="120"/>
      <c r="K47" s="120"/>
      <c r="L47" s="120"/>
      <c r="M47" s="120"/>
      <c r="N47" s="121"/>
      <c r="O47" s="19"/>
      <c r="P47" s="19"/>
      <c r="Q47" s="19"/>
      <c r="R47" s="19"/>
      <c r="S47" s="19"/>
      <c r="T47" s="19"/>
      <c r="U47" s="19"/>
      <c r="V47" s="19"/>
      <c r="W47" s="19"/>
    </row>
    <row r="48" spans="1:27" ht="14.25" customHeight="1">
      <c r="A48" s="123" t="s">
        <v>67</v>
      </c>
      <c r="B48" s="121"/>
      <c r="C48" s="126" t="s">
        <v>68</v>
      </c>
      <c r="D48" s="120"/>
      <c r="E48" s="120"/>
      <c r="F48" s="121"/>
      <c r="G48" s="126" t="s">
        <v>69</v>
      </c>
      <c r="H48" s="120"/>
      <c r="I48" s="120"/>
      <c r="J48" s="121"/>
      <c r="K48" s="126" t="s">
        <v>70</v>
      </c>
      <c r="L48" s="120"/>
      <c r="M48" s="120"/>
      <c r="N48" s="121"/>
      <c r="O48" s="19"/>
      <c r="P48" s="19"/>
      <c r="Q48" s="19"/>
      <c r="R48" s="19"/>
      <c r="S48" s="19"/>
      <c r="T48" s="19"/>
      <c r="U48" s="19"/>
      <c r="V48" s="19"/>
      <c r="W48" s="19"/>
    </row>
    <row r="49" spans="1:25" ht="14.25" customHeight="1">
      <c r="A49" s="128" t="s">
        <v>71</v>
      </c>
      <c r="B49" s="129"/>
      <c r="C49" s="126" t="s">
        <v>90</v>
      </c>
      <c r="D49" s="120"/>
      <c r="E49" s="120"/>
      <c r="F49" s="121"/>
      <c r="G49" s="126" t="s">
        <v>83</v>
      </c>
      <c r="H49" s="120"/>
      <c r="I49" s="120"/>
      <c r="J49" s="121"/>
      <c r="K49" s="126" t="s">
        <v>80</v>
      </c>
      <c r="L49" s="120"/>
      <c r="M49" s="120"/>
      <c r="N49" s="121"/>
      <c r="O49" s="19"/>
      <c r="P49" s="19"/>
      <c r="Q49" s="19"/>
      <c r="R49" s="19"/>
      <c r="S49" s="19"/>
      <c r="T49" s="19"/>
      <c r="U49" s="19"/>
      <c r="V49" s="19"/>
      <c r="W49" s="19"/>
    </row>
    <row r="50" spans="1:25" ht="14.25" customHeight="1">
      <c r="A50" s="130"/>
      <c r="B50" s="131"/>
      <c r="C50" s="126">
        <v>2.88</v>
      </c>
      <c r="D50" s="120"/>
      <c r="E50" s="120"/>
      <c r="F50" s="121"/>
      <c r="G50" s="132">
        <v>2.8125</v>
      </c>
      <c r="H50" s="120"/>
      <c r="I50" s="120"/>
      <c r="J50" s="121"/>
      <c r="K50" s="126">
        <v>2.78</v>
      </c>
      <c r="L50" s="120"/>
      <c r="M50" s="120"/>
      <c r="N50" s="121"/>
      <c r="O50" s="19"/>
      <c r="P50" s="19"/>
      <c r="Q50" s="19"/>
      <c r="R50" s="19"/>
      <c r="S50" s="19"/>
      <c r="T50" s="19"/>
      <c r="U50" s="19"/>
      <c r="V50" s="19"/>
      <c r="W50" s="19"/>
    </row>
    <row r="51" spans="1:25" ht="14.25" customHeight="1">
      <c r="A51" s="123" t="s">
        <v>72</v>
      </c>
      <c r="B51" s="121"/>
      <c r="C51" s="119" t="s">
        <v>6</v>
      </c>
      <c r="D51" s="120"/>
      <c r="E51" s="120"/>
      <c r="F51" s="121"/>
      <c r="G51" s="119" t="s">
        <v>6</v>
      </c>
      <c r="H51" s="120"/>
      <c r="I51" s="120"/>
      <c r="J51" s="121"/>
      <c r="K51" s="119" t="s">
        <v>6</v>
      </c>
      <c r="L51" s="120"/>
      <c r="M51" s="120"/>
      <c r="N51" s="121"/>
      <c r="O51" s="19"/>
      <c r="P51" s="19"/>
      <c r="Q51" s="19"/>
      <c r="R51" s="19"/>
      <c r="S51" s="19"/>
      <c r="T51" s="19"/>
      <c r="U51" s="19"/>
      <c r="V51" s="19"/>
      <c r="W51" s="19"/>
    </row>
    <row r="52" spans="1:25" ht="14.25" customHeight="1">
      <c r="A52" s="123" t="s">
        <v>73</v>
      </c>
      <c r="B52" s="121"/>
      <c r="C52" s="119" t="s">
        <v>85</v>
      </c>
      <c r="D52" s="120"/>
      <c r="E52" s="120"/>
      <c r="F52" s="121"/>
      <c r="G52" s="119" t="s">
        <v>94</v>
      </c>
      <c r="H52" s="120"/>
      <c r="I52" s="120"/>
      <c r="J52" s="121"/>
      <c r="K52" s="119" t="s">
        <v>95</v>
      </c>
      <c r="L52" s="120"/>
      <c r="M52" s="120"/>
      <c r="N52" s="121"/>
      <c r="O52" s="19"/>
      <c r="P52" s="19"/>
      <c r="Q52" s="19"/>
      <c r="R52" s="19"/>
      <c r="S52" s="19"/>
      <c r="T52" s="19"/>
      <c r="U52" s="19"/>
      <c r="V52" s="19"/>
      <c r="W52" s="19"/>
    </row>
    <row r="53" spans="1:25" ht="14.25" customHeight="1">
      <c r="A53" s="123" t="s">
        <v>74</v>
      </c>
      <c r="B53" s="121"/>
      <c r="C53" s="119" t="s">
        <v>89</v>
      </c>
      <c r="D53" s="124"/>
      <c r="E53" s="124"/>
      <c r="F53" s="125"/>
      <c r="G53" s="119" t="s">
        <v>86</v>
      </c>
      <c r="H53" s="120"/>
      <c r="I53" s="120"/>
      <c r="J53" s="121"/>
      <c r="K53" s="119" t="s">
        <v>88</v>
      </c>
      <c r="L53" s="120"/>
      <c r="M53" s="120"/>
      <c r="N53" s="121"/>
      <c r="O53" s="19"/>
      <c r="P53" s="19"/>
      <c r="Q53" s="19"/>
      <c r="R53" s="19"/>
      <c r="S53" s="19"/>
      <c r="T53" s="19"/>
      <c r="U53" s="19"/>
      <c r="V53" s="19"/>
      <c r="W53" s="19"/>
    </row>
    <row r="54" spans="1:25" ht="14.25" customHeight="1">
      <c r="A54" s="123" t="s">
        <v>75</v>
      </c>
      <c r="B54" s="121"/>
      <c r="C54" s="119" t="s">
        <v>6</v>
      </c>
      <c r="D54" s="120"/>
      <c r="E54" s="120"/>
      <c r="F54" s="121"/>
      <c r="G54" s="119" t="s">
        <v>6</v>
      </c>
      <c r="H54" s="120"/>
      <c r="I54" s="120"/>
      <c r="J54" s="121"/>
      <c r="K54" s="119" t="s">
        <v>6</v>
      </c>
      <c r="L54" s="120"/>
      <c r="M54" s="120"/>
      <c r="N54" s="121"/>
      <c r="O54" s="19"/>
      <c r="P54" s="19"/>
      <c r="Q54" s="19"/>
      <c r="R54" s="19"/>
      <c r="S54" s="19"/>
      <c r="T54" s="19"/>
      <c r="U54" s="19"/>
      <c r="V54" s="19"/>
      <c r="W54" s="19"/>
    </row>
    <row r="55" spans="1:25" ht="14.25" customHeight="1">
      <c r="A55" s="123" t="s">
        <v>76</v>
      </c>
      <c r="B55" s="121"/>
      <c r="C55" s="119" t="s">
        <v>6</v>
      </c>
      <c r="D55" s="120"/>
      <c r="E55" s="120"/>
      <c r="F55" s="121"/>
      <c r="G55" s="119" t="s">
        <v>6</v>
      </c>
      <c r="H55" s="120"/>
      <c r="I55" s="120"/>
      <c r="J55" s="121"/>
      <c r="K55" s="119" t="s">
        <v>6</v>
      </c>
      <c r="L55" s="120"/>
      <c r="M55" s="120"/>
      <c r="N55" s="121"/>
      <c r="O55" s="19"/>
      <c r="P55" s="19"/>
      <c r="Q55" s="19"/>
      <c r="R55" s="19"/>
      <c r="S55" s="19"/>
      <c r="T55" s="19"/>
      <c r="U55" s="19"/>
      <c r="V55" s="19"/>
      <c r="W55" s="19"/>
    </row>
    <row r="56" spans="1:25" ht="33.75" customHeight="1">
      <c r="A56" s="122" t="s">
        <v>100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1"/>
      <c r="O56" s="19"/>
      <c r="P56" s="19"/>
      <c r="Q56" s="19"/>
      <c r="R56" s="19"/>
      <c r="S56" s="19"/>
      <c r="T56" s="19"/>
      <c r="U56" s="19"/>
      <c r="V56" s="19"/>
      <c r="W56" s="19"/>
    </row>
    <row r="57" spans="1:25" ht="14.25" customHeight="1">
      <c r="A57" s="1"/>
      <c r="B57" s="20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4.25" customHeight="1">
      <c r="A58" s="1"/>
      <c r="B58" s="20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4.25" customHeight="1">
      <c r="A59" s="1"/>
      <c r="B59" s="20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4.25" customHeight="1">
      <c r="A60" s="1"/>
      <c r="B60" s="20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4.25" customHeight="1">
      <c r="A61" s="1"/>
      <c r="B61" s="20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4.25" customHeight="1">
      <c r="A62" s="1"/>
      <c r="B62" s="20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4.25" customHeight="1">
      <c r="A63" s="1"/>
      <c r="B63" s="20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4.25" customHeight="1">
      <c r="A64" s="1"/>
      <c r="B64" s="20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4.25" customHeight="1">
      <c r="A65" s="1"/>
      <c r="B65" s="20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4.25" customHeight="1">
      <c r="A66" s="1"/>
      <c r="B66" s="20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4.25" customHeight="1">
      <c r="A67" s="1"/>
      <c r="B67" s="20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4.25" customHeight="1">
      <c r="A68" s="1"/>
      <c r="B68" s="20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4.25" customHeight="1">
      <c r="A69" s="1"/>
      <c r="B69" s="20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4.25" customHeight="1">
      <c r="A70" s="1"/>
      <c r="B70" s="20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4.25" customHeight="1">
      <c r="A71" s="1"/>
      <c r="B71" s="2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4.25" customHeight="1">
      <c r="A72" s="1"/>
      <c r="B72" s="20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4.25" customHeight="1">
      <c r="A73" s="1"/>
      <c r="B73" s="20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4.25" customHeight="1">
      <c r="A74" s="1"/>
      <c r="B74" s="20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4.25" customHeight="1">
      <c r="A75" s="1"/>
      <c r="B75" s="20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4.25" customHeight="1">
      <c r="A76" s="1"/>
      <c r="B76" s="20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4.25" customHeight="1">
      <c r="A77" s="1"/>
      <c r="B77" s="20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4.25" customHeight="1">
      <c r="A78" s="1"/>
      <c r="B78" s="20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4.25" customHeight="1">
      <c r="A79" s="1"/>
      <c r="B79" s="20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4.25" customHeight="1">
      <c r="A80" s="1"/>
      <c r="B80" s="20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4.25" customHeight="1">
      <c r="A81" s="1"/>
      <c r="B81" s="20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4.25" customHeight="1">
      <c r="A82" s="1"/>
      <c r="B82" s="20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4.25" customHeight="1">
      <c r="A83" s="1"/>
      <c r="B83" s="20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4.25" customHeight="1">
      <c r="A84" s="1"/>
      <c r="B84" s="20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4.25" customHeight="1">
      <c r="A85" s="1"/>
      <c r="B85" s="20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4.25" customHeight="1">
      <c r="A86" s="1"/>
      <c r="B86" s="20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4.25" customHeight="1">
      <c r="A87" s="1"/>
      <c r="B87" s="20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4.25" customHeight="1">
      <c r="A88" s="1"/>
      <c r="B88" s="20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4.25" customHeight="1">
      <c r="A89" s="1"/>
      <c r="B89" s="20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4.25" customHeight="1">
      <c r="A90" s="1"/>
      <c r="B90" s="20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4.25" customHeight="1">
      <c r="A91" s="1"/>
      <c r="B91" s="20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4.25" customHeight="1">
      <c r="A92" s="1"/>
      <c r="B92" s="20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4.25" customHeight="1">
      <c r="A93" s="1"/>
      <c r="B93" s="20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4.25" customHeight="1">
      <c r="A94" s="1"/>
      <c r="B94" s="20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4.25" customHeight="1">
      <c r="A95" s="1"/>
      <c r="B95" s="20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4.25" customHeight="1">
      <c r="A96" s="1"/>
      <c r="B96" s="20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4.25" customHeight="1">
      <c r="A97" s="1"/>
      <c r="B97" s="20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4.25" customHeight="1">
      <c r="A98" s="1"/>
      <c r="B98" s="20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4.25" customHeight="1">
      <c r="A99" s="1"/>
      <c r="B99" s="20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4.25" customHeight="1">
      <c r="A100" s="1"/>
      <c r="B100" s="20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4.25" customHeight="1">
      <c r="A101" s="1"/>
      <c r="B101" s="20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4.25" customHeight="1">
      <c r="A102" s="1"/>
      <c r="B102" s="20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4.25" customHeight="1">
      <c r="A103" s="1"/>
      <c r="B103" s="20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4.25" customHeight="1">
      <c r="A104" s="1"/>
      <c r="B104" s="20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4.25" customHeight="1">
      <c r="A105" s="1"/>
      <c r="B105" s="20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4.25" customHeight="1">
      <c r="A106" s="1"/>
      <c r="B106" s="20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4.25" customHeight="1">
      <c r="A107" s="1"/>
      <c r="B107" s="20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4.25" customHeight="1">
      <c r="A108" s="1"/>
      <c r="B108" s="20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4.25" customHeight="1">
      <c r="A109" s="1"/>
      <c r="B109" s="20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4.25" customHeight="1">
      <c r="A110" s="1"/>
      <c r="B110" s="20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4.25" customHeight="1">
      <c r="A111" s="1"/>
      <c r="B111" s="20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4.25" customHeight="1">
      <c r="A112" s="1"/>
      <c r="B112" s="20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4.25" customHeight="1">
      <c r="A113" s="1"/>
      <c r="B113" s="20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4.25" customHeight="1">
      <c r="A114" s="1"/>
      <c r="B114" s="20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4.25" customHeight="1">
      <c r="A115" s="1"/>
      <c r="B115" s="20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4.25" customHeight="1">
      <c r="A116" s="1"/>
      <c r="B116" s="20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4.25" customHeight="1">
      <c r="A117" s="1"/>
      <c r="B117" s="20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4.25" customHeight="1">
      <c r="A118" s="1"/>
      <c r="B118" s="20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4.25" customHeight="1">
      <c r="A119" s="1"/>
      <c r="B119" s="20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4.25" customHeight="1">
      <c r="A120" s="1"/>
      <c r="B120" s="20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4.25" customHeight="1">
      <c r="A121" s="1"/>
      <c r="B121" s="20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4.25" customHeight="1">
      <c r="A122" s="1"/>
      <c r="B122" s="20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4.25" customHeight="1">
      <c r="A123" s="1"/>
      <c r="B123" s="20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4.25" customHeight="1">
      <c r="A124" s="1"/>
      <c r="B124" s="20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4.25" customHeight="1">
      <c r="A125" s="1"/>
      <c r="B125" s="20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4.25" customHeight="1">
      <c r="A126" s="1"/>
      <c r="B126" s="20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4.25" customHeight="1">
      <c r="A127" s="1"/>
      <c r="B127" s="20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4.25" customHeight="1">
      <c r="A128" s="1"/>
      <c r="B128" s="20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4.25" customHeight="1">
      <c r="A129" s="1"/>
      <c r="B129" s="20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4.25" customHeight="1">
      <c r="A130" s="1"/>
      <c r="B130" s="20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4.25" customHeight="1">
      <c r="A131" s="1"/>
      <c r="B131" s="20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4.25" customHeight="1">
      <c r="A132" s="1"/>
      <c r="B132" s="20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4.25" customHeight="1">
      <c r="A133" s="1"/>
      <c r="B133" s="20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4.25" customHeight="1">
      <c r="A134" s="1"/>
      <c r="B134" s="20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4.25" customHeight="1">
      <c r="A135" s="1"/>
      <c r="B135" s="20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4.25" customHeight="1">
      <c r="A136" s="1"/>
      <c r="B136" s="20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4.25" customHeight="1">
      <c r="A137" s="1"/>
      <c r="B137" s="20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4.25" customHeight="1">
      <c r="A138" s="1"/>
      <c r="B138" s="20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4.25" customHeight="1">
      <c r="A139" s="1"/>
      <c r="B139" s="20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4.25" customHeight="1">
      <c r="A140" s="1"/>
      <c r="B140" s="20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4.25" customHeight="1">
      <c r="A141" s="1"/>
      <c r="B141" s="20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4.25" customHeight="1">
      <c r="A142" s="1"/>
      <c r="B142" s="20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4.25" customHeight="1">
      <c r="A143" s="1"/>
      <c r="B143" s="20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4.25" customHeight="1">
      <c r="A144" s="1"/>
      <c r="B144" s="20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4.25" customHeight="1">
      <c r="A145" s="1"/>
      <c r="B145" s="20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4.25" customHeight="1">
      <c r="A146" s="1"/>
      <c r="B146" s="20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4.25" customHeight="1">
      <c r="A147" s="1"/>
      <c r="B147" s="20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4.25" customHeight="1">
      <c r="A148" s="1"/>
      <c r="B148" s="20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4.25" customHeight="1">
      <c r="A149" s="1"/>
      <c r="B149" s="20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4.25" customHeight="1">
      <c r="A150" s="1"/>
      <c r="B150" s="20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4.25" customHeight="1">
      <c r="A151" s="1"/>
      <c r="B151" s="20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4.25" customHeight="1">
      <c r="A152" s="1"/>
      <c r="B152" s="20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4.25" customHeight="1">
      <c r="A153" s="1"/>
      <c r="B153" s="20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4.25" customHeight="1">
      <c r="A154" s="1"/>
      <c r="B154" s="20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4.25" customHeight="1">
      <c r="A155" s="1"/>
      <c r="B155" s="20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4.25" customHeight="1">
      <c r="A156" s="1"/>
      <c r="B156" s="20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4.25" customHeight="1">
      <c r="A157" s="1"/>
      <c r="B157" s="20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4.25" customHeight="1">
      <c r="A158" s="1"/>
      <c r="B158" s="20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4.25" customHeight="1">
      <c r="A159" s="1"/>
      <c r="B159" s="20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4.25" customHeight="1">
      <c r="A160" s="1"/>
      <c r="B160" s="20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4.25" customHeight="1">
      <c r="A161" s="1"/>
      <c r="B161" s="20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4.25" customHeight="1">
      <c r="A162" s="1"/>
      <c r="B162" s="20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4.25" customHeight="1">
      <c r="A163" s="1"/>
      <c r="B163" s="20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4.25" customHeight="1">
      <c r="A164" s="1"/>
      <c r="B164" s="20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4.25" customHeight="1">
      <c r="A165" s="1"/>
      <c r="B165" s="20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4.25" customHeight="1">
      <c r="A166" s="1"/>
      <c r="B166" s="20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4.25" customHeight="1">
      <c r="A167" s="1"/>
      <c r="B167" s="20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4.25" customHeight="1">
      <c r="A168" s="1"/>
      <c r="B168" s="20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4.25" customHeight="1">
      <c r="A169" s="1"/>
      <c r="B169" s="20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4.25" customHeight="1">
      <c r="A170" s="1"/>
      <c r="B170" s="20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4.25" customHeight="1">
      <c r="A171" s="1"/>
      <c r="B171" s="20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4.25" customHeight="1">
      <c r="A172" s="1"/>
      <c r="B172" s="20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4.25" customHeight="1">
      <c r="A173" s="1"/>
      <c r="B173" s="20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4.25" customHeight="1">
      <c r="A174" s="1"/>
      <c r="B174" s="20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4.25" customHeight="1">
      <c r="A175" s="1"/>
      <c r="B175" s="20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4.25" customHeight="1">
      <c r="A176" s="1"/>
      <c r="B176" s="20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4.25" customHeight="1">
      <c r="A177" s="1"/>
      <c r="B177" s="20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4.25" customHeight="1">
      <c r="A178" s="1"/>
      <c r="B178" s="20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4.25" customHeight="1">
      <c r="A179" s="1"/>
      <c r="B179" s="20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4.25" customHeight="1">
      <c r="A180" s="1"/>
      <c r="B180" s="20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4.25" customHeight="1">
      <c r="A181" s="1"/>
      <c r="B181" s="20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4.25" customHeight="1">
      <c r="A182" s="1"/>
      <c r="B182" s="20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4.25" customHeight="1">
      <c r="A183" s="1"/>
      <c r="B183" s="20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4.25" customHeight="1">
      <c r="A184" s="1"/>
      <c r="B184" s="20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4.25" customHeight="1">
      <c r="A185" s="1"/>
      <c r="B185" s="20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4.25" customHeight="1">
      <c r="A186" s="1"/>
      <c r="B186" s="20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4.25" customHeight="1">
      <c r="A187" s="1"/>
      <c r="B187" s="20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4.25" customHeight="1">
      <c r="A188" s="1"/>
      <c r="B188" s="20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4.25" customHeight="1">
      <c r="A189" s="1"/>
      <c r="B189" s="20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4.25" customHeight="1">
      <c r="A190" s="1"/>
      <c r="B190" s="20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4.25" customHeight="1">
      <c r="A191" s="1"/>
      <c r="B191" s="20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4.25" customHeight="1">
      <c r="A192" s="1"/>
      <c r="B192" s="20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4.25" customHeight="1">
      <c r="A193" s="1"/>
      <c r="B193" s="20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4.25" customHeight="1">
      <c r="A194" s="1"/>
      <c r="B194" s="20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4.25" customHeight="1">
      <c r="A195" s="1"/>
      <c r="B195" s="20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4.25" customHeight="1">
      <c r="A196" s="1"/>
      <c r="B196" s="20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4.25" customHeight="1">
      <c r="A197" s="1"/>
      <c r="B197" s="20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4.25" customHeight="1">
      <c r="A198" s="1"/>
      <c r="B198" s="20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4.25" customHeight="1">
      <c r="A199" s="1"/>
      <c r="B199" s="20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4.25" customHeight="1">
      <c r="A200" s="1"/>
      <c r="B200" s="20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4.25" customHeight="1">
      <c r="A201" s="1"/>
      <c r="B201" s="20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4.25" customHeight="1">
      <c r="A202" s="1"/>
      <c r="B202" s="20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4.25" customHeight="1">
      <c r="A203" s="1"/>
      <c r="B203" s="20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4.25" customHeight="1">
      <c r="A204" s="1"/>
      <c r="B204" s="20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4.25" customHeight="1">
      <c r="A205" s="1"/>
      <c r="B205" s="20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4.25" customHeight="1">
      <c r="A206" s="1"/>
      <c r="B206" s="20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4.25" customHeight="1">
      <c r="A207" s="1"/>
      <c r="B207" s="20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4.25" customHeight="1">
      <c r="A208" s="1"/>
      <c r="B208" s="20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4.25" customHeight="1">
      <c r="A209" s="1"/>
      <c r="B209" s="20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4.25" customHeight="1">
      <c r="A210" s="1"/>
      <c r="B210" s="20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4.25" customHeight="1">
      <c r="A211" s="1"/>
      <c r="B211" s="20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4.25" customHeight="1">
      <c r="A212" s="1"/>
      <c r="B212" s="20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4.25" customHeight="1">
      <c r="A213" s="1"/>
      <c r="B213" s="20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4.25" customHeight="1">
      <c r="A214" s="1"/>
      <c r="B214" s="20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4.25" customHeight="1">
      <c r="A215" s="1"/>
      <c r="B215" s="20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4.25" customHeight="1">
      <c r="A216" s="1"/>
      <c r="B216" s="20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4.25" customHeight="1">
      <c r="A217" s="1"/>
      <c r="B217" s="20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4.25" customHeight="1">
      <c r="A218" s="1"/>
      <c r="B218" s="20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4.25" customHeight="1">
      <c r="A219" s="1"/>
      <c r="B219" s="20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4.25" customHeight="1">
      <c r="A220" s="1"/>
      <c r="B220" s="20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4.25" customHeight="1">
      <c r="A221" s="1"/>
      <c r="B221" s="20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4.25" customHeight="1">
      <c r="A222" s="1"/>
      <c r="B222" s="20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4.25" customHeight="1">
      <c r="A223" s="1"/>
      <c r="B223" s="20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4.25" customHeight="1">
      <c r="A224" s="1"/>
      <c r="B224" s="20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4.25" customHeight="1">
      <c r="A225" s="1"/>
      <c r="B225" s="20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4.25" customHeight="1">
      <c r="A226" s="1"/>
      <c r="B226" s="20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4.25" customHeight="1">
      <c r="A227" s="1"/>
      <c r="B227" s="20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4.25" customHeight="1">
      <c r="A228" s="1"/>
      <c r="B228" s="20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4.25" customHeight="1">
      <c r="A229" s="1"/>
      <c r="B229" s="20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4.25" customHeight="1">
      <c r="A230" s="1"/>
      <c r="B230" s="20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4.25" customHeight="1">
      <c r="A231" s="1"/>
      <c r="B231" s="20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4.25" customHeight="1">
      <c r="A232" s="1"/>
      <c r="B232" s="20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4.25" customHeight="1">
      <c r="A233" s="1"/>
      <c r="B233" s="20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4.25" customHeight="1">
      <c r="A234" s="1"/>
      <c r="B234" s="20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4.25" customHeight="1">
      <c r="A235" s="1"/>
      <c r="B235" s="20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4.25" customHeight="1">
      <c r="A236" s="1"/>
      <c r="B236" s="20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4.25" customHeight="1">
      <c r="A237" s="1"/>
      <c r="B237" s="20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4.25" customHeight="1">
      <c r="A238" s="1"/>
      <c r="B238" s="20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4.25" customHeight="1">
      <c r="A239" s="1"/>
      <c r="B239" s="20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4.25" customHeight="1">
      <c r="A240" s="1"/>
      <c r="B240" s="20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4.25" customHeight="1">
      <c r="A241" s="1"/>
      <c r="B241" s="20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4.25" customHeight="1">
      <c r="A242" s="1"/>
      <c r="B242" s="20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4.25" customHeight="1">
      <c r="A243" s="1"/>
      <c r="B243" s="20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4.25" customHeight="1">
      <c r="A244" s="1"/>
      <c r="B244" s="20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4.25" customHeight="1">
      <c r="A245" s="1"/>
      <c r="B245" s="20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4.25" customHeight="1">
      <c r="A246" s="1"/>
      <c r="B246" s="20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4.25" customHeight="1">
      <c r="A247" s="1"/>
      <c r="B247" s="20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4.25" customHeight="1">
      <c r="A248" s="1"/>
      <c r="B248" s="20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4.25" customHeight="1">
      <c r="A249" s="1"/>
      <c r="B249" s="20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4.25" customHeight="1">
      <c r="A250" s="1"/>
      <c r="B250" s="20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4.25" customHeight="1">
      <c r="A251" s="1"/>
      <c r="B251" s="20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4.25" customHeight="1">
      <c r="A252" s="1"/>
      <c r="B252" s="20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4.25" customHeight="1">
      <c r="A253" s="1"/>
      <c r="B253" s="20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4.25" customHeight="1">
      <c r="A254" s="1"/>
      <c r="B254" s="20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4.25" customHeight="1">
      <c r="A255" s="1"/>
      <c r="B255" s="20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4.25" customHeight="1">
      <c r="A256" s="1"/>
      <c r="B256" s="20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4.25" customHeight="1">
      <c r="A257" s="1"/>
      <c r="B257" s="20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4.25" customHeight="1">
      <c r="A258" s="1"/>
      <c r="B258" s="20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4.25" customHeight="1">
      <c r="A259" s="1"/>
      <c r="B259" s="20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4.25" customHeight="1">
      <c r="A260" s="1"/>
      <c r="B260" s="20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4.25" customHeight="1">
      <c r="A261" s="1"/>
      <c r="B261" s="20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4.25" customHeight="1">
      <c r="A262" s="1"/>
      <c r="B262" s="20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4.25" customHeight="1">
      <c r="A263" s="1"/>
      <c r="B263" s="20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4.25" customHeight="1">
      <c r="A264" s="1"/>
      <c r="B264" s="20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4.25" customHeight="1">
      <c r="A265" s="1"/>
      <c r="B265" s="20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4.25" customHeight="1">
      <c r="A266" s="1"/>
      <c r="B266" s="20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4.25" customHeight="1">
      <c r="A267" s="1"/>
      <c r="B267" s="20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4.25" customHeight="1">
      <c r="A268" s="1"/>
      <c r="B268" s="20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4.25" customHeight="1">
      <c r="A269" s="1"/>
      <c r="B269" s="20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4.25" customHeight="1">
      <c r="A270" s="1"/>
      <c r="B270" s="20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4.25" customHeight="1">
      <c r="A271" s="1"/>
      <c r="B271" s="20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4.25" customHeight="1">
      <c r="A272" s="1"/>
      <c r="B272" s="20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4.25" customHeight="1">
      <c r="A273" s="1"/>
      <c r="B273" s="20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4.25" customHeight="1">
      <c r="A274" s="1"/>
      <c r="B274" s="20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4.25" customHeight="1">
      <c r="A275" s="1"/>
      <c r="B275" s="20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4.25" customHeight="1">
      <c r="A276" s="1"/>
      <c r="B276" s="20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4.25" customHeight="1">
      <c r="A277" s="1"/>
      <c r="B277" s="20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4.25" customHeight="1">
      <c r="A278" s="1"/>
      <c r="B278" s="20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4.25" customHeight="1">
      <c r="A279" s="1"/>
      <c r="B279" s="20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4.25" customHeight="1">
      <c r="A280" s="1"/>
      <c r="B280" s="20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4.25" customHeight="1">
      <c r="A281" s="1"/>
      <c r="B281" s="20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4.25" customHeight="1">
      <c r="A282" s="1"/>
      <c r="B282" s="20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4.25" customHeight="1">
      <c r="A283" s="1"/>
      <c r="B283" s="20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4.25" customHeight="1">
      <c r="A284" s="1"/>
      <c r="B284" s="20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4.25" customHeight="1">
      <c r="A285" s="1"/>
      <c r="B285" s="20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4.25" customHeight="1">
      <c r="A286" s="1"/>
      <c r="B286" s="20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4.25" customHeight="1">
      <c r="A287" s="1"/>
      <c r="B287" s="20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4.25" customHeight="1">
      <c r="A288" s="1"/>
      <c r="B288" s="20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4.25" customHeight="1">
      <c r="A289" s="1"/>
      <c r="B289" s="20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4.25" customHeight="1">
      <c r="A290" s="1"/>
      <c r="B290" s="20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4.25" customHeight="1">
      <c r="A291" s="1"/>
      <c r="B291" s="20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4.25" customHeight="1">
      <c r="A292" s="1"/>
      <c r="B292" s="20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4.25" customHeight="1">
      <c r="A293" s="1"/>
      <c r="B293" s="20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4.25" customHeight="1">
      <c r="A294" s="1"/>
      <c r="B294" s="20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4.25" customHeight="1">
      <c r="A295" s="1"/>
      <c r="B295" s="20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4.25" customHeight="1">
      <c r="A296" s="1"/>
      <c r="B296" s="20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4.25" customHeight="1">
      <c r="A297" s="1"/>
      <c r="B297" s="20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4.25" customHeight="1">
      <c r="A298" s="1"/>
      <c r="B298" s="20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4.25" customHeight="1">
      <c r="A299" s="1"/>
      <c r="B299" s="20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4.25" customHeight="1">
      <c r="A300" s="1"/>
      <c r="B300" s="20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4.25" customHeight="1">
      <c r="A301" s="1"/>
      <c r="B301" s="20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4.25" customHeight="1">
      <c r="A302" s="1"/>
      <c r="B302" s="20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4.25" customHeight="1">
      <c r="A303" s="1"/>
      <c r="B303" s="20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4.25" customHeight="1">
      <c r="A304" s="1"/>
      <c r="B304" s="20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4.25" customHeight="1">
      <c r="A305" s="1"/>
      <c r="B305" s="20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4.25" customHeight="1">
      <c r="A306" s="1"/>
      <c r="B306" s="20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4.25" customHeight="1">
      <c r="A307" s="1"/>
      <c r="B307" s="20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4.25" customHeight="1">
      <c r="A308" s="1"/>
      <c r="B308" s="20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4.25" customHeight="1">
      <c r="A309" s="1"/>
      <c r="B309" s="20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4.25" customHeight="1">
      <c r="A310" s="1"/>
      <c r="B310" s="20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4.25" customHeight="1">
      <c r="A311" s="1"/>
      <c r="B311" s="20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4.25" customHeight="1">
      <c r="A312" s="1"/>
      <c r="B312" s="20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4.25" customHeight="1">
      <c r="A313" s="1"/>
      <c r="B313" s="20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4.25" customHeight="1">
      <c r="A314" s="1"/>
      <c r="B314" s="20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4.25" customHeight="1">
      <c r="A315" s="1"/>
      <c r="B315" s="20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4.25" customHeight="1">
      <c r="A316" s="1"/>
      <c r="B316" s="20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4.25" customHeight="1">
      <c r="A317" s="1"/>
      <c r="B317" s="20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4.25" customHeight="1">
      <c r="A318" s="1"/>
      <c r="B318" s="20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4.25" customHeight="1">
      <c r="A319" s="1"/>
      <c r="B319" s="20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4.25" customHeight="1">
      <c r="A320" s="1"/>
      <c r="B320" s="20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4.25" customHeight="1">
      <c r="A321" s="1"/>
      <c r="B321" s="20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4.25" customHeight="1">
      <c r="A322" s="1"/>
      <c r="B322" s="20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4.25" customHeight="1">
      <c r="A323" s="1"/>
      <c r="B323" s="20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4.25" customHeight="1">
      <c r="A324" s="1"/>
      <c r="B324" s="20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4.25" customHeight="1">
      <c r="A325" s="1"/>
      <c r="B325" s="20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4.25" customHeight="1">
      <c r="A326" s="1"/>
      <c r="B326" s="20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4.25" customHeight="1">
      <c r="A327" s="1"/>
      <c r="B327" s="20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4.25" customHeight="1">
      <c r="A328" s="1"/>
      <c r="B328" s="20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4.25" customHeight="1">
      <c r="A329" s="1"/>
      <c r="B329" s="20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4.25" customHeight="1">
      <c r="A330" s="1"/>
      <c r="B330" s="20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4.25" customHeight="1">
      <c r="A331" s="1"/>
      <c r="B331" s="20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4.25" customHeight="1">
      <c r="A332" s="1"/>
      <c r="B332" s="20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4.25" customHeight="1">
      <c r="A333" s="1"/>
      <c r="B333" s="20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4.25" customHeight="1">
      <c r="A334" s="1"/>
      <c r="B334" s="20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4.25" customHeight="1">
      <c r="A335" s="1"/>
      <c r="B335" s="20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4.25" customHeight="1">
      <c r="A336" s="1"/>
      <c r="B336" s="20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4.25" customHeight="1">
      <c r="A337" s="1"/>
      <c r="B337" s="20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4.25" customHeight="1">
      <c r="A338" s="1"/>
      <c r="B338" s="20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4.25" customHeight="1">
      <c r="A339" s="1"/>
      <c r="B339" s="20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4.25" customHeight="1">
      <c r="A340" s="1"/>
      <c r="B340" s="20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4.25" customHeight="1">
      <c r="A341" s="1"/>
      <c r="B341" s="20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4.25" customHeight="1">
      <c r="A342" s="1"/>
      <c r="B342" s="20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4.25" customHeight="1">
      <c r="A343" s="1"/>
      <c r="B343" s="20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4.25" customHeight="1">
      <c r="A344" s="1"/>
      <c r="B344" s="20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4.25" customHeight="1">
      <c r="A345" s="1"/>
      <c r="B345" s="20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4.25" customHeight="1">
      <c r="A346" s="1"/>
      <c r="B346" s="20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4.25" customHeight="1">
      <c r="A347" s="1"/>
      <c r="B347" s="20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4.25" customHeight="1">
      <c r="A348" s="1"/>
      <c r="B348" s="20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4.25" customHeight="1">
      <c r="A349" s="1"/>
      <c r="B349" s="20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4.25" customHeight="1">
      <c r="A350" s="1"/>
      <c r="B350" s="20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4.25" customHeight="1">
      <c r="A351" s="1"/>
      <c r="B351" s="20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4.25" customHeight="1">
      <c r="A352" s="1"/>
      <c r="B352" s="20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4.25" customHeight="1">
      <c r="A353" s="1"/>
      <c r="B353" s="20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4.25" customHeight="1">
      <c r="A354" s="1"/>
      <c r="B354" s="20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4.25" customHeight="1">
      <c r="A355" s="1"/>
      <c r="B355" s="20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4.25" customHeight="1">
      <c r="A356" s="1"/>
      <c r="B356" s="20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4.25" customHeight="1">
      <c r="A357" s="1"/>
      <c r="B357" s="20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4.25" customHeight="1">
      <c r="A358" s="1"/>
      <c r="B358" s="20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4.25" customHeight="1">
      <c r="A359" s="1"/>
      <c r="B359" s="20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4.25" customHeight="1">
      <c r="A360" s="1"/>
      <c r="B360" s="20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4.25" customHeight="1">
      <c r="A361" s="1"/>
      <c r="B361" s="20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4.25" customHeight="1">
      <c r="A362" s="1"/>
      <c r="B362" s="20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4.25" customHeight="1">
      <c r="A363" s="1"/>
      <c r="B363" s="20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4.25" customHeight="1">
      <c r="A364" s="1"/>
      <c r="B364" s="20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4.25" customHeight="1">
      <c r="A365" s="1"/>
      <c r="B365" s="20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4.25" customHeight="1">
      <c r="A366" s="1"/>
      <c r="B366" s="20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4.25" customHeight="1">
      <c r="A367" s="1"/>
      <c r="B367" s="20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4.25" customHeight="1">
      <c r="A368" s="1"/>
      <c r="B368" s="20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4.25" customHeight="1">
      <c r="A369" s="1"/>
      <c r="B369" s="20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4.25" customHeight="1">
      <c r="A370" s="1"/>
      <c r="B370" s="20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4.25" customHeight="1">
      <c r="A371" s="1"/>
      <c r="B371" s="20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4.25" customHeight="1">
      <c r="A372" s="1"/>
      <c r="B372" s="20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4.25" customHeight="1">
      <c r="A373" s="1"/>
      <c r="B373" s="20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4.25" customHeight="1">
      <c r="A374" s="1"/>
      <c r="B374" s="20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4.25" customHeight="1">
      <c r="A375" s="1"/>
      <c r="B375" s="20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4.25" customHeight="1">
      <c r="A376" s="1"/>
      <c r="B376" s="20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4.25" customHeight="1">
      <c r="A377" s="1"/>
      <c r="B377" s="20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4.25" customHeight="1">
      <c r="A378" s="1"/>
      <c r="B378" s="20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4.25" customHeight="1">
      <c r="A379" s="1"/>
      <c r="B379" s="20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4.25" customHeight="1">
      <c r="A380" s="1"/>
      <c r="B380" s="20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4.25" customHeight="1">
      <c r="A381" s="1"/>
      <c r="B381" s="20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4.25" customHeight="1">
      <c r="A382" s="1"/>
      <c r="B382" s="20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4.25" customHeight="1">
      <c r="A383" s="1"/>
      <c r="B383" s="20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4.25" customHeight="1">
      <c r="A384" s="1"/>
      <c r="B384" s="20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4.25" customHeight="1">
      <c r="A385" s="1"/>
      <c r="B385" s="20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4.25" customHeight="1">
      <c r="A386" s="1"/>
      <c r="B386" s="20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4.25" customHeight="1">
      <c r="A387" s="1"/>
      <c r="B387" s="20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4.25" customHeight="1">
      <c r="A388" s="1"/>
      <c r="B388" s="20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4.25" customHeight="1">
      <c r="A389" s="1"/>
      <c r="B389" s="20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4.25" customHeight="1">
      <c r="A390" s="1"/>
      <c r="B390" s="20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4.25" customHeight="1">
      <c r="A391" s="1"/>
      <c r="B391" s="20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4.25" customHeight="1">
      <c r="A392" s="1"/>
      <c r="B392" s="20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4.25" customHeight="1">
      <c r="A393" s="1"/>
      <c r="B393" s="20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4.25" customHeight="1">
      <c r="A394" s="1"/>
      <c r="B394" s="20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4.25" customHeight="1">
      <c r="A395" s="1"/>
      <c r="B395" s="20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4.25" customHeight="1">
      <c r="A396" s="1"/>
      <c r="B396" s="20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4.25" customHeight="1">
      <c r="A397" s="1"/>
      <c r="B397" s="20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4.25" customHeight="1">
      <c r="A398" s="1"/>
      <c r="B398" s="20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4.25" customHeight="1">
      <c r="A399" s="1"/>
      <c r="B399" s="20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4.25" customHeight="1">
      <c r="A400" s="1"/>
      <c r="B400" s="20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4.25" customHeight="1">
      <c r="A401" s="1"/>
      <c r="B401" s="20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4.25" customHeight="1">
      <c r="A402" s="1"/>
      <c r="B402" s="20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4.25" customHeight="1">
      <c r="A403" s="1"/>
      <c r="B403" s="20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4.25" customHeight="1">
      <c r="A404" s="1"/>
      <c r="B404" s="20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4.25" customHeight="1">
      <c r="A405" s="1"/>
      <c r="B405" s="20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4.25" customHeight="1">
      <c r="A406" s="1"/>
      <c r="B406" s="20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4.25" customHeight="1">
      <c r="A407" s="1"/>
      <c r="B407" s="20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4.25" customHeight="1">
      <c r="A408" s="1"/>
      <c r="B408" s="20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4.25" customHeight="1">
      <c r="A409" s="1"/>
      <c r="B409" s="20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4.25" customHeight="1">
      <c r="A410" s="1"/>
      <c r="B410" s="20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4.25" customHeight="1">
      <c r="A411" s="1"/>
      <c r="B411" s="20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4.25" customHeight="1">
      <c r="A412" s="1"/>
      <c r="B412" s="20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4.25" customHeight="1">
      <c r="A413" s="1"/>
      <c r="B413" s="20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4.25" customHeight="1">
      <c r="A414" s="1"/>
      <c r="B414" s="20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4.25" customHeight="1">
      <c r="A415" s="1"/>
      <c r="B415" s="20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4.25" customHeight="1">
      <c r="A416" s="1"/>
      <c r="B416" s="20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4.25" customHeight="1">
      <c r="A417" s="1"/>
      <c r="B417" s="20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4.25" customHeight="1">
      <c r="A418" s="1"/>
      <c r="B418" s="20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4.25" customHeight="1">
      <c r="A419" s="1"/>
      <c r="B419" s="20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4.25" customHeight="1">
      <c r="A420" s="1"/>
      <c r="B420" s="20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4.25" customHeight="1">
      <c r="A421" s="1"/>
      <c r="B421" s="20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4.25" customHeight="1">
      <c r="A422" s="1"/>
      <c r="B422" s="20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4.25" customHeight="1">
      <c r="A423" s="1"/>
      <c r="B423" s="20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4.25" customHeight="1">
      <c r="A424" s="1"/>
      <c r="B424" s="20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4.25" customHeight="1">
      <c r="A425" s="1"/>
      <c r="B425" s="20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4.25" customHeight="1">
      <c r="A426" s="1"/>
      <c r="B426" s="20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4.25" customHeight="1">
      <c r="A427" s="1"/>
      <c r="B427" s="20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4.25" customHeight="1">
      <c r="A428" s="1"/>
      <c r="B428" s="20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4.25" customHeight="1">
      <c r="A429" s="1"/>
      <c r="B429" s="20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4.25" customHeight="1">
      <c r="A430" s="1"/>
      <c r="B430" s="20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4.25" customHeight="1">
      <c r="A431" s="1"/>
      <c r="B431" s="20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4.25" customHeight="1">
      <c r="A432" s="1"/>
      <c r="B432" s="20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4.25" customHeight="1">
      <c r="A433" s="1"/>
      <c r="B433" s="20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4.25" customHeight="1">
      <c r="A434" s="1"/>
      <c r="B434" s="20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4.25" customHeight="1">
      <c r="A435" s="1"/>
      <c r="B435" s="20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4.25" customHeight="1">
      <c r="A436" s="1"/>
      <c r="B436" s="20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4.25" customHeight="1">
      <c r="A437" s="1"/>
      <c r="B437" s="20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4.25" customHeight="1">
      <c r="A438" s="1"/>
      <c r="B438" s="20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4.25" customHeight="1">
      <c r="A439" s="1"/>
      <c r="B439" s="20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4.25" customHeight="1">
      <c r="A440" s="1"/>
      <c r="B440" s="20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4.25" customHeight="1">
      <c r="A441" s="1"/>
      <c r="B441" s="20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4.25" customHeight="1">
      <c r="A442" s="1"/>
      <c r="B442" s="20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4.25" customHeight="1">
      <c r="A443" s="1"/>
      <c r="B443" s="20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4.25" customHeight="1">
      <c r="A444" s="1"/>
      <c r="B444" s="20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4.25" customHeight="1">
      <c r="A445" s="1"/>
      <c r="B445" s="20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4.25" customHeight="1">
      <c r="A446" s="1"/>
      <c r="B446" s="20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4.25" customHeight="1">
      <c r="A447" s="1"/>
      <c r="B447" s="20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4.25" customHeight="1">
      <c r="A448" s="1"/>
      <c r="B448" s="20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4.25" customHeight="1">
      <c r="A449" s="1"/>
      <c r="B449" s="20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4.25" customHeight="1">
      <c r="A450" s="1"/>
      <c r="B450" s="20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4.25" customHeight="1">
      <c r="A451" s="1"/>
      <c r="B451" s="20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4.25" customHeight="1">
      <c r="A452" s="1"/>
      <c r="B452" s="20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4.25" customHeight="1">
      <c r="A453" s="1"/>
      <c r="B453" s="20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4.25" customHeight="1">
      <c r="A454" s="1"/>
      <c r="B454" s="20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4.25" customHeight="1">
      <c r="A455" s="1"/>
      <c r="B455" s="20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4.25" customHeight="1">
      <c r="A456" s="1"/>
      <c r="B456" s="20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4.25" customHeight="1">
      <c r="A457" s="1"/>
      <c r="B457" s="20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4.25" customHeight="1">
      <c r="A458" s="1"/>
      <c r="B458" s="20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4.25" customHeight="1">
      <c r="A459" s="1"/>
      <c r="B459" s="20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4.25" customHeight="1">
      <c r="A460" s="1"/>
      <c r="B460" s="20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4.25" customHeight="1">
      <c r="A461" s="1"/>
      <c r="B461" s="20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4.25" customHeight="1">
      <c r="A462" s="1"/>
      <c r="B462" s="20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4.25" customHeight="1">
      <c r="A463" s="1"/>
      <c r="B463" s="20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4.25" customHeight="1">
      <c r="A464" s="1"/>
      <c r="B464" s="20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4.25" customHeight="1">
      <c r="A465" s="1"/>
      <c r="B465" s="20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4.25" customHeight="1">
      <c r="A466" s="1"/>
      <c r="B466" s="20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4.25" customHeight="1">
      <c r="A467" s="1"/>
      <c r="B467" s="20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4.25" customHeight="1">
      <c r="A468" s="1"/>
      <c r="B468" s="20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4.25" customHeight="1">
      <c r="A469" s="1"/>
      <c r="B469" s="20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4.25" customHeight="1">
      <c r="A470" s="1"/>
      <c r="B470" s="20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4.25" customHeight="1">
      <c r="A471" s="1"/>
      <c r="B471" s="20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4.25" customHeight="1">
      <c r="A472" s="1"/>
      <c r="B472" s="20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4.25" customHeight="1">
      <c r="A473" s="1"/>
      <c r="B473" s="20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4.25" customHeight="1">
      <c r="A474" s="1"/>
      <c r="B474" s="20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4.25" customHeight="1">
      <c r="A475" s="1"/>
      <c r="B475" s="20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4.25" customHeight="1">
      <c r="A476" s="1"/>
      <c r="B476" s="20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4.25" customHeight="1">
      <c r="A477" s="1"/>
      <c r="B477" s="20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4.25" customHeight="1">
      <c r="A478" s="1"/>
      <c r="B478" s="20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4.25" customHeight="1">
      <c r="A479" s="1"/>
      <c r="B479" s="20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4.25" customHeight="1">
      <c r="A480" s="1"/>
      <c r="B480" s="20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4.25" customHeight="1">
      <c r="A481" s="1"/>
      <c r="B481" s="20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4.25" customHeight="1">
      <c r="A482" s="1"/>
      <c r="B482" s="20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4.25" customHeight="1">
      <c r="A483" s="1"/>
      <c r="B483" s="20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4.25" customHeight="1">
      <c r="A484" s="1"/>
      <c r="B484" s="20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4.25" customHeight="1">
      <c r="A485" s="1"/>
      <c r="B485" s="20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4.25" customHeight="1">
      <c r="A486" s="1"/>
      <c r="B486" s="20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4.25" customHeight="1">
      <c r="A487" s="1"/>
      <c r="B487" s="20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4.25" customHeight="1">
      <c r="A488" s="1"/>
      <c r="B488" s="20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4.25" customHeight="1">
      <c r="A489" s="1"/>
      <c r="B489" s="20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4.25" customHeight="1">
      <c r="A490" s="1"/>
      <c r="B490" s="20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4.25" customHeight="1">
      <c r="A491" s="1"/>
      <c r="B491" s="20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4.25" customHeight="1">
      <c r="A492" s="1"/>
      <c r="B492" s="20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4.25" customHeight="1">
      <c r="A493" s="1"/>
      <c r="B493" s="20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4.25" customHeight="1">
      <c r="A494" s="1"/>
      <c r="B494" s="20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4.25" customHeight="1">
      <c r="A495" s="1"/>
      <c r="B495" s="20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4.25" customHeight="1">
      <c r="A496" s="1"/>
      <c r="B496" s="20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4.25" customHeight="1">
      <c r="A497" s="1"/>
      <c r="B497" s="20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4.25" customHeight="1">
      <c r="A498" s="1"/>
      <c r="B498" s="20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4.25" customHeight="1">
      <c r="A499" s="1"/>
      <c r="B499" s="20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4.25" customHeight="1">
      <c r="A500" s="1"/>
      <c r="B500" s="20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4.25" customHeight="1">
      <c r="A501" s="1"/>
      <c r="B501" s="20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4.25" customHeight="1">
      <c r="A502" s="1"/>
      <c r="B502" s="20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4.25" customHeight="1">
      <c r="A503" s="1"/>
      <c r="B503" s="20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4.25" customHeight="1">
      <c r="A504" s="1"/>
      <c r="B504" s="20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4.25" customHeight="1">
      <c r="A505" s="1"/>
      <c r="B505" s="20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4.25" customHeight="1">
      <c r="A506" s="1"/>
      <c r="B506" s="20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4.25" customHeight="1">
      <c r="A507" s="1"/>
      <c r="B507" s="20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4.25" customHeight="1">
      <c r="A508" s="1"/>
      <c r="B508" s="20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4.25" customHeight="1">
      <c r="A509" s="1"/>
      <c r="B509" s="20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4.25" customHeight="1">
      <c r="A510" s="1"/>
      <c r="B510" s="20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4.25" customHeight="1">
      <c r="A511" s="1"/>
      <c r="B511" s="20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4.25" customHeight="1">
      <c r="A512" s="1"/>
      <c r="B512" s="20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4.25" customHeight="1">
      <c r="A513" s="1"/>
      <c r="B513" s="20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4.25" customHeight="1">
      <c r="A514" s="1"/>
      <c r="B514" s="20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4.25" customHeight="1">
      <c r="A515" s="1"/>
      <c r="B515" s="20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4.25" customHeight="1">
      <c r="A516" s="1"/>
      <c r="B516" s="20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4.25" customHeight="1">
      <c r="A517" s="1"/>
      <c r="B517" s="20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4.25" customHeight="1">
      <c r="A518" s="1"/>
      <c r="B518" s="20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4.25" customHeight="1">
      <c r="A519" s="1"/>
      <c r="B519" s="20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4.25" customHeight="1">
      <c r="A520" s="1"/>
      <c r="B520" s="20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4.25" customHeight="1">
      <c r="A521" s="1"/>
      <c r="B521" s="20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4.25" customHeight="1">
      <c r="A522" s="1"/>
      <c r="B522" s="20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4.25" customHeight="1">
      <c r="A523" s="1"/>
      <c r="B523" s="20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4.25" customHeight="1">
      <c r="A524" s="1"/>
      <c r="B524" s="20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4.25" customHeight="1">
      <c r="A525" s="1"/>
      <c r="B525" s="20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4.25" customHeight="1">
      <c r="A526" s="1"/>
      <c r="B526" s="20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4.25" customHeight="1">
      <c r="A527" s="1"/>
      <c r="B527" s="20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4.25" customHeight="1">
      <c r="A528" s="1"/>
      <c r="B528" s="20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4.25" customHeight="1">
      <c r="A529" s="1"/>
      <c r="B529" s="20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4.25" customHeight="1">
      <c r="A530" s="1"/>
      <c r="B530" s="20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4.25" customHeight="1">
      <c r="A531" s="1"/>
      <c r="B531" s="20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4.25" customHeight="1">
      <c r="A532" s="1"/>
      <c r="B532" s="20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4.25" customHeight="1">
      <c r="A533" s="1"/>
      <c r="B533" s="20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4.25" customHeight="1">
      <c r="A534" s="1"/>
      <c r="B534" s="20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4.25" customHeight="1">
      <c r="A535" s="1"/>
      <c r="B535" s="20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4.25" customHeight="1">
      <c r="A536" s="1"/>
      <c r="B536" s="20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4.25" customHeight="1">
      <c r="A537" s="1"/>
      <c r="B537" s="20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4.25" customHeight="1">
      <c r="A538" s="1"/>
      <c r="B538" s="20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4.25" customHeight="1">
      <c r="A539" s="1"/>
      <c r="B539" s="20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4.25" customHeight="1">
      <c r="A540" s="1"/>
      <c r="B540" s="20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4.25" customHeight="1">
      <c r="A541" s="1"/>
      <c r="B541" s="20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4.25" customHeight="1">
      <c r="A542" s="1"/>
      <c r="B542" s="20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4.25" customHeight="1">
      <c r="A543" s="1"/>
      <c r="B543" s="20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4.25" customHeight="1">
      <c r="A544" s="1"/>
      <c r="B544" s="20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4.25" customHeight="1">
      <c r="A545" s="1"/>
      <c r="B545" s="20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4.25" customHeight="1">
      <c r="A546" s="1"/>
      <c r="B546" s="20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4.25" customHeight="1">
      <c r="A547" s="1"/>
      <c r="B547" s="20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4.25" customHeight="1">
      <c r="A548" s="1"/>
      <c r="B548" s="20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4.25" customHeight="1">
      <c r="A549" s="1"/>
      <c r="B549" s="20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4.25" customHeight="1">
      <c r="A550" s="1"/>
      <c r="B550" s="20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4.25" customHeight="1">
      <c r="A551" s="1"/>
      <c r="B551" s="20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4.25" customHeight="1">
      <c r="A552" s="1"/>
      <c r="B552" s="20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4.25" customHeight="1">
      <c r="A553" s="1"/>
      <c r="B553" s="20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4.25" customHeight="1">
      <c r="A554" s="1"/>
      <c r="B554" s="20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4.25" customHeight="1">
      <c r="A555" s="1"/>
      <c r="B555" s="20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4.25" customHeight="1">
      <c r="A556" s="1"/>
      <c r="B556" s="20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4.25" customHeight="1">
      <c r="A557" s="1"/>
      <c r="B557" s="20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4.25" customHeight="1">
      <c r="A558" s="1"/>
      <c r="B558" s="20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4.25" customHeight="1">
      <c r="A559" s="1"/>
      <c r="B559" s="20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4.25" customHeight="1">
      <c r="A560" s="1"/>
      <c r="B560" s="20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4.25" customHeight="1">
      <c r="A561" s="1"/>
      <c r="B561" s="20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4.25" customHeight="1">
      <c r="A562" s="1"/>
      <c r="B562" s="20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4.25" customHeight="1">
      <c r="A563" s="1"/>
      <c r="B563" s="20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4.25" customHeight="1">
      <c r="A564" s="1"/>
      <c r="B564" s="20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4.25" customHeight="1">
      <c r="A565" s="1"/>
      <c r="B565" s="20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4.25" customHeight="1">
      <c r="A566" s="1"/>
      <c r="B566" s="20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4.25" customHeight="1">
      <c r="A567" s="1"/>
      <c r="B567" s="20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4.25" customHeight="1">
      <c r="A568" s="1"/>
      <c r="B568" s="20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4.25" customHeight="1">
      <c r="A569" s="1"/>
      <c r="B569" s="20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4.25" customHeight="1">
      <c r="A570" s="1"/>
      <c r="B570" s="20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4.25" customHeight="1">
      <c r="A571" s="1"/>
      <c r="B571" s="20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4.25" customHeight="1">
      <c r="A572" s="1"/>
      <c r="B572" s="20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4.25" customHeight="1">
      <c r="A573" s="1"/>
      <c r="B573" s="20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4.25" customHeight="1">
      <c r="A574" s="1"/>
      <c r="B574" s="20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4.25" customHeight="1">
      <c r="A575" s="1"/>
      <c r="B575" s="20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4.25" customHeight="1">
      <c r="A576" s="1"/>
      <c r="B576" s="20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4.25" customHeight="1">
      <c r="A577" s="1"/>
      <c r="B577" s="20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4.25" customHeight="1">
      <c r="A578" s="1"/>
      <c r="B578" s="20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4.25" customHeight="1">
      <c r="A579" s="1"/>
      <c r="B579" s="20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4.25" customHeight="1">
      <c r="A580" s="1"/>
      <c r="B580" s="20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4.25" customHeight="1">
      <c r="A581" s="1"/>
      <c r="B581" s="20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4.25" customHeight="1">
      <c r="A582" s="1"/>
      <c r="B582" s="20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4.25" customHeight="1">
      <c r="A583" s="1"/>
      <c r="B583" s="20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4.25" customHeight="1">
      <c r="A584" s="1"/>
      <c r="B584" s="20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4.25" customHeight="1">
      <c r="A585" s="1"/>
      <c r="B585" s="20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4.25" customHeight="1">
      <c r="A586" s="1"/>
      <c r="B586" s="20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4.25" customHeight="1">
      <c r="A587" s="1"/>
      <c r="B587" s="20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4.25" customHeight="1">
      <c r="A588" s="1"/>
      <c r="B588" s="20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4.25" customHeight="1">
      <c r="A589" s="1"/>
      <c r="B589" s="20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4.25" customHeight="1">
      <c r="A590" s="1"/>
      <c r="B590" s="20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4.25" customHeight="1">
      <c r="A591" s="1"/>
      <c r="B591" s="20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4.25" customHeight="1">
      <c r="A592" s="1"/>
      <c r="B592" s="20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4.25" customHeight="1">
      <c r="A593" s="1"/>
      <c r="B593" s="20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4.25" customHeight="1">
      <c r="A594" s="1"/>
      <c r="B594" s="20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4.25" customHeight="1">
      <c r="A595" s="1"/>
      <c r="B595" s="20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4.25" customHeight="1">
      <c r="A596" s="1"/>
      <c r="B596" s="20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4.25" customHeight="1">
      <c r="A597" s="1"/>
      <c r="B597" s="20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4.25" customHeight="1">
      <c r="A598" s="1"/>
      <c r="B598" s="20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4.25" customHeight="1">
      <c r="A599" s="1"/>
      <c r="B599" s="20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4.25" customHeight="1">
      <c r="A600" s="1"/>
      <c r="B600" s="20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4.25" customHeight="1">
      <c r="A601" s="1"/>
      <c r="B601" s="20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4.25" customHeight="1">
      <c r="A602" s="1"/>
      <c r="B602" s="20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4.25" customHeight="1">
      <c r="A603" s="1"/>
      <c r="B603" s="20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4.25" customHeight="1">
      <c r="A604" s="1"/>
      <c r="B604" s="20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4.25" customHeight="1">
      <c r="A605" s="1"/>
      <c r="B605" s="20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4.25" customHeight="1">
      <c r="A606" s="1"/>
      <c r="B606" s="20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4.25" customHeight="1">
      <c r="A607" s="1"/>
      <c r="B607" s="20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4.25" customHeight="1">
      <c r="A608" s="1"/>
      <c r="B608" s="20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4.25" customHeight="1">
      <c r="A609" s="1"/>
      <c r="B609" s="20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4.25" customHeight="1">
      <c r="A610" s="1"/>
      <c r="B610" s="20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4.25" customHeight="1">
      <c r="A611" s="1"/>
      <c r="B611" s="20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4.25" customHeight="1">
      <c r="A612" s="1"/>
      <c r="B612" s="20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4.25" customHeight="1">
      <c r="A613" s="1"/>
      <c r="B613" s="20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4.25" customHeight="1">
      <c r="A614" s="1"/>
      <c r="B614" s="20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4.25" customHeight="1">
      <c r="A615" s="1"/>
      <c r="B615" s="20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4.25" customHeight="1">
      <c r="A616" s="1"/>
      <c r="B616" s="20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4.25" customHeight="1">
      <c r="A617" s="1"/>
      <c r="B617" s="20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4.25" customHeight="1">
      <c r="A618" s="1"/>
      <c r="B618" s="20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4.25" customHeight="1">
      <c r="A619" s="1"/>
      <c r="B619" s="20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4.25" customHeight="1">
      <c r="A620" s="1"/>
      <c r="B620" s="20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4.25" customHeight="1">
      <c r="A621" s="1"/>
      <c r="B621" s="20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4.25" customHeight="1">
      <c r="A622" s="1"/>
      <c r="B622" s="20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4.25" customHeight="1">
      <c r="A623" s="1"/>
      <c r="B623" s="20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4.25" customHeight="1">
      <c r="A624" s="1"/>
      <c r="B624" s="20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4.25" customHeight="1">
      <c r="A625" s="1"/>
      <c r="B625" s="20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4.25" customHeight="1">
      <c r="A626" s="1"/>
      <c r="B626" s="20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4.25" customHeight="1">
      <c r="A627" s="1"/>
      <c r="B627" s="20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4.25" customHeight="1">
      <c r="A628" s="1"/>
      <c r="B628" s="20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4.25" customHeight="1">
      <c r="A629" s="1"/>
      <c r="B629" s="20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4.25" customHeight="1">
      <c r="A630" s="1"/>
      <c r="B630" s="20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4.25" customHeight="1">
      <c r="A631" s="1"/>
      <c r="B631" s="20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4.25" customHeight="1">
      <c r="A632" s="1"/>
      <c r="B632" s="20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4.25" customHeight="1">
      <c r="A633" s="1"/>
      <c r="B633" s="20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4.25" customHeight="1">
      <c r="A634" s="1"/>
      <c r="B634" s="20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4.25" customHeight="1">
      <c r="A635" s="1"/>
      <c r="B635" s="20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4.25" customHeight="1">
      <c r="A636" s="1"/>
      <c r="B636" s="20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4.25" customHeight="1">
      <c r="A637" s="1"/>
      <c r="B637" s="20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4.25" customHeight="1">
      <c r="A638" s="1"/>
      <c r="B638" s="20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4.25" customHeight="1">
      <c r="A639" s="1"/>
      <c r="B639" s="20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4.25" customHeight="1">
      <c r="A640" s="1"/>
      <c r="B640" s="20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4.25" customHeight="1">
      <c r="A641" s="1"/>
      <c r="B641" s="20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4.25" customHeight="1">
      <c r="A642" s="1"/>
      <c r="B642" s="20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4.25" customHeight="1">
      <c r="A643" s="1"/>
      <c r="B643" s="20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4.25" customHeight="1">
      <c r="A644" s="1"/>
      <c r="B644" s="20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4.25" customHeight="1">
      <c r="A645" s="1"/>
      <c r="B645" s="20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4.25" customHeight="1">
      <c r="A646" s="1"/>
      <c r="B646" s="20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4.25" customHeight="1">
      <c r="A647" s="1"/>
      <c r="B647" s="20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4.25" customHeight="1">
      <c r="A648" s="1"/>
      <c r="B648" s="20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4.25" customHeight="1">
      <c r="A649" s="1"/>
      <c r="B649" s="20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4.25" customHeight="1">
      <c r="A650" s="1"/>
      <c r="B650" s="20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4.25" customHeight="1">
      <c r="A651" s="1"/>
      <c r="B651" s="20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4.25" customHeight="1">
      <c r="A652" s="1"/>
      <c r="B652" s="20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4.25" customHeight="1">
      <c r="A653" s="1"/>
      <c r="B653" s="20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4.25" customHeight="1">
      <c r="A654" s="1"/>
      <c r="B654" s="20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4.25" customHeight="1">
      <c r="A655" s="1"/>
      <c r="B655" s="20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4.25" customHeight="1">
      <c r="A656" s="1"/>
      <c r="B656" s="20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4.25" customHeight="1">
      <c r="A657" s="1"/>
      <c r="B657" s="20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4.25" customHeight="1">
      <c r="A658" s="1"/>
      <c r="B658" s="20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4.25" customHeight="1">
      <c r="A659" s="1"/>
      <c r="B659" s="20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4.25" customHeight="1">
      <c r="A660" s="1"/>
      <c r="B660" s="20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4.25" customHeight="1">
      <c r="A661" s="1"/>
      <c r="B661" s="20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4.25" customHeight="1">
      <c r="A662" s="1"/>
      <c r="B662" s="20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4.25" customHeight="1">
      <c r="A663" s="1"/>
      <c r="B663" s="20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4.25" customHeight="1">
      <c r="A664" s="1"/>
      <c r="B664" s="20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4.25" customHeight="1">
      <c r="A665" s="1"/>
      <c r="B665" s="20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4.25" customHeight="1">
      <c r="A666" s="1"/>
      <c r="B666" s="20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4.25" customHeight="1">
      <c r="A667" s="1"/>
      <c r="B667" s="20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4.25" customHeight="1">
      <c r="A668" s="1"/>
      <c r="B668" s="20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4.25" customHeight="1">
      <c r="A669" s="1"/>
      <c r="B669" s="20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4.25" customHeight="1">
      <c r="A670" s="1"/>
      <c r="B670" s="20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4.25" customHeight="1">
      <c r="A671" s="1"/>
      <c r="B671" s="20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4.25" customHeight="1">
      <c r="A672" s="1"/>
      <c r="B672" s="20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4.25" customHeight="1">
      <c r="A673" s="1"/>
      <c r="B673" s="20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4.25" customHeight="1">
      <c r="A674" s="1"/>
      <c r="B674" s="20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4.25" customHeight="1">
      <c r="A675" s="1"/>
      <c r="B675" s="20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4.25" customHeight="1">
      <c r="A676" s="1"/>
      <c r="B676" s="20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4.25" customHeight="1">
      <c r="A677" s="1"/>
      <c r="B677" s="20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4.25" customHeight="1">
      <c r="A678" s="1"/>
      <c r="B678" s="20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4.25" customHeight="1">
      <c r="A679" s="1"/>
      <c r="B679" s="20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4.25" customHeight="1">
      <c r="A680" s="1"/>
      <c r="B680" s="20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4.25" customHeight="1">
      <c r="A681" s="1"/>
      <c r="B681" s="20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4.25" customHeight="1">
      <c r="A682" s="1"/>
      <c r="B682" s="20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4.25" customHeight="1">
      <c r="A683" s="1"/>
      <c r="B683" s="20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4.25" customHeight="1">
      <c r="A684" s="1"/>
      <c r="B684" s="20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4.25" customHeight="1">
      <c r="A685" s="1"/>
      <c r="B685" s="20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4.25" customHeight="1">
      <c r="A686" s="1"/>
      <c r="B686" s="20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4.25" customHeight="1">
      <c r="A687" s="1"/>
      <c r="B687" s="20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4.25" customHeight="1">
      <c r="A688" s="1"/>
      <c r="B688" s="20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4.25" customHeight="1">
      <c r="A689" s="1"/>
      <c r="B689" s="20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4.25" customHeight="1">
      <c r="A690" s="1"/>
      <c r="B690" s="20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4.25" customHeight="1">
      <c r="A691" s="1"/>
      <c r="B691" s="20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4.25" customHeight="1">
      <c r="A692" s="1"/>
      <c r="B692" s="20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4.25" customHeight="1">
      <c r="A693" s="1"/>
      <c r="B693" s="20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4.25" customHeight="1">
      <c r="A694" s="1"/>
      <c r="B694" s="20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4.25" customHeight="1">
      <c r="A695" s="1"/>
      <c r="B695" s="20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4.25" customHeight="1">
      <c r="A696" s="1"/>
      <c r="B696" s="20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4.25" customHeight="1">
      <c r="A697" s="1"/>
      <c r="B697" s="20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4.25" customHeight="1">
      <c r="A698" s="1"/>
      <c r="B698" s="20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4.25" customHeight="1">
      <c r="A699" s="1"/>
      <c r="B699" s="20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4.25" customHeight="1">
      <c r="A700" s="1"/>
      <c r="B700" s="20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4.25" customHeight="1">
      <c r="A701" s="1"/>
      <c r="B701" s="20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4.25" customHeight="1">
      <c r="A702" s="1"/>
      <c r="B702" s="20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4.25" customHeight="1">
      <c r="A703" s="1"/>
      <c r="B703" s="20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4.25" customHeight="1">
      <c r="A704" s="1"/>
      <c r="B704" s="20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4.25" customHeight="1">
      <c r="A705" s="1"/>
      <c r="B705" s="20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4.25" customHeight="1">
      <c r="A706" s="1"/>
      <c r="B706" s="20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4.25" customHeight="1">
      <c r="A707" s="1"/>
      <c r="B707" s="20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4.25" customHeight="1">
      <c r="A708" s="1"/>
      <c r="B708" s="20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4.25" customHeight="1">
      <c r="A709" s="1"/>
      <c r="B709" s="20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4.25" customHeight="1">
      <c r="A710" s="1"/>
      <c r="B710" s="20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4.25" customHeight="1">
      <c r="A711" s="1"/>
      <c r="B711" s="20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4.25" customHeight="1">
      <c r="A712" s="1"/>
      <c r="B712" s="20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4.25" customHeight="1">
      <c r="A713" s="1"/>
      <c r="B713" s="20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4.25" customHeight="1">
      <c r="A714" s="1"/>
      <c r="B714" s="20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4.25" customHeight="1">
      <c r="A715" s="1"/>
      <c r="B715" s="20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4.25" customHeight="1">
      <c r="A716" s="1"/>
      <c r="B716" s="20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4.25" customHeight="1">
      <c r="A717" s="1"/>
      <c r="B717" s="20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4.25" customHeight="1">
      <c r="A718" s="1"/>
      <c r="B718" s="20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4.25" customHeight="1">
      <c r="A719" s="1"/>
      <c r="B719" s="20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4.25" customHeight="1">
      <c r="A720" s="1"/>
      <c r="B720" s="20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4.25" customHeight="1">
      <c r="A721" s="1"/>
      <c r="B721" s="20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4.25" customHeight="1">
      <c r="A722" s="1"/>
      <c r="B722" s="20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4.25" customHeight="1">
      <c r="A723" s="1"/>
      <c r="B723" s="20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4.25" customHeight="1">
      <c r="A724" s="1"/>
      <c r="B724" s="20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4.25" customHeight="1">
      <c r="A725" s="1"/>
      <c r="B725" s="20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4.25" customHeight="1">
      <c r="A726" s="1"/>
      <c r="B726" s="20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4.25" customHeight="1">
      <c r="A727" s="1"/>
      <c r="B727" s="20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4.25" customHeight="1">
      <c r="A728" s="1"/>
      <c r="B728" s="20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4.25" customHeight="1">
      <c r="A729" s="1"/>
      <c r="B729" s="20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4.25" customHeight="1">
      <c r="A730" s="1"/>
      <c r="B730" s="20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4.25" customHeight="1">
      <c r="A731" s="1"/>
      <c r="B731" s="20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4.25" customHeight="1">
      <c r="A732" s="1"/>
      <c r="B732" s="20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4.25" customHeight="1">
      <c r="A733" s="1"/>
      <c r="B733" s="20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4.25" customHeight="1">
      <c r="A734" s="1"/>
      <c r="B734" s="20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4.25" customHeight="1">
      <c r="A735" s="1"/>
      <c r="B735" s="20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4.25" customHeight="1">
      <c r="A736" s="1"/>
      <c r="B736" s="20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4.25" customHeight="1">
      <c r="A737" s="1"/>
      <c r="B737" s="20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4.25" customHeight="1">
      <c r="A738" s="1"/>
      <c r="B738" s="20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4.25" customHeight="1">
      <c r="A739" s="1"/>
      <c r="B739" s="20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4.25" customHeight="1">
      <c r="A740" s="1"/>
      <c r="B740" s="20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4.25" customHeight="1">
      <c r="A741" s="1"/>
      <c r="B741" s="20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4.25" customHeight="1">
      <c r="A742" s="1"/>
      <c r="B742" s="20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4.25" customHeight="1">
      <c r="A743" s="1"/>
      <c r="B743" s="20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4.25" customHeight="1">
      <c r="A744" s="1"/>
      <c r="B744" s="20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4.25" customHeight="1">
      <c r="A745" s="1"/>
      <c r="B745" s="20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4.25" customHeight="1">
      <c r="A746" s="1"/>
      <c r="B746" s="20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4.25" customHeight="1">
      <c r="A747" s="1"/>
      <c r="B747" s="20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4.25" customHeight="1">
      <c r="A748" s="1"/>
      <c r="B748" s="20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4.25" customHeight="1">
      <c r="A749" s="1"/>
      <c r="B749" s="20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4.25" customHeight="1">
      <c r="A750" s="1"/>
      <c r="B750" s="20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4.25" customHeight="1">
      <c r="A751" s="1"/>
      <c r="B751" s="20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4.25" customHeight="1">
      <c r="A752" s="1"/>
      <c r="B752" s="20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4.25" customHeight="1">
      <c r="A753" s="1"/>
      <c r="B753" s="20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4.25" customHeight="1">
      <c r="A754" s="1"/>
      <c r="B754" s="20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4.25" customHeight="1">
      <c r="A755" s="1"/>
      <c r="B755" s="20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4.25" customHeight="1">
      <c r="A756" s="1"/>
      <c r="B756" s="20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4.25" customHeight="1">
      <c r="A757" s="1"/>
      <c r="B757" s="20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4.25" customHeight="1">
      <c r="A758" s="1"/>
      <c r="B758" s="20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4.25" customHeight="1">
      <c r="A759" s="1"/>
      <c r="B759" s="20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4.25" customHeight="1">
      <c r="A760" s="1"/>
      <c r="B760" s="20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4.25" customHeight="1">
      <c r="A761" s="1"/>
      <c r="B761" s="20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4.25" customHeight="1">
      <c r="A762" s="1"/>
      <c r="B762" s="20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4.25" customHeight="1">
      <c r="A763" s="1"/>
      <c r="B763" s="20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4.25" customHeight="1">
      <c r="A764" s="1"/>
      <c r="B764" s="20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4.25" customHeight="1">
      <c r="A765" s="1"/>
      <c r="B765" s="20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4.25" customHeight="1">
      <c r="A766" s="1"/>
      <c r="B766" s="20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4.25" customHeight="1">
      <c r="A767" s="1"/>
      <c r="B767" s="20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4.25" customHeight="1">
      <c r="A768" s="1"/>
      <c r="B768" s="20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4.25" customHeight="1">
      <c r="A769" s="1"/>
      <c r="B769" s="20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4.25" customHeight="1">
      <c r="A770" s="1"/>
      <c r="B770" s="20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4.25" customHeight="1">
      <c r="A771" s="1"/>
      <c r="B771" s="20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4.25" customHeight="1">
      <c r="A772" s="1"/>
      <c r="B772" s="20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4.25" customHeight="1">
      <c r="A773" s="1"/>
      <c r="B773" s="20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4.25" customHeight="1">
      <c r="A774" s="1"/>
      <c r="B774" s="20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4.25" customHeight="1">
      <c r="A775" s="1"/>
      <c r="B775" s="20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4.25" customHeight="1">
      <c r="A776" s="1"/>
      <c r="B776" s="20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4.25" customHeight="1">
      <c r="A777" s="1"/>
      <c r="B777" s="20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4.25" customHeight="1">
      <c r="A778" s="1"/>
      <c r="B778" s="20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4.25" customHeight="1">
      <c r="A779" s="1"/>
      <c r="B779" s="20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4.25" customHeight="1">
      <c r="A780" s="1"/>
      <c r="B780" s="20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4.25" customHeight="1">
      <c r="A781" s="1"/>
      <c r="B781" s="20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4.25" customHeight="1">
      <c r="A782" s="1"/>
      <c r="B782" s="20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4.25" customHeight="1">
      <c r="A783" s="1"/>
      <c r="B783" s="20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4.25" customHeight="1">
      <c r="A784" s="1"/>
      <c r="B784" s="20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4.25" customHeight="1">
      <c r="A785" s="1"/>
      <c r="B785" s="20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4.25" customHeight="1">
      <c r="A786" s="1"/>
      <c r="B786" s="20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4.25" customHeight="1">
      <c r="A787" s="1"/>
      <c r="B787" s="20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4.25" customHeight="1">
      <c r="A788" s="1"/>
      <c r="B788" s="20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4.25" customHeight="1">
      <c r="A789" s="1"/>
      <c r="B789" s="20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4.25" customHeight="1">
      <c r="A790" s="1"/>
      <c r="B790" s="20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4.25" customHeight="1">
      <c r="A791" s="1"/>
      <c r="B791" s="20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4.25" customHeight="1">
      <c r="A792" s="1"/>
      <c r="B792" s="20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4.25" customHeight="1">
      <c r="A793" s="1"/>
      <c r="B793" s="20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4.25" customHeight="1">
      <c r="A794" s="1"/>
      <c r="B794" s="20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4.25" customHeight="1">
      <c r="A795" s="1"/>
      <c r="B795" s="20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4.25" customHeight="1">
      <c r="A796" s="1"/>
      <c r="B796" s="20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4.25" customHeight="1">
      <c r="A797" s="1"/>
      <c r="B797" s="20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4.25" customHeight="1">
      <c r="A798" s="1"/>
      <c r="B798" s="20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4.25" customHeight="1">
      <c r="A799" s="1"/>
      <c r="B799" s="20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4.25" customHeight="1">
      <c r="A800" s="1"/>
      <c r="B800" s="20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4.25" customHeight="1">
      <c r="A801" s="1"/>
      <c r="B801" s="20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4.25" customHeight="1">
      <c r="A802" s="1"/>
      <c r="B802" s="20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4.25" customHeight="1">
      <c r="A803" s="1"/>
      <c r="B803" s="20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4.25" customHeight="1">
      <c r="A804" s="1"/>
      <c r="B804" s="20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4.25" customHeight="1">
      <c r="A805" s="1"/>
      <c r="B805" s="20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4.25" customHeight="1">
      <c r="A806" s="1"/>
      <c r="B806" s="20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4.25" customHeight="1">
      <c r="A807" s="1"/>
      <c r="B807" s="20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4.25" customHeight="1">
      <c r="A808" s="1"/>
      <c r="B808" s="20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4.25" customHeight="1">
      <c r="A809" s="1"/>
      <c r="B809" s="20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4.25" customHeight="1">
      <c r="A810" s="1"/>
      <c r="B810" s="20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4.25" customHeight="1">
      <c r="A811" s="1"/>
      <c r="B811" s="20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4.25" customHeight="1">
      <c r="A812" s="1"/>
      <c r="B812" s="20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4.25" customHeight="1">
      <c r="A813" s="1"/>
      <c r="B813" s="20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4.25" customHeight="1">
      <c r="A814" s="1"/>
      <c r="B814" s="20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4.25" customHeight="1">
      <c r="A815" s="1"/>
      <c r="B815" s="20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4.25" customHeight="1">
      <c r="A816" s="1"/>
      <c r="B816" s="20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4.25" customHeight="1">
      <c r="A817" s="1"/>
      <c r="B817" s="20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4.25" customHeight="1">
      <c r="A818" s="1"/>
      <c r="B818" s="20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4.25" customHeight="1">
      <c r="A819" s="1"/>
      <c r="B819" s="20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4.25" customHeight="1">
      <c r="A820" s="1"/>
      <c r="B820" s="20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4.25" customHeight="1">
      <c r="A821" s="1"/>
      <c r="B821" s="20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4.25" customHeight="1">
      <c r="A822" s="1"/>
      <c r="B822" s="20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4.25" customHeight="1">
      <c r="A823" s="1"/>
      <c r="B823" s="20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4.25" customHeight="1">
      <c r="A824" s="1"/>
      <c r="B824" s="20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4.25" customHeight="1">
      <c r="A825" s="1"/>
      <c r="B825" s="20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4.25" customHeight="1">
      <c r="A826" s="1"/>
      <c r="B826" s="20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4.25" customHeight="1">
      <c r="A827" s="1"/>
      <c r="B827" s="20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4.25" customHeight="1">
      <c r="A828" s="1"/>
      <c r="B828" s="20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4.25" customHeight="1">
      <c r="A829" s="1"/>
      <c r="B829" s="20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4.25" customHeight="1">
      <c r="A830" s="1"/>
      <c r="B830" s="20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4.25" customHeight="1">
      <c r="A831" s="1"/>
      <c r="B831" s="20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4.25" customHeight="1">
      <c r="A832" s="1"/>
      <c r="B832" s="20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4.25" customHeight="1">
      <c r="A833" s="1"/>
      <c r="B833" s="20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4.25" customHeight="1">
      <c r="A834" s="1"/>
      <c r="B834" s="20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4.25" customHeight="1">
      <c r="A835" s="1"/>
      <c r="B835" s="20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4.25" customHeight="1">
      <c r="A836" s="1"/>
      <c r="B836" s="20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4.25" customHeight="1">
      <c r="A837" s="1"/>
      <c r="B837" s="20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4.25" customHeight="1">
      <c r="A838" s="1"/>
      <c r="B838" s="20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4.25" customHeight="1">
      <c r="A839" s="1"/>
      <c r="B839" s="20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4.25" customHeight="1">
      <c r="A840" s="1"/>
      <c r="B840" s="20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4.25" customHeight="1">
      <c r="A841" s="1"/>
      <c r="B841" s="20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4.25" customHeight="1">
      <c r="A842" s="1"/>
      <c r="B842" s="20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4.25" customHeight="1">
      <c r="A843" s="1"/>
      <c r="B843" s="20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4.25" customHeight="1">
      <c r="A844" s="1"/>
      <c r="B844" s="20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4.25" customHeight="1">
      <c r="A845" s="1"/>
      <c r="B845" s="20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4.25" customHeight="1">
      <c r="A846" s="1"/>
      <c r="B846" s="20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4.25" customHeight="1">
      <c r="A847" s="1"/>
      <c r="B847" s="20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4.25" customHeight="1">
      <c r="A848" s="1"/>
      <c r="B848" s="20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4.25" customHeight="1">
      <c r="A849" s="1"/>
      <c r="B849" s="20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4.25" customHeight="1">
      <c r="A850" s="1"/>
      <c r="B850" s="20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4.25" customHeight="1">
      <c r="A851" s="1"/>
      <c r="B851" s="20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4.25" customHeight="1">
      <c r="A852" s="1"/>
      <c r="B852" s="20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4.25" customHeight="1">
      <c r="A853" s="1"/>
      <c r="B853" s="20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4.25" customHeight="1">
      <c r="A854" s="1"/>
      <c r="B854" s="20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4.25" customHeight="1">
      <c r="A855" s="1"/>
      <c r="B855" s="20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4.25" customHeight="1">
      <c r="A856" s="1"/>
      <c r="B856" s="20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4.25" customHeight="1">
      <c r="A857" s="1"/>
      <c r="B857" s="20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4.25" customHeight="1">
      <c r="A858" s="1"/>
      <c r="B858" s="20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4.25" customHeight="1">
      <c r="A859" s="1"/>
      <c r="B859" s="20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4.25" customHeight="1">
      <c r="A860" s="1"/>
      <c r="B860" s="20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4.25" customHeight="1">
      <c r="A861" s="1"/>
      <c r="B861" s="20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4.25" customHeight="1">
      <c r="A862" s="1"/>
      <c r="B862" s="20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4.25" customHeight="1">
      <c r="A863" s="1"/>
      <c r="B863" s="20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4.25" customHeight="1">
      <c r="A864" s="1"/>
      <c r="B864" s="20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4.25" customHeight="1">
      <c r="A865" s="1"/>
      <c r="B865" s="20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4.25" customHeight="1">
      <c r="A866" s="1"/>
      <c r="B866" s="20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4.25" customHeight="1">
      <c r="A867" s="1"/>
      <c r="B867" s="20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4.25" customHeight="1">
      <c r="A868" s="1"/>
      <c r="B868" s="20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4.25" customHeight="1">
      <c r="A869" s="1"/>
      <c r="B869" s="20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4.25" customHeight="1">
      <c r="A870" s="1"/>
      <c r="B870" s="20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4.25" customHeight="1">
      <c r="A871" s="1"/>
      <c r="B871" s="20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4.25" customHeight="1">
      <c r="A872" s="1"/>
      <c r="B872" s="20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4.25" customHeight="1">
      <c r="A873" s="1"/>
      <c r="B873" s="20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4.25" customHeight="1">
      <c r="A874" s="1"/>
      <c r="B874" s="20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4.25" customHeight="1">
      <c r="A875" s="1"/>
      <c r="B875" s="20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4.25" customHeight="1">
      <c r="A876" s="1"/>
      <c r="B876" s="20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4.25" customHeight="1">
      <c r="A877" s="1"/>
      <c r="B877" s="20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4.25" customHeight="1">
      <c r="A878" s="1"/>
      <c r="B878" s="20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4.25" customHeight="1">
      <c r="A879" s="1"/>
      <c r="B879" s="20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4.25" customHeight="1">
      <c r="A880" s="1"/>
      <c r="B880" s="20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4.25" customHeight="1">
      <c r="A881" s="1"/>
      <c r="B881" s="20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4.25" customHeight="1">
      <c r="A882" s="1"/>
      <c r="B882" s="20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4.25" customHeight="1">
      <c r="A883" s="1"/>
      <c r="B883" s="20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4.25" customHeight="1">
      <c r="A884" s="1"/>
      <c r="B884" s="20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4.25" customHeight="1">
      <c r="A885" s="1"/>
      <c r="B885" s="20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4.25" customHeight="1">
      <c r="A886" s="1"/>
      <c r="B886" s="20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4.25" customHeight="1">
      <c r="A887" s="1"/>
      <c r="B887" s="20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4.25" customHeight="1">
      <c r="A888" s="1"/>
      <c r="B888" s="20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4.25" customHeight="1">
      <c r="A889" s="1"/>
      <c r="B889" s="20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4.25" customHeight="1">
      <c r="A890" s="1"/>
      <c r="B890" s="20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4.25" customHeight="1">
      <c r="A891" s="1"/>
      <c r="B891" s="20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4.25" customHeight="1">
      <c r="A892" s="1"/>
      <c r="B892" s="20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4.25" customHeight="1">
      <c r="A893" s="1"/>
      <c r="B893" s="20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4.25" customHeight="1">
      <c r="A894" s="1"/>
      <c r="B894" s="20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4.25" customHeight="1">
      <c r="A895" s="1"/>
      <c r="B895" s="20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4.25" customHeight="1">
      <c r="A896" s="1"/>
      <c r="B896" s="20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4.25" customHeight="1">
      <c r="A897" s="1"/>
      <c r="B897" s="20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4.25" customHeight="1">
      <c r="A898" s="1"/>
      <c r="B898" s="20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4.25" customHeight="1">
      <c r="A899" s="1"/>
      <c r="B899" s="20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4.25" customHeight="1">
      <c r="A900" s="1"/>
      <c r="B900" s="20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4.25" customHeight="1">
      <c r="A901" s="1"/>
      <c r="B901" s="20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4.25" customHeight="1">
      <c r="A902" s="1"/>
      <c r="B902" s="20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4.25" customHeight="1">
      <c r="A903" s="1"/>
      <c r="B903" s="20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4.25" customHeight="1">
      <c r="A904" s="1"/>
      <c r="B904" s="20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4.25" customHeight="1">
      <c r="A905" s="1"/>
      <c r="B905" s="20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4.25" customHeight="1">
      <c r="A906" s="1"/>
      <c r="B906" s="20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4.25" customHeight="1">
      <c r="A907" s="1"/>
      <c r="B907" s="20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4.25" customHeight="1">
      <c r="A908" s="1"/>
      <c r="B908" s="20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4.25" customHeight="1">
      <c r="A909" s="1"/>
      <c r="B909" s="20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4.25" customHeight="1">
      <c r="A910" s="1"/>
      <c r="B910" s="20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4.25" customHeight="1">
      <c r="A911" s="1"/>
      <c r="B911" s="20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4.25" customHeight="1">
      <c r="A912" s="1"/>
      <c r="B912" s="20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4.25" customHeight="1">
      <c r="A913" s="1"/>
      <c r="B913" s="20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4.25" customHeight="1">
      <c r="A914" s="1"/>
      <c r="B914" s="20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4.25" customHeight="1">
      <c r="A915" s="1"/>
      <c r="B915" s="20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4.25" customHeight="1">
      <c r="A916" s="1"/>
      <c r="B916" s="20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4.25" customHeight="1">
      <c r="A917" s="1"/>
      <c r="B917" s="20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4.25" customHeight="1">
      <c r="A918" s="1"/>
      <c r="B918" s="20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4.25" customHeight="1">
      <c r="A919" s="1"/>
      <c r="B919" s="20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4.25" customHeight="1">
      <c r="A920" s="1"/>
      <c r="B920" s="20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4.25" customHeight="1">
      <c r="A921" s="1"/>
      <c r="B921" s="20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4.25" customHeight="1">
      <c r="A922" s="1"/>
      <c r="B922" s="20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4.25" customHeight="1">
      <c r="A923" s="1"/>
      <c r="B923" s="20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4.25" customHeight="1">
      <c r="A924" s="1"/>
      <c r="B924" s="20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4.25" customHeight="1">
      <c r="A925" s="1"/>
      <c r="B925" s="20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4.25" customHeight="1">
      <c r="A926" s="1"/>
      <c r="B926" s="20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4.25" customHeight="1">
      <c r="A927" s="1"/>
      <c r="B927" s="20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4.25" customHeight="1">
      <c r="A928" s="1"/>
      <c r="B928" s="20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4.25" customHeight="1">
      <c r="A929" s="1"/>
      <c r="B929" s="20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4.25" customHeight="1">
      <c r="A930" s="1"/>
      <c r="B930" s="20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4.25" customHeight="1">
      <c r="A931" s="1"/>
      <c r="B931" s="20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4.25" customHeight="1">
      <c r="A932" s="1"/>
      <c r="B932" s="20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4.25" customHeight="1">
      <c r="A933" s="1"/>
      <c r="B933" s="20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4.25" customHeight="1">
      <c r="A934" s="1"/>
      <c r="B934" s="20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4.25" customHeight="1">
      <c r="A935" s="1"/>
      <c r="B935" s="20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4.25" customHeight="1">
      <c r="A936" s="1"/>
      <c r="B936" s="20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4.25" customHeight="1">
      <c r="A937" s="1"/>
      <c r="B937" s="20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4.25" customHeight="1">
      <c r="A938" s="1"/>
      <c r="B938" s="20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4.25" customHeight="1">
      <c r="A939" s="1"/>
      <c r="B939" s="20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4.25" customHeight="1">
      <c r="A940" s="1"/>
      <c r="B940" s="20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4.25" customHeight="1">
      <c r="A941" s="1"/>
      <c r="B941" s="20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4.25" customHeight="1">
      <c r="A942" s="1"/>
      <c r="B942" s="20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4.25" customHeight="1">
      <c r="A943" s="1"/>
      <c r="B943" s="20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4.25" customHeight="1">
      <c r="A944" s="1"/>
      <c r="B944" s="20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4.25" customHeight="1">
      <c r="A945" s="1"/>
      <c r="B945" s="20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4.25" customHeight="1">
      <c r="A946" s="1"/>
      <c r="B946" s="20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4.25" customHeight="1">
      <c r="A947" s="1"/>
      <c r="B947" s="20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4.25" customHeight="1">
      <c r="A948" s="1"/>
      <c r="B948" s="20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4.25" customHeight="1">
      <c r="A949" s="1"/>
      <c r="B949" s="20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4.25" customHeight="1">
      <c r="A950" s="1"/>
      <c r="B950" s="20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4.25" customHeight="1">
      <c r="A951" s="1"/>
      <c r="B951" s="20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4.25" customHeight="1">
      <c r="A952" s="1"/>
      <c r="B952" s="20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4.25" customHeight="1">
      <c r="A953" s="1"/>
      <c r="B953" s="20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4.25" customHeight="1">
      <c r="A954" s="1"/>
      <c r="B954" s="20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4.25" customHeight="1">
      <c r="A955" s="1"/>
      <c r="B955" s="20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4.25" customHeight="1">
      <c r="A956" s="1"/>
      <c r="B956" s="20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4.25" customHeight="1">
      <c r="A957" s="1"/>
      <c r="B957" s="20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4.25" customHeight="1">
      <c r="A958" s="1"/>
      <c r="B958" s="20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4.25" customHeight="1">
      <c r="A959" s="1"/>
      <c r="B959" s="20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4.25" customHeight="1">
      <c r="A960" s="1"/>
      <c r="B960" s="20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4.25" customHeight="1">
      <c r="A961" s="1"/>
      <c r="B961" s="20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4.25" customHeight="1">
      <c r="A962" s="1"/>
      <c r="B962" s="20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4.25" customHeight="1">
      <c r="A963" s="1"/>
      <c r="B963" s="20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4.25" customHeight="1">
      <c r="A964" s="1"/>
      <c r="B964" s="20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4.25" customHeight="1">
      <c r="A965" s="1"/>
      <c r="B965" s="20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4.25" customHeight="1">
      <c r="A966" s="1"/>
      <c r="B966" s="20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4.25" customHeight="1">
      <c r="A967" s="1"/>
      <c r="B967" s="20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4.25" customHeight="1">
      <c r="A968" s="1"/>
      <c r="B968" s="20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4.25" customHeight="1">
      <c r="A969" s="1"/>
      <c r="B969" s="20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4.25" customHeight="1">
      <c r="A970" s="1"/>
      <c r="B970" s="20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4.25" customHeight="1">
      <c r="A971" s="1"/>
      <c r="B971" s="20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4.25" customHeight="1">
      <c r="A972" s="1"/>
      <c r="B972" s="20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4.25" customHeight="1">
      <c r="A973" s="1"/>
      <c r="B973" s="20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4.25" customHeight="1">
      <c r="A974" s="1"/>
      <c r="B974" s="20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4.25" customHeight="1">
      <c r="A975" s="1"/>
      <c r="B975" s="20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4.25" customHeight="1">
      <c r="A976" s="1"/>
      <c r="B976" s="20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4.25" customHeight="1">
      <c r="A977" s="1"/>
      <c r="B977" s="20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4.25" customHeight="1">
      <c r="A978" s="1"/>
      <c r="B978" s="20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4.25" customHeight="1">
      <c r="A979" s="1"/>
      <c r="B979" s="20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4.25" customHeight="1">
      <c r="A980" s="1"/>
      <c r="B980" s="20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4.25" customHeight="1">
      <c r="A981" s="1"/>
      <c r="B981" s="20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4.25" customHeight="1">
      <c r="A982" s="1"/>
      <c r="B982" s="20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4.25" customHeight="1">
      <c r="A983" s="1"/>
      <c r="B983" s="20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4.25" customHeight="1">
      <c r="A984" s="1"/>
      <c r="B984" s="20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4.25" customHeight="1">
      <c r="A985" s="1"/>
      <c r="B985" s="20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4.25" customHeight="1">
      <c r="A986" s="1"/>
      <c r="B986" s="20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4.25" customHeight="1">
      <c r="A987" s="1"/>
      <c r="B987" s="20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4.25" customHeight="1">
      <c r="A988" s="1"/>
      <c r="B988" s="20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4.25" customHeight="1">
      <c r="A989" s="1"/>
      <c r="B989" s="20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4.25" customHeight="1">
      <c r="A990" s="1"/>
      <c r="B990" s="20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4.25" customHeight="1">
      <c r="A991" s="1"/>
      <c r="B991" s="20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4.25" customHeight="1">
      <c r="A992" s="1"/>
      <c r="B992" s="20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4.25" customHeight="1">
      <c r="A993" s="1"/>
      <c r="B993" s="20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4.25" customHeight="1">
      <c r="A994" s="1"/>
      <c r="B994" s="20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4.25" customHeight="1">
      <c r="A995" s="1"/>
      <c r="B995" s="20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4.25" customHeight="1">
      <c r="A996" s="1"/>
      <c r="B996" s="20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4.25" customHeight="1">
      <c r="A997" s="1"/>
      <c r="B997" s="20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4.25" customHeight="1">
      <c r="A998" s="1"/>
      <c r="B998" s="20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4.25" customHeight="1">
      <c r="A999" s="1"/>
      <c r="B999" s="20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4.25" customHeight="1">
      <c r="A1000" s="1"/>
      <c r="B1000" s="20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mergeCells count="54">
    <mergeCell ref="A1:W1"/>
    <mergeCell ref="A2:W2"/>
    <mergeCell ref="A3:B3"/>
    <mergeCell ref="C3:V3"/>
    <mergeCell ref="W3:W5"/>
    <mergeCell ref="A4:B5"/>
    <mergeCell ref="A6:W6"/>
    <mergeCell ref="A10:W10"/>
    <mergeCell ref="A19:W19"/>
    <mergeCell ref="A21:W21"/>
    <mergeCell ref="A24:W24"/>
    <mergeCell ref="A26:W26"/>
    <mergeCell ref="A30:W30"/>
    <mergeCell ref="A32:W32"/>
    <mergeCell ref="A34:W34"/>
    <mergeCell ref="A36:W36"/>
    <mergeCell ref="A39:W39"/>
    <mergeCell ref="A42:W42"/>
    <mergeCell ref="A44:B44"/>
    <mergeCell ref="A46:N46"/>
    <mergeCell ref="G47:N47"/>
    <mergeCell ref="G49:J49"/>
    <mergeCell ref="K49:N49"/>
    <mergeCell ref="A47:F47"/>
    <mergeCell ref="A48:B48"/>
    <mergeCell ref="C48:F48"/>
    <mergeCell ref="G48:J48"/>
    <mergeCell ref="K48:N48"/>
    <mergeCell ref="A49:B50"/>
    <mergeCell ref="C49:F49"/>
    <mergeCell ref="K50:N50"/>
    <mergeCell ref="C50:F50"/>
    <mergeCell ref="G50:J50"/>
    <mergeCell ref="A51:B51"/>
    <mergeCell ref="C51:F51"/>
    <mergeCell ref="G51:J51"/>
    <mergeCell ref="K51:N51"/>
    <mergeCell ref="A52:B52"/>
    <mergeCell ref="K52:N52"/>
    <mergeCell ref="K55:N55"/>
    <mergeCell ref="A56:N56"/>
    <mergeCell ref="C52:F52"/>
    <mergeCell ref="G52:J52"/>
    <mergeCell ref="A53:B53"/>
    <mergeCell ref="C53:F53"/>
    <mergeCell ref="G53:J53"/>
    <mergeCell ref="K53:N53"/>
    <mergeCell ref="A54:B54"/>
    <mergeCell ref="K54:N54"/>
    <mergeCell ref="C54:F54"/>
    <mergeCell ref="G54:J54"/>
    <mergeCell ref="A55:B55"/>
    <mergeCell ref="C55:F55"/>
    <mergeCell ref="G55:J55"/>
  </mergeCells>
  <pageMargins left="0.2" right="0" top="0.25" bottom="0" header="0" footer="0"/>
  <pageSetup paperSize="9" scale="9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Y1000"/>
  <sheetViews>
    <sheetView workbookViewId="0">
      <pane ySplit="6" topLeftCell="A18" activePane="bottomLeft" state="frozen"/>
      <selection activeCell="P53" sqref="P53"/>
      <selection pane="bottomLeft" activeCell="A24" sqref="A24:W24"/>
    </sheetView>
  </sheetViews>
  <sheetFormatPr defaultColWidth="14.44140625" defaultRowHeight="15" customHeight="1"/>
  <cols>
    <col min="1" max="1" width="4" customWidth="1"/>
    <col min="2" max="2" width="23.33203125" customWidth="1"/>
    <col min="3" max="3" width="5.44140625" customWidth="1"/>
    <col min="4" max="4" width="5.109375" customWidth="1"/>
    <col min="5" max="5" width="5" customWidth="1"/>
    <col min="6" max="7" width="5.33203125" customWidth="1"/>
    <col min="8" max="9" width="5.109375" customWidth="1"/>
    <col min="10" max="10" width="5.6640625" customWidth="1"/>
    <col min="11" max="11" width="5.5546875" customWidth="1"/>
    <col min="12" max="12" width="5.109375" customWidth="1"/>
    <col min="13" max="13" width="5.5546875" customWidth="1"/>
    <col min="14" max="14" width="5" customWidth="1"/>
    <col min="15" max="15" width="5.109375" customWidth="1"/>
    <col min="16" max="17" width="4.88671875" customWidth="1"/>
    <col min="18" max="18" width="5.5546875" customWidth="1"/>
    <col min="19" max="19" width="5.44140625" customWidth="1"/>
    <col min="20" max="20" width="5" customWidth="1"/>
    <col min="21" max="22" width="5.33203125" customWidth="1"/>
    <col min="23" max="23" width="5" customWidth="1"/>
    <col min="24" max="25" width="9" customWidth="1"/>
  </cols>
  <sheetData>
    <row r="1" spans="1:25" ht="14.25" customHeight="1">
      <c r="A1" s="126" t="s">
        <v>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1"/>
      <c r="X1" s="1"/>
      <c r="Y1" s="1"/>
    </row>
    <row r="2" spans="1:25" ht="14.25" customHeight="1">
      <c r="A2" s="126" t="s">
        <v>105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1"/>
      <c r="X2" s="1"/>
      <c r="Y2" s="1"/>
    </row>
    <row r="3" spans="1:25" ht="14.25" customHeight="1">
      <c r="A3" s="126" t="s">
        <v>98</v>
      </c>
      <c r="B3" s="121"/>
      <c r="C3" s="126" t="s">
        <v>99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35" t="s">
        <v>1</v>
      </c>
      <c r="X3" s="1"/>
      <c r="Y3" s="1"/>
    </row>
    <row r="4" spans="1:25" ht="14.25" customHeight="1">
      <c r="A4" s="138" t="s">
        <v>2</v>
      </c>
      <c r="B4" s="129"/>
      <c r="C4" s="2">
        <v>1</v>
      </c>
      <c r="D4" s="2">
        <v>2</v>
      </c>
      <c r="E4" s="2">
        <v>3</v>
      </c>
      <c r="F4" s="2">
        <v>4</v>
      </c>
      <c r="G4" s="2">
        <v>5</v>
      </c>
      <c r="H4" s="2">
        <v>6</v>
      </c>
      <c r="I4" s="2">
        <v>7</v>
      </c>
      <c r="J4" s="2">
        <v>8</v>
      </c>
      <c r="K4" s="2">
        <v>9</v>
      </c>
      <c r="L4" s="2">
        <v>10</v>
      </c>
      <c r="M4" s="2">
        <v>11</v>
      </c>
      <c r="N4" s="2">
        <v>12</v>
      </c>
      <c r="O4" s="2">
        <v>13</v>
      </c>
      <c r="P4" s="2">
        <v>14</v>
      </c>
      <c r="Q4" s="2">
        <v>15</v>
      </c>
      <c r="R4" s="2">
        <v>16</v>
      </c>
      <c r="S4" s="2">
        <v>17</v>
      </c>
      <c r="T4" s="2">
        <v>18</v>
      </c>
      <c r="U4" s="2">
        <v>19</v>
      </c>
      <c r="V4" s="2">
        <v>20</v>
      </c>
      <c r="W4" s="136"/>
      <c r="X4" s="3"/>
      <c r="Y4" s="3"/>
    </row>
    <row r="5" spans="1:25" ht="160.80000000000001" customHeight="1">
      <c r="A5" s="130"/>
      <c r="B5" s="131"/>
      <c r="C5" s="27" t="s">
        <v>79</v>
      </c>
      <c r="D5" s="27" t="s">
        <v>80</v>
      </c>
      <c r="E5" s="28" t="s">
        <v>81</v>
      </c>
      <c r="F5" s="28" t="s">
        <v>82</v>
      </c>
      <c r="G5" s="28" t="s">
        <v>83</v>
      </c>
      <c r="H5" s="28" t="s">
        <v>84</v>
      </c>
      <c r="I5" s="29" t="s">
        <v>85</v>
      </c>
      <c r="J5" s="28" t="s">
        <v>86</v>
      </c>
      <c r="K5" s="28" t="s">
        <v>101</v>
      </c>
      <c r="L5" s="28" t="s">
        <v>87</v>
      </c>
      <c r="M5" s="28" t="s">
        <v>88</v>
      </c>
      <c r="N5" s="28" t="s">
        <v>89</v>
      </c>
      <c r="O5" s="28" t="s">
        <v>102</v>
      </c>
      <c r="P5" s="28" t="s">
        <v>90</v>
      </c>
      <c r="Q5" s="28" t="s">
        <v>91</v>
      </c>
      <c r="R5" s="28" t="s">
        <v>92</v>
      </c>
      <c r="S5" s="27" t="s">
        <v>103</v>
      </c>
      <c r="T5" s="28" t="s">
        <v>93</v>
      </c>
      <c r="U5" s="28" t="s">
        <v>94</v>
      </c>
      <c r="V5" s="27" t="s">
        <v>104</v>
      </c>
      <c r="W5" s="137"/>
      <c r="X5" s="4"/>
      <c r="Y5" s="4"/>
    </row>
    <row r="6" spans="1:25" ht="14.25" customHeight="1">
      <c r="A6" s="133" t="s">
        <v>3</v>
      </c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1"/>
      <c r="X6" s="4"/>
      <c r="Y6" s="4"/>
    </row>
    <row r="7" spans="1:25" ht="19.5" customHeight="1">
      <c r="A7" s="5" t="s">
        <v>4</v>
      </c>
      <c r="B7" s="5" t="s">
        <v>5</v>
      </c>
      <c r="C7" s="6">
        <v>3</v>
      </c>
      <c r="D7" s="6">
        <v>2.5</v>
      </c>
      <c r="E7" s="6">
        <v>2</v>
      </c>
      <c r="F7" s="6">
        <v>3</v>
      </c>
      <c r="G7" s="6">
        <v>2.5</v>
      </c>
      <c r="H7" s="6">
        <v>2.5</v>
      </c>
      <c r="I7" s="6">
        <v>2.5</v>
      </c>
      <c r="J7" s="6">
        <v>2.5</v>
      </c>
      <c r="K7" s="6">
        <v>3</v>
      </c>
      <c r="L7" s="6">
        <v>2.5</v>
      </c>
      <c r="M7" s="6">
        <v>3</v>
      </c>
      <c r="N7" s="6">
        <v>2.5</v>
      </c>
      <c r="O7" s="6" t="s">
        <v>6</v>
      </c>
      <c r="P7" s="6">
        <v>3</v>
      </c>
      <c r="Q7" s="6">
        <v>2.5</v>
      </c>
      <c r="R7" s="6">
        <v>3</v>
      </c>
      <c r="S7" s="6">
        <v>2.5</v>
      </c>
      <c r="T7" s="6">
        <v>2.5</v>
      </c>
      <c r="U7" s="6">
        <v>2.5</v>
      </c>
      <c r="V7" s="6">
        <v>2</v>
      </c>
      <c r="W7" s="7">
        <f>AVERAGE(C7:V7)</f>
        <v>2.6052631578947367</v>
      </c>
      <c r="X7" s="1"/>
      <c r="Y7" s="1"/>
    </row>
    <row r="8" spans="1:25" ht="40.799999999999997" customHeight="1">
      <c r="A8" s="5" t="s">
        <v>7</v>
      </c>
      <c r="B8" s="8" t="s">
        <v>8</v>
      </c>
      <c r="C8" s="6">
        <v>3</v>
      </c>
      <c r="D8" s="6">
        <v>3</v>
      </c>
      <c r="E8" s="6">
        <v>2</v>
      </c>
      <c r="F8" s="6">
        <v>3</v>
      </c>
      <c r="G8" s="6">
        <v>3</v>
      </c>
      <c r="H8" s="6">
        <v>1</v>
      </c>
      <c r="I8" s="6">
        <v>3</v>
      </c>
      <c r="J8" s="6">
        <v>1</v>
      </c>
      <c r="K8" s="6">
        <v>3</v>
      </c>
      <c r="L8" s="6">
        <v>3</v>
      </c>
      <c r="M8" s="6">
        <v>3</v>
      </c>
      <c r="N8" s="6">
        <v>3</v>
      </c>
      <c r="O8" s="6" t="s">
        <v>6</v>
      </c>
      <c r="P8" s="6">
        <v>3</v>
      </c>
      <c r="Q8" s="6">
        <v>1</v>
      </c>
      <c r="R8" s="6">
        <v>3</v>
      </c>
      <c r="S8" s="6">
        <v>3</v>
      </c>
      <c r="T8" s="6">
        <v>3</v>
      </c>
      <c r="U8" s="6">
        <v>1</v>
      </c>
      <c r="V8" s="6">
        <v>2</v>
      </c>
      <c r="W8" s="9">
        <f>AVERAGE(C8:V8)</f>
        <v>2.4736842105263159</v>
      </c>
      <c r="X8" s="1"/>
      <c r="Y8" s="1"/>
    </row>
    <row r="9" spans="1:25" ht="18.75" customHeight="1">
      <c r="A9" s="5" t="s">
        <v>9</v>
      </c>
      <c r="B9" s="8" t="s">
        <v>10</v>
      </c>
      <c r="C9" s="10">
        <v>3</v>
      </c>
      <c r="D9" s="10">
        <v>3</v>
      </c>
      <c r="E9" s="10">
        <v>3</v>
      </c>
      <c r="F9" s="10">
        <v>3</v>
      </c>
      <c r="G9" s="10">
        <v>3</v>
      </c>
      <c r="H9" s="10">
        <v>3</v>
      </c>
      <c r="I9" s="10">
        <v>3</v>
      </c>
      <c r="J9" s="10">
        <v>3</v>
      </c>
      <c r="K9" s="10">
        <v>3</v>
      </c>
      <c r="L9" s="10">
        <v>3</v>
      </c>
      <c r="M9" s="10">
        <v>3</v>
      </c>
      <c r="N9" s="10">
        <v>3</v>
      </c>
      <c r="O9" s="10" t="s">
        <v>6</v>
      </c>
      <c r="P9" s="10">
        <v>3</v>
      </c>
      <c r="Q9" s="10">
        <v>3</v>
      </c>
      <c r="R9" s="10">
        <v>3</v>
      </c>
      <c r="S9" s="10">
        <v>3</v>
      </c>
      <c r="T9" s="10">
        <v>3</v>
      </c>
      <c r="U9" s="10">
        <v>3</v>
      </c>
      <c r="V9" s="10">
        <v>3</v>
      </c>
      <c r="W9" s="9">
        <f>AVERAGE(C9:V9)</f>
        <v>3</v>
      </c>
      <c r="X9" s="1"/>
      <c r="Y9" s="1"/>
    </row>
    <row r="10" spans="1:25" ht="15.75" customHeight="1">
      <c r="A10" s="133">
        <v>2</v>
      </c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1"/>
      <c r="X10" s="1"/>
      <c r="Y10" s="1"/>
    </row>
    <row r="11" spans="1:25" ht="14.25" customHeight="1">
      <c r="A11" s="5" t="s">
        <v>11</v>
      </c>
      <c r="B11" s="8" t="s">
        <v>12</v>
      </c>
      <c r="C11" s="11">
        <v>3</v>
      </c>
      <c r="D11" s="11">
        <v>2.5</v>
      </c>
      <c r="E11" s="11">
        <v>2.5</v>
      </c>
      <c r="F11" s="11">
        <v>3</v>
      </c>
      <c r="G11" s="11">
        <v>3</v>
      </c>
      <c r="H11" s="11">
        <v>3</v>
      </c>
      <c r="I11" s="11">
        <v>2.5</v>
      </c>
      <c r="J11" s="11">
        <v>3</v>
      </c>
      <c r="K11" s="11">
        <v>2.5</v>
      </c>
      <c r="L11" s="11">
        <v>2.5</v>
      </c>
      <c r="M11" s="11">
        <v>3</v>
      </c>
      <c r="N11" s="11">
        <v>3</v>
      </c>
      <c r="O11" s="11" t="s">
        <v>6</v>
      </c>
      <c r="P11" s="11">
        <v>3</v>
      </c>
      <c r="Q11" s="11">
        <v>2.5</v>
      </c>
      <c r="R11" s="11">
        <v>3</v>
      </c>
      <c r="S11" s="11">
        <v>2.5</v>
      </c>
      <c r="T11" s="11">
        <v>3</v>
      </c>
      <c r="U11" s="11">
        <v>2.5</v>
      </c>
      <c r="V11" s="11">
        <v>3</v>
      </c>
      <c r="W11" s="9">
        <f>AVERAGE(C11:V11)</f>
        <v>2.7894736842105261</v>
      </c>
      <c r="X11" s="1"/>
      <c r="Y11" s="1"/>
    </row>
    <row r="12" spans="1:25" ht="17.25" customHeight="1">
      <c r="A12" s="5" t="s">
        <v>13</v>
      </c>
      <c r="B12" s="8" t="s">
        <v>14</v>
      </c>
      <c r="C12" s="11" t="s">
        <v>6</v>
      </c>
      <c r="D12" s="11" t="s">
        <v>6</v>
      </c>
      <c r="E12" s="11" t="s">
        <v>6</v>
      </c>
      <c r="F12" s="11" t="s">
        <v>6</v>
      </c>
      <c r="G12" s="11" t="s">
        <v>6</v>
      </c>
      <c r="H12" s="11" t="s">
        <v>6</v>
      </c>
      <c r="I12" s="11" t="s">
        <v>6</v>
      </c>
      <c r="J12" s="11" t="s">
        <v>6</v>
      </c>
      <c r="K12" s="11" t="s">
        <v>6</v>
      </c>
      <c r="L12" s="11" t="s">
        <v>6</v>
      </c>
      <c r="M12" s="11" t="s">
        <v>6</v>
      </c>
      <c r="N12" s="11" t="s">
        <v>6</v>
      </c>
      <c r="O12" s="11" t="s">
        <v>6</v>
      </c>
      <c r="P12" s="11" t="s">
        <v>6</v>
      </c>
      <c r="Q12" s="11" t="s">
        <v>6</v>
      </c>
      <c r="R12" s="11" t="s">
        <v>6</v>
      </c>
      <c r="S12" s="11" t="s">
        <v>6</v>
      </c>
      <c r="T12" s="11" t="s">
        <v>6</v>
      </c>
      <c r="U12" s="11" t="s">
        <v>6</v>
      </c>
      <c r="V12" s="11" t="s">
        <v>6</v>
      </c>
      <c r="W12" s="11" t="s">
        <v>6</v>
      </c>
      <c r="X12" s="1"/>
      <c r="Y12" s="1"/>
    </row>
    <row r="13" spans="1:25" ht="32.25" customHeight="1">
      <c r="A13" s="5" t="s">
        <v>15</v>
      </c>
      <c r="B13" s="8" t="s">
        <v>16</v>
      </c>
      <c r="C13" s="11" t="s">
        <v>6</v>
      </c>
      <c r="D13" s="11" t="s">
        <v>6</v>
      </c>
      <c r="E13" s="11" t="s">
        <v>6</v>
      </c>
      <c r="F13" s="11" t="s">
        <v>6</v>
      </c>
      <c r="G13" s="11" t="s">
        <v>6</v>
      </c>
      <c r="H13" s="11" t="s">
        <v>6</v>
      </c>
      <c r="I13" s="11" t="s">
        <v>6</v>
      </c>
      <c r="J13" s="11" t="s">
        <v>6</v>
      </c>
      <c r="K13" s="11" t="s">
        <v>6</v>
      </c>
      <c r="L13" s="11" t="s">
        <v>6</v>
      </c>
      <c r="M13" s="11" t="s">
        <v>6</v>
      </c>
      <c r="N13" s="11" t="s">
        <v>6</v>
      </c>
      <c r="O13" s="11" t="s">
        <v>6</v>
      </c>
      <c r="P13" s="11" t="s">
        <v>6</v>
      </c>
      <c r="Q13" s="11" t="s">
        <v>6</v>
      </c>
      <c r="R13" s="11" t="s">
        <v>6</v>
      </c>
      <c r="S13" s="11" t="s">
        <v>6</v>
      </c>
      <c r="T13" s="11" t="s">
        <v>6</v>
      </c>
      <c r="U13" s="11" t="s">
        <v>6</v>
      </c>
      <c r="V13" s="11" t="s">
        <v>6</v>
      </c>
      <c r="W13" s="11" t="s">
        <v>6</v>
      </c>
      <c r="X13" s="1"/>
      <c r="Y13" s="1"/>
    </row>
    <row r="14" spans="1:25" ht="26.25" customHeight="1">
      <c r="A14" s="5" t="s">
        <v>17</v>
      </c>
      <c r="B14" s="8" t="s">
        <v>18</v>
      </c>
      <c r="C14" s="11" t="s">
        <v>6</v>
      </c>
      <c r="D14" s="11" t="s">
        <v>6</v>
      </c>
      <c r="E14" s="11" t="s">
        <v>6</v>
      </c>
      <c r="F14" s="11" t="s">
        <v>6</v>
      </c>
      <c r="G14" s="11" t="s">
        <v>6</v>
      </c>
      <c r="H14" s="11" t="s">
        <v>6</v>
      </c>
      <c r="I14" s="11" t="s">
        <v>6</v>
      </c>
      <c r="J14" s="11" t="s">
        <v>6</v>
      </c>
      <c r="K14" s="11" t="s">
        <v>6</v>
      </c>
      <c r="L14" s="11" t="s">
        <v>6</v>
      </c>
      <c r="M14" s="11" t="s">
        <v>6</v>
      </c>
      <c r="N14" s="11" t="s">
        <v>6</v>
      </c>
      <c r="O14" s="11" t="s">
        <v>6</v>
      </c>
      <c r="P14" s="11" t="s">
        <v>6</v>
      </c>
      <c r="Q14" s="11" t="s">
        <v>6</v>
      </c>
      <c r="R14" s="11" t="s">
        <v>6</v>
      </c>
      <c r="S14" s="11" t="s">
        <v>6</v>
      </c>
      <c r="T14" s="11" t="s">
        <v>6</v>
      </c>
      <c r="U14" s="11" t="s">
        <v>6</v>
      </c>
      <c r="V14" s="11" t="s">
        <v>6</v>
      </c>
      <c r="W14" s="11" t="s">
        <v>6</v>
      </c>
      <c r="X14" s="1"/>
      <c r="Y14" s="1"/>
    </row>
    <row r="15" spans="1:25" ht="24.75" customHeight="1">
      <c r="A15" s="5" t="s">
        <v>19</v>
      </c>
      <c r="B15" s="8" t="s">
        <v>20</v>
      </c>
      <c r="C15" s="11">
        <v>3</v>
      </c>
      <c r="D15" s="11">
        <v>3</v>
      </c>
      <c r="E15" s="11">
        <v>2</v>
      </c>
      <c r="F15" s="11">
        <v>3</v>
      </c>
      <c r="G15" s="11">
        <v>3</v>
      </c>
      <c r="H15" s="11">
        <v>2</v>
      </c>
      <c r="I15" s="11">
        <v>2</v>
      </c>
      <c r="J15" s="11">
        <v>2</v>
      </c>
      <c r="K15" s="11">
        <v>3</v>
      </c>
      <c r="L15" s="11">
        <v>3</v>
      </c>
      <c r="M15" s="11">
        <v>3</v>
      </c>
      <c r="N15" s="11">
        <v>3</v>
      </c>
      <c r="O15" s="11">
        <v>3</v>
      </c>
      <c r="P15" s="11">
        <v>3</v>
      </c>
      <c r="Q15" s="11">
        <v>3</v>
      </c>
      <c r="R15" s="11">
        <v>2</v>
      </c>
      <c r="S15" s="11">
        <v>3</v>
      </c>
      <c r="T15" s="11">
        <v>3</v>
      </c>
      <c r="U15" s="11">
        <v>2</v>
      </c>
      <c r="V15" s="11">
        <v>3</v>
      </c>
      <c r="W15" s="11">
        <f>AVERAGE(C15:V15)</f>
        <v>2.7</v>
      </c>
      <c r="X15" s="1"/>
      <c r="Y15" s="1"/>
    </row>
    <row r="16" spans="1:25" ht="16.5" customHeight="1">
      <c r="A16" s="5" t="s">
        <v>21</v>
      </c>
      <c r="B16" s="8" t="s">
        <v>22</v>
      </c>
      <c r="C16" s="11">
        <v>2</v>
      </c>
      <c r="D16" s="11">
        <v>2</v>
      </c>
      <c r="E16" s="11" t="s">
        <v>6</v>
      </c>
      <c r="F16" s="11">
        <v>2</v>
      </c>
      <c r="G16" s="11">
        <v>2</v>
      </c>
      <c r="H16" s="11">
        <v>2</v>
      </c>
      <c r="I16" s="11">
        <v>2</v>
      </c>
      <c r="J16" s="11">
        <v>2</v>
      </c>
      <c r="K16" s="11">
        <v>2</v>
      </c>
      <c r="L16" s="11">
        <v>3</v>
      </c>
      <c r="M16" s="11">
        <v>2</v>
      </c>
      <c r="N16" s="11">
        <v>3</v>
      </c>
      <c r="O16" s="11">
        <v>2</v>
      </c>
      <c r="P16" s="11">
        <v>2</v>
      </c>
      <c r="Q16" s="11">
        <v>2</v>
      </c>
      <c r="R16" s="11">
        <v>2</v>
      </c>
      <c r="S16" s="11">
        <v>2</v>
      </c>
      <c r="T16" s="11">
        <v>3</v>
      </c>
      <c r="U16" s="11">
        <v>2</v>
      </c>
      <c r="V16" s="11">
        <v>2</v>
      </c>
      <c r="W16" s="12">
        <f>AVERAGE(C16:V16)</f>
        <v>2.1578947368421053</v>
      </c>
      <c r="X16" s="1"/>
      <c r="Y16" s="1"/>
    </row>
    <row r="17" spans="1:24" ht="18" customHeight="1">
      <c r="A17" s="5" t="s">
        <v>23</v>
      </c>
      <c r="B17" s="8" t="s">
        <v>24</v>
      </c>
      <c r="C17" s="11" t="s">
        <v>6</v>
      </c>
      <c r="D17" s="11" t="s">
        <v>6</v>
      </c>
      <c r="E17" s="11" t="s">
        <v>6</v>
      </c>
      <c r="F17" s="11" t="s">
        <v>6</v>
      </c>
      <c r="G17" s="11" t="s">
        <v>6</v>
      </c>
      <c r="H17" s="11" t="s">
        <v>6</v>
      </c>
      <c r="I17" s="11" t="s">
        <v>6</v>
      </c>
      <c r="J17" s="11" t="s">
        <v>6</v>
      </c>
      <c r="K17" s="11" t="s">
        <v>6</v>
      </c>
      <c r="L17" s="11" t="s">
        <v>6</v>
      </c>
      <c r="M17" s="11" t="s">
        <v>6</v>
      </c>
      <c r="N17" s="11" t="s">
        <v>6</v>
      </c>
      <c r="O17" s="11" t="s">
        <v>6</v>
      </c>
      <c r="P17" s="11" t="s">
        <v>6</v>
      </c>
      <c r="Q17" s="11" t="s">
        <v>6</v>
      </c>
      <c r="R17" s="11" t="s">
        <v>6</v>
      </c>
      <c r="S17" s="11" t="s">
        <v>6</v>
      </c>
      <c r="T17" s="11" t="s">
        <v>6</v>
      </c>
      <c r="U17" s="11" t="s">
        <v>6</v>
      </c>
      <c r="V17" s="11" t="s">
        <v>6</v>
      </c>
      <c r="W17" s="12" t="s">
        <v>6</v>
      </c>
    </row>
    <row r="18" spans="1:24" ht="12.75" customHeight="1">
      <c r="A18" s="5" t="s">
        <v>25</v>
      </c>
      <c r="B18" s="8" t="s">
        <v>26</v>
      </c>
      <c r="C18" s="10">
        <v>3</v>
      </c>
      <c r="D18" s="10">
        <v>2</v>
      </c>
      <c r="E18" s="10">
        <v>3</v>
      </c>
      <c r="F18" s="10">
        <v>3</v>
      </c>
      <c r="G18" s="10">
        <v>3</v>
      </c>
      <c r="H18" s="10">
        <v>3</v>
      </c>
      <c r="I18" s="10">
        <v>3</v>
      </c>
      <c r="J18" s="10">
        <v>3</v>
      </c>
      <c r="K18" s="10">
        <v>3</v>
      </c>
      <c r="L18" s="10">
        <v>3</v>
      </c>
      <c r="M18" s="10">
        <v>3</v>
      </c>
      <c r="N18" s="10">
        <v>3</v>
      </c>
      <c r="O18" s="10" t="s">
        <v>6</v>
      </c>
      <c r="P18" s="10">
        <v>3</v>
      </c>
      <c r="Q18" s="10">
        <v>2</v>
      </c>
      <c r="R18" s="10">
        <v>3</v>
      </c>
      <c r="S18" s="10">
        <v>3</v>
      </c>
      <c r="T18" s="10">
        <v>3</v>
      </c>
      <c r="U18" s="10">
        <v>3</v>
      </c>
      <c r="V18" s="10">
        <v>3</v>
      </c>
      <c r="W18" s="10">
        <v>3</v>
      </c>
    </row>
    <row r="19" spans="1:24" ht="19.5" customHeight="1">
      <c r="A19" s="134" t="s">
        <v>27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1"/>
    </row>
    <row r="20" spans="1:24" ht="18.75" customHeight="1">
      <c r="A20" s="5" t="s">
        <v>28</v>
      </c>
      <c r="B20" s="8" t="s">
        <v>29</v>
      </c>
      <c r="C20" s="11">
        <v>3</v>
      </c>
      <c r="D20" s="11">
        <v>2</v>
      </c>
      <c r="E20" s="11">
        <v>3</v>
      </c>
      <c r="F20" s="11">
        <v>0</v>
      </c>
      <c r="G20" s="11">
        <v>3</v>
      </c>
      <c r="H20" s="11">
        <v>2</v>
      </c>
      <c r="I20" s="11">
        <v>2</v>
      </c>
      <c r="J20" s="11">
        <v>2</v>
      </c>
      <c r="K20" s="11">
        <v>2</v>
      </c>
      <c r="L20" s="11">
        <v>2</v>
      </c>
      <c r="M20" s="11">
        <v>2</v>
      </c>
      <c r="N20" s="11">
        <v>2</v>
      </c>
      <c r="O20" s="11" t="s">
        <v>6</v>
      </c>
      <c r="P20" s="11">
        <v>2</v>
      </c>
      <c r="Q20" s="11">
        <v>0</v>
      </c>
      <c r="R20" s="11">
        <v>3</v>
      </c>
      <c r="S20" s="11">
        <v>2</v>
      </c>
      <c r="T20" s="11">
        <v>3</v>
      </c>
      <c r="U20" s="11">
        <v>2</v>
      </c>
      <c r="V20" s="11">
        <v>2</v>
      </c>
      <c r="W20" s="9">
        <f>AVERAGE(C20:V20)</f>
        <v>2.0526315789473686</v>
      </c>
    </row>
    <row r="21" spans="1:24" ht="19.5" customHeight="1">
      <c r="A21" s="133" t="s">
        <v>30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1"/>
    </row>
    <row r="22" spans="1:24" ht="19.5" customHeight="1">
      <c r="A22" s="5" t="s">
        <v>31</v>
      </c>
      <c r="B22" s="8" t="s">
        <v>32</v>
      </c>
      <c r="C22" s="11">
        <v>3</v>
      </c>
      <c r="D22" s="11">
        <v>3</v>
      </c>
      <c r="E22" s="11">
        <v>3</v>
      </c>
      <c r="F22" s="11">
        <v>2</v>
      </c>
      <c r="G22" s="11">
        <v>3</v>
      </c>
      <c r="H22" s="11">
        <v>3</v>
      </c>
      <c r="I22" s="11">
        <v>3</v>
      </c>
      <c r="J22" s="11">
        <v>3</v>
      </c>
      <c r="K22" s="11">
        <v>2</v>
      </c>
      <c r="L22" s="11">
        <v>3</v>
      </c>
      <c r="M22" s="11">
        <v>3</v>
      </c>
      <c r="N22" s="11">
        <v>3</v>
      </c>
      <c r="O22" s="11" t="s">
        <v>6</v>
      </c>
      <c r="P22" s="11">
        <v>2</v>
      </c>
      <c r="Q22" s="11">
        <v>2</v>
      </c>
      <c r="R22" s="11">
        <v>3</v>
      </c>
      <c r="S22" s="11">
        <v>3</v>
      </c>
      <c r="T22" s="11">
        <v>3</v>
      </c>
      <c r="U22" s="11">
        <v>2</v>
      </c>
      <c r="V22" s="11">
        <v>2</v>
      </c>
      <c r="W22" s="9">
        <f>AVERAGE(C22:V22)</f>
        <v>2.6842105263157894</v>
      </c>
    </row>
    <row r="23" spans="1:24" ht="26.25" customHeight="1">
      <c r="A23" s="5" t="s">
        <v>33</v>
      </c>
      <c r="B23" s="8" t="s">
        <v>34</v>
      </c>
      <c r="C23" s="11">
        <v>3</v>
      </c>
      <c r="D23" s="11">
        <v>3</v>
      </c>
      <c r="E23" s="11">
        <v>3</v>
      </c>
      <c r="F23" s="11">
        <v>3</v>
      </c>
      <c r="G23" s="11">
        <v>3</v>
      </c>
      <c r="H23" s="11">
        <v>3</v>
      </c>
      <c r="I23" s="11">
        <v>3</v>
      </c>
      <c r="J23" s="11">
        <v>3</v>
      </c>
      <c r="K23" s="11">
        <v>3</v>
      </c>
      <c r="L23" s="11">
        <v>3</v>
      </c>
      <c r="M23" s="11">
        <v>3</v>
      </c>
      <c r="N23" s="11">
        <v>3</v>
      </c>
      <c r="O23" s="11" t="s">
        <v>6</v>
      </c>
      <c r="P23" s="11">
        <v>2</v>
      </c>
      <c r="Q23" s="11">
        <v>3</v>
      </c>
      <c r="R23" s="11">
        <v>3</v>
      </c>
      <c r="S23" s="11">
        <v>3</v>
      </c>
      <c r="T23" s="11">
        <v>3</v>
      </c>
      <c r="U23" s="11">
        <v>3</v>
      </c>
      <c r="V23" s="11">
        <v>3</v>
      </c>
      <c r="W23" s="9">
        <f>AVERAGE(C23:V23)</f>
        <v>2.9473684210526314</v>
      </c>
    </row>
    <row r="24" spans="1:24" ht="21" customHeight="1">
      <c r="A24" s="133" t="s">
        <v>35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1"/>
    </row>
    <row r="25" spans="1:24" ht="25.5" customHeight="1">
      <c r="A25" s="5" t="s">
        <v>36</v>
      </c>
      <c r="B25" s="8" t="s">
        <v>37</v>
      </c>
      <c r="C25" s="10">
        <v>3</v>
      </c>
      <c r="D25" s="10">
        <v>2</v>
      </c>
      <c r="E25" s="10">
        <v>3</v>
      </c>
      <c r="F25" s="10">
        <v>2</v>
      </c>
      <c r="G25" s="10">
        <v>3</v>
      </c>
      <c r="H25" s="10">
        <v>3</v>
      </c>
      <c r="I25" s="10">
        <v>2</v>
      </c>
      <c r="J25" s="10">
        <v>3</v>
      </c>
      <c r="K25" s="10">
        <v>2</v>
      </c>
      <c r="L25" s="10">
        <v>2</v>
      </c>
      <c r="M25" s="10">
        <v>3</v>
      </c>
      <c r="N25" s="10">
        <v>3</v>
      </c>
      <c r="O25" s="10" t="s">
        <v>6</v>
      </c>
      <c r="P25" s="10">
        <v>2</v>
      </c>
      <c r="Q25" s="10">
        <v>3</v>
      </c>
      <c r="R25" s="10">
        <v>3</v>
      </c>
      <c r="S25" s="10">
        <v>2</v>
      </c>
      <c r="T25" s="10">
        <v>3</v>
      </c>
      <c r="U25" s="10">
        <v>2</v>
      </c>
      <c r="V25" s="10">
        <v>2</v>
      </c>
      <c r="W25" s="9">
        <f>AVERAGE(C25:V25)</f>
        <v>2.5263157894736841</v>
      </c>
    </row>
    <row r="26" spans="1:24" ht="19.5" customHeight="1">
      <c r="A26" s="134" t="s">
        <v>38</v>
      </c>
      <c r="B26" s="120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1"/>
    </row>
    <row r="27" spans="1:24" ht="26.25" customHeight="1">
      <c r="A27" s="5" t="s">
        <v>39</v>
      </c>
      <c r="B27" s="8" t="s">
        <v>40</v>
      </c>
      <c r="C27" s="11">
        <v>3</v>
      </c>
      <c r="D27" s="11">
        <v>3</v>
      </c>
      <c r="E27" s="11">
        <v>3</v>
      </c>
      <c r="F27" s="11">
        <v>3</v>
      </c>
      <c r="G27" s="11">
        <v>3</v>
      </c>
      <c r="H27" s="11">
        <v>3</v>
      </c>
      <c r="I27" s="11">
        <v>2</v>
      </c>
      <c r="J27" s="11">
        <v>2</v>
      </c>
      <c r="K27" s="11">
        <v>3</v>
      </c>
      <c r="L27" s="11">
        <v>3</v>
      </c>
      <c r="M27" s="11">
        <v>3</v>
      </c>
      <c r="N27" s="11">
        <v>3</v>
      </c>
      <c r="O27" s="11" t="s">
        <v>6</v>
      </c>
      <c r="P27" s="11">
        <v>3</v>
      </c>
      <c r="Q27" s="11">
        <v>3</v>
      </c>
      <c r="R27" s="11">
        <v>3</v>
      </c>
      <c r="S27" s="11">
        <v>3</v>
      </c>
      <c r="T27" s="11">
        <v>3</v>
      </c>
      <c r="U27" s="11">
        <v>2</v>
      </c>
      <c r="V27" s="11">
        <v>0</v>
      </c>
      <c r="W27" s="9">
        <f>AVERAGE(C27:V27)</f>
        <v>2.6842105263157894</v>
      </c>
    </row>
    <row r="28" spans="1:24" ht="17.25" customHeight="1">
      <c r="A28" s="5" t="s">
        <v>41</v>
      </c>
      <c r="B28" s="8" t="s">
        <v>42</v>
      </c>
      <c r="C28" s="11">
        <v>3</v>
      </c>
      <c r="D28" s="11">
        <v>3</v>
      </c>
      <c r="E28" s="11">
        <v>3</v>
      </c>
      <c r="F28" s="11">
        <v>2</v>
      </c>
      <c r="G28" s="11">
        <v>3</v>
      </c>
      <c r="H28" s="11">
        <v>3</v>
      </c>
      <c r="I28" s="11">
        <v>2</v>
      </c>
      <c r="J28" s="11">
        <v>3</v>
      </c>
      <c r="K28" s="11">
        <v>3</v>
      </c>
      <c r="L28" s="11">
        <v>3</v>
      </c>
      <c r="M28" s="11">
        <v>3</v>
      </c>
      <c r="N28" s="11">
        <v>3</v>
      </c>
      <c r="O28" s="11" t="s">
        <v>6</v>
      </c>
      <c r="P28" s="11">
        <v>2</v>
      </c>
      <c r="Q28" s="11">
        <v>2</v>
      </c>
      <c r="R28" s="11">
        <v>3</v>
      </c>
      <c r="S28" s="11">
        <v>2</v>
      </c>
      <c r="T28" s="11">
        <v>3</v>
      </c>
      <c r="U28" s="11">
        <v>2</v>
      </c>
      <c r="V28" s="11">
        <v>2</v>
      </c>
      <c r="W28" s="9">
        <f>AVERAGE(C28:V28)</f>
        <v>2.6315789473684212</v>
      </c>
    </row>
    <row r="29" spans="1:24" ht="15" customHeight="1">
      <c r="A29" s="5" t="s">
        <v>43</v>
      </c>
      <c r="B29" s="8" t="s">
        <v>44</v>
      </c>
      <c r="C29" s="11">
        <v>3</v>
      </c>
      <c r="D29" s="11">
        <v>3</v>
      </c>
      <c r="E29" s="11">
        <v>3</v>
      </c>
      <c r="F29" s="11">
        <v>3</v>
      </c>
      <c r="G29" s="11">
        <v>3</v>
      </c>
      <c r="H29" s="11">
        <v>3</v>
      </c>
      <c r="I29" s="11">
        <v>3</v>
      </c>
      <c r="J29" s="11">
        <v>3</v>
      </c>
      <c r="K29" s="11">
        <v>3</v>
      </c>
      <c r="L29" s="11">
        <v>3</v>
      </c>
      <c r="M29" s="11">
        <v>3</v>
      </c>
      <c r="N29" s="11">
        <v>3</v>
      </c>
      <c r="O29" s="11" t="s">
        <v>6</v>
      </c>
      <c r="P29" s="11">
        <v>2</v>
      </c>
      <c r="Q29" s="11">
        <v>2</v>
      </c>
      <c r="R29" s="11">
        <v>3</v>
      </c>
      <c r="S29" s="11">
        <v>2</v>
      </c>
      <c r="T29" s="11">
        <v>3</v>
      </c>
      <c r="U29" s="11">
        <v>3</v>
      </c>
      <c r="V29" s="11">
        <v>0</v>
      </c>
      <c r="W29" s="9">
        <f>AVERAGE(C29:V29)</f>
        <v>2.6842105263157894</v>
      </c>
    </row>
    <row r="30" spans="1:24" ht="19.5" customHeight="1">
      <c r="A30" s="134" t="s">
        <v>45</v>
      </c>
      <c r="B30" s="120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1"/>
    </row>
    <row r="31" spans="1:24" ht="21.75" customHeight="1">
      <c r="A31" s="5" t="s">
        <v>46</v>
      </c>
      <c r="B31" s="8" t="s">
        <v>47</v>
      </c>
      <c r="C31" s="10">
        <v>3</v>
      </c>
      <c r="D31" s="10">
        <v>3</v>
      </c>
      <c r="E31" s="10">
        <v>2</v>
      </c>
      <c r="F31" s="10">
        <v>2</v>
      </c>
      <c r="G31" s="10">
        <v>3</v>
      </c>
      <c r="H31" s="10">
        <v>2</v>
      </c>
      <c r="I31" s="10">
        <v>3</v>
      </c>
      <c r="J31" s="10">
        <v>0</v>
      </c>
      <c r="K31" s="10">
        <v>3</v>
      </c>
      <c r="L31" s="10">
        <v>2</v>
      </c>
      <c r="M31" s="10">
        <v>3</v>
      </c>
      <c r="N31" s="10">
        <v>2</v>
      </c>
      <c r="O31" s="10" t="s">
        <v>6</v>
      </c>
      <c r="P31" s="10">
        <v>3</v>
      </c>
      <c r="Q31" s="10">
        <v>2</v>
      </c>
      <c r="R31" s="10">
        <v>3</v>
      </c>
      <c r="S31" s="10">
        <v>3</v>
      </c>
      <c r="T31" s="10">
        <v>3</v>
      </c>
      <c r="U31" s="10">
        <v>2</v>
      </c>
      <c r="V31" s="10">
        <v>0</v>
      </c>
      <c r="W31" s="9">
        <f>AVERAGE(C31:V31)</f>
        <v>2.3157894736842106</v>
      </c>
    </row>
    <row r="32" spans="1:24" ht="18.75" customHeight="1">
      <c r="A32" s="133" t="s">
        <v>48</v>
      </c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36"/>
    </row>
    <row r="33" spans="1:24" ht="20.25" customHeight="1">
      <c r="A33" s="5" t="s">
        <v>49</v>
      </c>
      <c r="B33" s="8" t="s">
        <v>50</v>
      </c>
      <c r="C33" s="11">
        <v>3</v>
      </c>
      <c r="D33" s="11">
        <v>3</v>
      </c>
      <c r="E33" s="11">
        <v>3</v>
      </c>
      <c r="F33" s="11">
        <v>3</v>
      </c>
      <c r="G33" s="11">
        <v>2</v>
      </c>
      <c r="H33" s="11">
        <v>3</v>
      </c>
      <c r="I33" s="11">
        <v>3</v>
      </c>
      <c r="J33" s="11">
        <v>3</v>
      </c>
      <c r="K33" s="11">
        <v>3</v>
      </c>
      <c r="L33" s="11">
        <v>3</v>
      </c>
      <c r="M33" s="11">
        <v>3</v>
      </c>
      <c r="N33" s="11">
        <v>3</v>
      </c>
      <c r="O33" s="11" t="s">
        <v>6</v>
      </c>
      <c r="P33" s="11">
        <v>3</v>
      </c>
      <c r="Q33" s="11">
        <v>3</v>
      </c>
      <c r="R33" s="11">
        <v>2</v>
      </c>
      <c r="S33" s="11">
        <v>3</v>
      </c>
      <c r="T33" s="11">
        <v>3</v>
      </c>
      <c r="U33" s="11">
        <v>3</v>
      </c>
      <c r="V33" s="11">
        <v>3</v>
      </c>
      <c r="W33" s="35">
        <f>AVERAGE(C33:V33)</f>
        <v>2.8947368421052633</v>
      </c>
      <c r="X33" s="37"/>
    </row>
    <row r="34" spans="1:24" ht="18.75" customHeight="1">
      <c r="A34" s="133" t="s">
        <v>51</v>
      </c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36"/>
    </row>
    <row r="35" spans="1:24" ht="14.25" customHeight="1">
      <c r="A35" s="5" t="s">
        <v>52</v>
      </c>
      <c r="B35" s="8" t="s">
        <v>78</v>
      </c>
      <c r="C35" s="10">
        <v>3</v>
      </c>
      <c r="D35" s="10">
        <v>2</v>
      </c>
      <c r="E35" s="10">
        <v>2</v>
      </c>
      <c r="F35" s="10">
        <v>2</v>
      </c>
      <c r="G35" s="10">
        <v>3</v>
      </c>
      <c r="H35" s="10">
        <v>2</v>
      </c>
      <c r="I35" s="10">
        <v>2</v>
      </c>
      <c r="J35" s="10">
        <v>2</v>
      </c>
      <c r="K35" s="10">
        <v>2</v>
      </c>
      <c r="L35" s="10">
        <v>3</v>
      </c>
      <c r="M35" s="10">
        <v>3</v>
      </c>
      <c r="N35" s="10">
        <v>3</v>
      </c>
      <c r="O35" s="10" t="s">
        <v>6</v>
      </c>
      <c r="P35" s="10">
        <v>2</v>
      </c>
      <c r="Q35" s="10">
        <v>1</v>
      </c>
      <c r="R35" s="10">
        <v>2</v>
      </c>
      <c r="S35" s="10">
        <v>2</v>
      </c>
      <c r="T35" s="10">
        <v>3</v>
      </c>
      <c r="U35" s="10">
        <v>1</v>
      </c>
      <c r="V35" s="10">
        <v>2</v>
      </c>
      <c r="W35" s="10">
        <f>AVERAGE(C35:V35)</f>
        <v>2.2105263157894739</v>
      </c>
    </row>
    <row r="36" spans="1:24" ht="15.75" customHeight="1">
      <c r="A36" s="133" t="s">
        <v>54</v>
      </c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1"/>
    </row>
    <row r="37" spans="1:24" ht="18" customHeight="1">
      <c r="A37" s="5" t="s">
        <v>55</v>
      </c>
      <c r="B37" s="8" t="s">
        <v>56</v>
      </c>
      <c r="C37" s="11" t="s">
        <v>6</v>
      </c>
      <c r="D37" s="11" t="s">
        <v>6</v>
      </c>
      <c r="E37" s="11" t="s">
        <v>6</v>
      </c>
      <c r="F37" s="11" t="s">
        <v>6</v>
      </c>
      <c r="G37" s="11" t="s">
        <v>6</v>
      </c>
      <c r="H37" s="11" t="s">
        <v>6</v>
      </c>
      <c r="I37" s="11" t="s">
        <v>6</v>
      </c>
      <c r="J37" s="11" t="s">
        <v>6</v>
      </c>
      <c r="K37" s="11" t="s">
        <v>6</v>
      </c>
      <c r="L37" s="11" t="s">
        <v>6</v>
      </c>
      <c r="M37" s="11" t="s">
        <v>6</v>
      </c>
      <c r="N37" s="11" t="s">
        <v>6</v>
      </c>
      <c r="O37" s="11" t="s">
        <v>6</v>
      </c>
      <c r="P37" s="11" t="s">
        <v>6</v>
      </c>
      <c r="Q37" s="11" t="s">
        <v>6</v>
      </c>
      <c r="R37" s="11" t="s">
        <v>6</v>
      </c>
      <c r="S37" s="11" t="s">
        <v>6</v>
      </c>
      <c r="T37" s="11" t="s">
        <v>6</v>
      </c>
      <c r="U37" s="11" t="s">
        <v>6</v>
      </c>
      <c r="V37" s="11" t="s">
        <v>6</v>
      </c>
      <c r="W37" s="11" t="s">
        <v>6</v>
      </c>
    </row>
    <row r="38" spans="1:24" ht="21" customHeight="1">
      <c r="A38" s="5" t="s">
        <v>57</v>
      </c>
      <c r="B38" s="8" t="s">
        <v>58</v>
      </c>
      <c r="C38" s="11" t="s">
        <v>6</v>
      </c>
      <c r="D38" s="11" t="s">
        <v>6</v>
      </c>
      <c r="E38" s="11" t="s">
        <v>6</v>
      </c>
      <c r="F38" s="11" t="s">
        <v>6</v>
      </c>
      <c r="G38" s="11" t="s">
        <v>6</v>
      </c>
      <c r="H38" s="11" t="s">
        <v>6</v>
      </c>
      <c r="I38" s="11" t="s">
        <v>6</v>
      </c>
      <c r="J38" s="11" t="s">
        <v>6</v>
      </c>
      <c r="K38" s="11" t="s">
        <v>6</v>
      </c>
      <c r="L38" s="11" t="s">
        <v>6</v>
      </c>
      <c r="M38" s="11" t="s">
        <v>6</v>
      </c>
      <c r="N38" s="11" t="s">
        <v>6</v>
      </c>
      <c r="O38" s="11" t="s">
        <v>6</v>
      </c>
      <c r="P38" s="11" t="s">
        <v>6</v>
      </c>
      <c r="Q38" s="11" t="s">
        <v>6</v>
      </c>
      <c r="R38" s="11" t="s">
        <v>6</v>
      </c>
      <c r="S38" s="11" t="s">
        <v>6</v>
      </c>
      <c r="T38" s="11" t="s">
        <v>6</v>
      </c>
      <c r="U38" s="11" t="s">
        <v>6</v>
      </c>
      <c r="V38" s="11" t="s">
        <v>6</v>
      </c>
      <c r="W38" s="11" t="s">
        <v>6</v>
      </c>
    </row>
    <row r="39" spans="1:24" ht="21" customHeight="1">
      <c r="A39" s="133" t="s">
        <v>59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1"/>
    </row>
    <row r="40" spans="1:24" ht="21" customHeight="1">
      <c r="A40" s="5" t="s">
        <v>60</v>
      </c>
      <c r="B40" s="8" t="s">
        <v>61</v>
      </c>
      <c r="C40" s="10">
        <v>2</v>
      </c>
      <c r="D40" s="10">
        <v>3</v>
      </c>
      <c r="E40" s="10">
        <v>2</v>
      </c>
      <c r="F40" s="10">
        <v>3</v>
      </c>
      <c r="G40" s="10">
        <v>2</v>
      </c>
      <c r="H40" s="10">
        <v>2</v>
      </c>
      <c r="I40" s="10">
        <v>2</v>
      </c>
      <c r="J40" s="10">
        <v>2</v>
      </c>
      <c r="K40" s="10">
        <v>2</v>
      </c>
      <c r="L40" s="10">
        <v>2</v>
      </c>
      <c r="M40" s="10">
        <v>2</v>
      </c>
      <c r="N40" s="10">
        <v>2</v>
      </c>
      <c r="O40" s="10" t="s">
        <v>6</v>
      </c>
      <c r="P40" s="10">
        <v>3</v>
      </c>
      <c r="Q40" s="10">
        <v>3</v>
      </c>
      <c r="R40" s="10">
        <v>2</v>
      </c>
      <c r="S40" s="10">
        <v>2</v>
      </c>
      <c r="T40" s="10">
        <v>2</v>
      </c>
      <c r="U40" s="10">
        <v>2</v>
      </c>
      <c r="V40" s="10">
        <v>2</v>
      </c>
      <c r="W40" s="9">
        <f>AVERAGE(C40:V40)</f>
        <v>2.2105263157894739</v>
      </c>
    </row>
    <row r="41" spans="1:24" ht="23.25" customHeight="1">
      <c r="A41" s="5" t="s">
        <v>62</v>
      </c>
      <c r="B41" s="8" t="s">
        <v>63</v>
      </c>
      <c r="C41" s="10">
        <v>3</v>
      </c>
      <c r="D41" s="10">
        <v>3</v>
      </c>
      <c r="E41" s="10">
        <v>3</v>
      </c>
      <c r="F41" s="10">
        <v>3</v>
      </c>
      <c r="G41" s="10">
        <v>3</v>
      </c>
      <c r="H41" s="10">
        <v>3</v>
      </c>
      <c r="I41" s="10">
        <v>3</v>
      </c>
      <c r="J41" s="10">
        <v>3</v>
      </c>
      <c r="K41" s="10">
        <v>3</v>
      </c>
      <c r="L41" s="10">
        <v>3</v>
      </c>
      <c r="M41" s="10">
        <v>3</v>
      </c>
      <c r="N41" s="10">
        <v>3</v>
      </c>
      <c r="O41" s="10" t="s">
        <v>6</v>
      </c>
      <c r="P41" s="10">
        <v>3</v>
      </c>
      <c r="Q41" s="10">
        <v>3</v>
      </c>
      <c r="R41" s="10">
        <v>3</v>
      </c>
      <c r="S41" s="10">
        <v>3</v>
      </c>
      <c r="T41" s="10">
        <v>3</v>
      </c>
      <c r="U41" s="10">
        <v>3</v>
      </c>
      <c r="V41" s="10">
        <v>3</v>
      </c>
      <c r="W41" s="9">
        <f>AVERAGE(C41:V41)</f>
        <v>3</v>
      </c>
    </row>
    <row r="42" spans="1:24" ht="18" customHeight="1">
      <c r="A42" s="133" t="s">
        <v>64</v>
      </c>
      <c r="B42" s="120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1"/>
    </row>
    <row r="43" spans="1:24" ht="18.75" customHeight="1">
      <c r="A43" s="5" t="s">
        <v>65</v>
      </c>
      <c r="B43" s="8" t="s">
        <v>66</v>
      </c>
      <c r="C43" s="11" t="s">
        <v>6</v>
      </c>
      <c r="D43" s="11" t="s">
        <v>6</v>
      </c>
      <c r="E43" s="11" t="s">
        <v>6</v>
      </c>
      <c r="F43" s="11" t="s">
        <v>6</v>
      </c>
      <c r="G43" s="11" t="s">
        <v>6</v>
      </c>
      <c r="H43" s="11" t="s">
        <v>6</v>
      </c>
      <c r="I43" s="11" t="s">
        <v>6</v>
      </c>
      <c r="J43" s="11" t="s">
        <v>6</v>
      </c>
      <c r="K43" s="11" t="s">
        <v>6</v>
      </c>
      <c r="L43" s="11" t="s">
        <v>6</v>
      </c>
      <c r="M43" s="11" t="s">
        <v>6</v>
      </c>
      <c r="N43" s="11" t="s">
        <v>6</v>
      </c>
      <c r="O43" s="11" t="s">
        <v>6</v>
      </c>
      <c r="P43" s="11" t="s">
        <v>6</v>
      </c>
      <c r="Q43" s="11" t="s">
        <v>6</v>
      </c>
      <c r="R43" s="11" t="s">
        <v>6</v>
      </c>
      <c r="S43" s="11" t="s">
        <v>6</v>
      </c>
      <c r="T43" s="11" t="s">
        <v>6</v>
      </c>
      <c r="U43" s="11" t="s">
        <v>6</v>
      </c>
      <c r="V43" s="11" t="s">
        <v>6</v>
      </c>
      <c r="W43" s="11" t="s">
        <v>6</v>
      </c>
    </row>
    <row r="44" spans="1:24" ht="24" customHeight="1">
      <c r="A44" s="126"/>
      <c r="B44" s="121"/>
      <c r="C44" s="33">
        <f>+AVERAGE(C7:C43)</f>
        <v>2.8947368421052633</v>
      </c>
      <c r="D44" s="21">
        <f>AVERAGE(D7:D43)</f>
        <v>2.6842105263157894</v>
      </c>
      <c r="E44" s="15">
        <f t="shared" ref="E44:V44" si="0">AVERAGE(E7:E43)</f>
        <v>2.6388888888888888</v>
      </c>
      <c r="F44" s="15">
        <f t="shared" si="0"/>
        <v>2.5263157894736841</v>
      </c>
      <c r="G44" s="15">
        <f t="shared" si="0"/>
        <v>2.8157894736842106</v>
      </c>
      <c r="H44" s="15">
        <f t="shared" si="0"/>
        <v>2.5526315789473686</v>
      </c>
      <c r="I44" s="15">
        <f t="shared" si="0"/>
        <v>2.5263157894736841</v>
      </c>
      <c r="J44" s="15">
        <f t="shared" si="0"/>
        <v>2.3947368421052633</v>
      </c>
      <c r="K44" s="15">
        <f t="shared" si="0"/>
        <v>2.6578947368421053</v>
      </c>
      <c r="L44" s="15">
        <f t="shared" si="0"/>
        <v>2.736842105263158</v>
      </c>
      <c r="M44" s="33">
        <f t="shared" si="0"/>
        <v>2.8421052631578947</v>
      </c>
      <c r="N44" s="15">
        <f t="shared" si="0"/>
        <v>2.8157894736842106</v>
      </c>
      <c r="O44" s="15" t="s">
        <v>6</v>
      </c>
      <c r="P44" s="34">
        <f t="shared" si="0"/>
        <v>2.5789473684210527</v>
      </c>
      <c r="Q44" s="15">
        <f t="shared" si="0"/>
        <v>2.263157894736842</v>
      </c>
      <c r="R44" s="15">
        <f t="shared" si="0"/>
        <v>2.736842105263158</v>
      </c>
      <c r="S44" s="34">
        <f t="shared" si="0"/>
        <v>2.5789473684210527</v>
      </c>
      <c r="T44" s="33">
        <f t="shared" si="0"/>
        <v>2.9210526315789473</v>
      </c>
      <c r="U44" s="15">
        <f t="shared" si="0"/>
        <v>2.263157894736842</v>
      </c>
      <c r="V44" s="15">
        <f t="shared" si="0"/>
        <v>2.0526315789473686</v>
      </c>
      <c r="W44" s="9">
        <f>AVERAGE(C44:V44)</f>
        <v>2.6042628501077258</v>
      </c>
    </row>
    <row r="45" spans="1:24" ht="6" customHeight="1">
      <c r="A45" s="16"/>
      <c r="B45" s="16"/>
      <c r="C45" s="17"/>
      <c r="D45" s="17"/>
      <c r="E45" s="17"/>
      <c r="F45" s="17"/>
      <c r="G45" s="17"/>
      <c r="H45" s="17"/>
      <c r="I45" s="18"/>
      <c r="J45" s="17"/>
      <c r="K45" s="17"/>
      <c r="L45" s="17"/>
      <c r="M45" s="17"/>
      <c r="N45" s="17"/>
      <c r="O45" s="18"/>
      <c r="P45" s="17"/>
      <c r="Q45" s="17"/>
      <c r="R45" s="17"/>
      <c r="S45" s="17"/>
      <c r="T45" s="17"/>
      <c r="U45" s="17"/>
      <c r="V45" s="17"/>
      <c r="W45" s="18"/>
    </row>
    <row r="46" spans="1:24" ht="14.25" customHeight="1">
      <c r="A46" s="123" t="s">
        <v>105</v>
      </c>
      <c r="B46" s="120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1"/>
      <c r="O46" s="19"/>
      <c r="P46" s="19"/>
      <c r="Q46" s="19"/>
      <c r="R46" s="19"/>
      <c r="S46" s="19"/>
      <c r="T46" s="19"/>
      <c r="U46" s="19"/>
      <c r="V46" s="19"/>
      <c r="W46" s="19"/>
    </row>
    <row r="47" spans="1:24" ht="14.25" customHeight="1">
      <c r="A47" s="127" t="s">
        <v>98</v>
      </c>
      <c r="B47" s="120"/>
      <c r="C47" s="120"/>
      <c r="D47" s="120"/>
      <c r="E47" s="120"/>
      <c r="F47" s="121"/>
      <c r="G47" s="126" t="s">
        <v>96</v>
      </c>
      <c r="H47" s="120"/>
      <c r="I47" s="120"/>
      <c r="J47" s="120"/>
      <c r="K47" s="120"/>
      <c r="L47" s="120"/>
      <c r="M47" s="120"/>
      <c r="N47" s="121"/>
      <c r="O47" s="19"/>
      <c r="P47" s="19"/>
      <c r="Q47" s="19"/>
      <c r="R47" s="19"/>
      <c r="S47" s="19"/>
      <c r="T47" s="19"/>
      <c r="U47" s="19"/>
      <c r="V47" s="19"/>
      <c r="W47" s="19"/>
    </row>
    <row r="48" spans="1:24" ht="14.25" customHeight="1">
      <c r="A48" s="123" t="s">
        <v>67</v>
      </c>
      <c r="B48" s="121"/>
      <c r="C48" s="126" t="s">
        <v>68</v>
      </c>
      <c r="D48" s="120"/>
      <c r="E48" s="120"/>
      <c r="F48" s="121"/>
      <c r="G48" s="126" t="s">
        <v>69</v>
      </c>
      <c r="H48" s="120"/>
      <c r="I48" s="120"/>
      <c r="J48" s="121"/>
      <c r="K48" s="126" t="s">
        <v>70</v>
      </c>
      <c r="L48" s="120"/>
      <c r="M48" s="120"/>
      <c r="N48" s="121"/>
      <c r="O48" s="19"/>
      <c r="P48" s="19"/>
      <c r="Q48" s="19"/>
      <c r="R48" s="19"/>
      <c r="S48" s="19"/>
      <c r="T48" s="19"/>
      <c r="U48" s="19"/>
      <c r="V48" s="19"/>
      <c r="W48" s="19"/>
    </row>
    <row r="49" spans="1:25" ht="14.25" customHeight="1">
      <c r="A49" s="128" t="s">
        <v>71</v>
      </c>
      <c r="B49" s="129"/>
      <c r="C49" s="119" t="s">
        <v>93</v>
      </c>
      <c r="D49" s="120"/>
      <c r="E49" s="120"/>
      <c r="F49" s="121"/>
      <c r="G49" s="119" t="s">
        <v>79</v>
      </c>
      <c r="H49" s="120"/>
      <c r="I49" s="120"/>
      <c r="J49" s="121"/>
      <c r="K49" s="140" t="s">
        <v>88</v>
      </c>
      <c r="L49" s="120"/>
      <c r="M49" s="120"/>
      <c r="N49" s="121"/>
      <c r="O49" s="19"/>
      <c r="P49" s="19"/>
      <c r="Q49" s="19"/>
      <c r="R49" s="19"/>
      <c r="S49" s="19"/>
      <c r="T49" s="19"/>
      <c r="U49" s="19"/>
      <c r="V49" s="19"/>
      <c r="W49" s="19"/>
    </row>
    <row r="50" spans="1:25" ht="14.25" customHeight="1">
      <c r="A50" s="130"/>
      <c r="B50" s="131"/>
      <c r="C50" s="119">
        <v>2.92</v>
      </c>
      <c r="D50" s="120"/>
      <c r="E50" s="120"/>
      <c r="F50" s="121"/>
      <c r="G50" s="140">
        <v>2.8947368421052633</v>
      </c>
      <c r="H50" s="120"/>
      <c r="I50" s="120"/>
      <c r="J50" s="121"/>
      <c r="K50" s="119">
        <v>2.84</v>
      </c>
      <c r="L50" s="120"/>
      <c r="M50" s="120"/>
      <c r="N50" s="121"/>
      <c r="O50" s="19"/>
      <c r="P50" s="19"/>
      <c r="Q50" s="19"/>
      <c r="R50" s="19"/>
      <c r="S50" s="19"/>
      <c r="T50" s="19"/>
      <c r="U50" s="19"/>
      <c r="V50" s="19"/>
      <c r="W50" s="19"/>
    </row>
    <row r="51" spans="1:25" ht="14.25" customHeight="1">
      <c r="A51" s="123" t="s">
        <v>72</v>
      </c>
      <c r="B51" s="121"/>
      <c r="C51" s="119" t="s">
        <v>93</v>
      </c>
      <c r="D51" s="120"/>
      <c r="E51" s="120"/>
      <c r="F51" s="121"/>
      <c r="G51" s="119" t="s">
        <v>79</v>
      </c>
      <c r="H51" s="120"/>
      <c r="I51" s="120"/>
      <c r="J51" s="121"/>
      <c r="K51" s="119" t="s">
        <v>87</v>
      </c>
      <c r="L51" s="120"/>
      <c r="M51" s="120"/>
      <c r="N51" s="121"/>
      <c r="O51" s="19"/>
      <c r="P51" s="19"/>
      <c r="Q51" s="19"/>
      <c r="R51" s="19"/>
      <c r="S51" s="19"/>
      <c r="T51" s="19"/>
      <c r="U51" s="19"/>
      <c r="V51" s="19"/>
      <c r="W51" s="19"/>
    </row>
    <row r="52" spans="1:25" ht="14.25" customHeight="1">
      <c r="A52" s="123" t="s">
        <v>73</v>
      </c>
      <c r="B52" s="121"/>
      <c r="C52" s="119" t="s">
        <v>87</v>
      </c>
      <c r="D52" s="120"/>
      <c r="E52" s="120"/>
      <c r="F52" s="121"/>
      <c r="G52" s="119" t="s">
        <v>89</v>
      </c>
      <c r="H52" s="120"/>
      <c r="I52" s="120"/>
      <c r="J52" s="121"/>
      <c r="K52" s="119" t="s">
        <v>92</v>
      </c>
      <c r="L52" s="120"/>
      <c r="M52" s="120"/>
      <c r="N52" s="121"/>
      <c r="O52" s="19"/>
      <c r="P52" s="19"/>
      <c r="Q52" s="19"/>
      <c r="R52" s="19"/>
      <c r="S52" s="19"/>
      <c r="T52" s="19"/>
      <c r="U52" s="19"/>
      <c r="V52" s="19"/>
      <c r="W52" s="19"/>
    </row>
    <row r="53" spans="1:25" ht="14.25" customHeight="1">
      <c r="A53" s="123" t="s">
        <v>74</v>
      </c>
      <c r="B53" s="121"/>
      <c r="C53" s="119" t="s">
        <v>82</v>
      </c>
      <c r="D53" s="120"/>
      <c r="E53" s="120"/>
      <c r="F53" s="121"/>
      <c r="G53" s="119" t="s">
        <v>88</v>
      </c>
      <c r="H53" s="120"/>
      <c r="I53" s="120"/>
      <c r="J53" s="121"/>
      <c r="K53" s="119" t="s">
        <v>87</v>
      </c>
      <c r="L53" s="120"/>
      <c r="M53" s="120"/>
      <c r="N53" s="121"/>
      <c r="O53" s="19"/>
      <c r="P53" s="19"/>
      <c r="Q53" s="19"/>
      <c r="R53" s="19"/>
      <c r="S53" s="19"/>
      <c r="T53" s="19"/>
      <c r="U53" s="19"/>
      <c r="V53" s="19"/>
      <c r="W53" s="19"/>
    </row>
    <row r="54" spans="1:25" ht="14.25" customHeight="1">
      <c r="A54" s="123" t="s">
        <v>75</v>
      </c>
      <c r="B54" s="121"/>
      <c r="C54" s="119" t="s">
        <v>104</v>
      </c>
      <c r="D54" s="120"/>
      <c r="E54" s="120"/>
      <c r="F54" s="121"/>
      <c r="G54" s="119" t="s">
        <v>101</v>
      </c>
      <c r="H54" s="120"/>
      <c r="I54" s="120"/>
      <c r="J54" s="121"/>
      <c r="K54" s="119" t="s">
        <v>85</v>
      </c>
      <c r="L54" s="120"/>
      <c r="M54" s="120"/>
      <c r="N54" s="121"/>
      <c r="O54" s="19"/>
      <c r="P54" s="19"/>
      <c r="Q54" s="19"/>
      <c r="R54" s="19"/>
      <c r="S54" s="19"/>
      <c r="T54" s="19"/>
      <c r="U54" s="19"/>
      <c r="V54" s="19"/>
      <c r="W54" s="19"/>
    </row>
    <row r="55" spans="1:25" ht="14.25" customHeight="1">
      <c r="A55" s="123" t="s">
        <v>76</v>
      </c>
      <c r="B55" s="121"/>
      <c r="C55" s="119" t="s">
        <v>6</v>
      </c>
      <c r="D55" s="120"/>
      <c r="E55" s="120"/>
      <c r="F55" s="121"/>
      <c r="G55" s="119" t="s">
        <v>6</v>
      </c>
      <c r="H55" s="120"/>
      <c r="I55" s="120"/>
      <c r="J55" s="121"/>
      <c r="K55" s="119" t="s">
        <v>6</v>
      </c>
      <c r="L55" s="120"/>
      <c r="M55" s="120"/>
      <c r="N55" s="121"/>
      <c r="O55" s="19"/>
      <c r="P55" s="19"/>
      <c r="Q55" s="19"/>
      <c r="R55" s="19"/>
      <c r="S55" s="19"/>
      <c r="T55" s="19"/>
      <c r="U55" s="19"/>
      <c r="V55" s="19"/>
      <c r="W55" s="19"/>
    </row>
    <row r="56" spans="1:25" ht="18" customHeight="1">
      <c r="A56" s="139" t="s">
        <v>77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1"/>
      <c r="O56" s="19"/>
      <c r="P56" s="19"/>
      <c r="Q56" s="19"/>
      <c r="R56" s="19"/>
      <c r="S56" s="19"/>
      <c r="T56" s="19"/>
      <c r="U56" s="19"/>
      <c r="V56" s="19"/>
      <c r="W56" s="19"/>
    </row>
    <row r="57" spans="1:25" ht="14.25" customHeight="1">
      <c r="A57" s="1"/>
      <c r="B57" s="20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4.25" customHeight="1">
      <c r="A58" s="1"/>
      <c r="B58" s="20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4.25" customHeight="1">
      <c r="A59" s="1"/>
      <c r="B59" s="20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4.25" customHeight="1">
      <c r="A60" s="1"/>
      <c r="B60" s="20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4.25" customHeight="1">
      <c r="A61" s="1"/>
      <c r="B61" s="20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4.25" customHeight="1">
      <c r="A62" s="1"/>
      <c r="B62" s="20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4.25" customHeight="1">
      <c r="A63" s="1"/>
      <c r="B63" s="20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4.25" customHeight="1">
      <c r="A64" s="1"/>
      <c r="B64" s="20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4.25" customHeight="1">
      <c r="A65" s="1"/>
      <c r="B65" s="20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4.25" customHeight="1">
      <c r="A66" s="1"/>
      <c r="B66" s="20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4.25" customHeight="1">
      <c r="A67" s="1"/>
      <c r="B67" s="20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4.25" customHeight="1">
      <c r="A68" s="1"/>
      <c r="B68" s="20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4.25" customHeight="1">
      <c r="A69" s="1"/>
      <c r="B69" s="20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4.25" customHeight="1">
      <c r="A70" s="1"/>
      <c r="B70" s="20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4.25" customHeight="1">
      <c r="A71" s="1"/>
      <c r="B71" s="2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4.25" customHeight="1">
      <c r="A72" s="1"/>
      <c r="B72" s="20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4.25" customHeight="1">
      <c r="A73" s="1"/>
      <c r="B73" s="20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4.25" customHeight="1">
      <c r="A74" s="1"/>
      <c r="B74" s="20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4.25" customHeight="1">
      <c r="A75" s="1"/>
      <c r="B75" s="20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4.25" customHeight="1">
      <c r="A76" s="1"/>
      <c r="B76" s="20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4.25" customHeight="1">
      <c r="A77" s="1"/>
      <c r="B77" s="20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4.25" customHeight="1">
      <c r="A78" s="1"/>
      <c r="B78" s="20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4.25" customHeight="1">
      <c r="A79" s="1"/>
      <c r="B79" s="20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4.25" customHeight="1">
      <c r="A80" s="1"/>
      <c r="B80" s="20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4.25" customHeight="1">
      <c r="A81" s="1"/>
      <c r="B81" s="20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4.25" customHeight="1">
      <c r="A82" s="1"/>
      <c r="B82" s="20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4.25" customHeight="1">
      <c r="A83" s="1"/>
      <c r="B83" s="20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4.25" customHeight="1">
      <c r="A84" s="1"/>
      <c r="B84" s="20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4.25" customHeight="1">
      <c r="A85" s="1"/>
      <c r="B85" s="20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4.25" customHeight="1">
      <c r="A86" s="1"/>
      <c r="B86" s="20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4.25" customHeight="1">
      <c r="A87" s="1"/>
      <c r="B87" s="20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4.25" customHeight="1">
      <c r="A88" s="1"/>
      <c r="B88" s="20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4.25" customHeight="1">
      <c r="A89" s="1"/>
      <c r="B89" s="20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4.25" customHeight="1">
      <c r="A90" s="1"/>
      <c r="B90" s="20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4.25" customHeight="1">
      <c r="A91" s="1"/>
      <c r="B91" s="20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4.25" customHeight="1">
      <c r="A92" s="1"/>
      <c r="B92" s="20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4.25" customHeight="1">
      <c r="A93" s="1"/>
      <c r="B93" s="20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4.25" customHeight="1">
      <c r="A94" s="1"/>
      <c r="B94" s="20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4.25" customHeight="1">
      <c r="A95" s="1"/>
      <c r="B95" s="20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4.25" customHeight="1">
      <c r="A96" s="1"/>
      <c r="B96" s="20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4.25" customHeight="1">
      <c r="A97" s="1"/>
      <c r="B97" s="20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4.25" customHeight="1">
      <c r="A98" s="1"/>
      <c r="B98" s="20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4.25" customHeight="1">
      <c r="A99" s="1"/>
      <c r="B99" s="20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4.25" customHeight="1">
      <c r="A100" s="1"/>
      <c r="B100" s="20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4.25" customHeight="1">
      <c r="A101" s="1"/>
      <c r="B101" s="20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4.25" customHeight="1">
      <c r="A102" s="1"/>
      <c r="B102" s="20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4.25" customHeight="1">
      <c r="A103" s="1"/>
      <c r="B103" s="20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4.25" customHeight="1">
      <c r="A104" s="1"/>
      <c r="B104" s="20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4.25" customHeight="1">
      <c r="A105" s="1"/>
      <c r="B105" s="20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4.25" customHeight="1">
      <c r="A106" s="1"/>
      <c r="B106" s="20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4.25" customHeight="1">
      <c r="A107" s="1"/>
      <c r="B107" s="20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4.25" customHeight="1">
      <c r="A108" s="1"/>
      <c r="B108" s="20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4.25" customHeight="1">
      <c r="A109" s="1"/>
      <c r="B109" s="20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4.25" customHeight="1">
      <c r="A110" s="1"/>
      <c r="B110" s="20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4.25" customHeight="1">
      <c r="A111" s="1"/>
      <c r="B111" s="20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4.25" customHeight="1">
      <c r="A112" s="1"/>
      <c r="B112" s="20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4.25" customHeight="1">
      <c r="A113" s="1"/>
      <c r="B113" s="20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4.25" customHeight="1">
      <c r="A114" s="1"/>
      <c r="B114" s="20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4.25" customHeight="1">
      <c r="A115" s="1"/>
      <c r="B115" s="20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4.25" customHeight="1">
      <c r="A116" s="1"/>
      <c r="B116" s="20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4.25" customHeight="1">
      <c r="A117" s="1"/>
      <c r="B117" s="20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4.25" customHeight="1">
      <c r="A118" s="1"/>
      <c r="B118" s="20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4.25" customHeight="1">
      <c r="A119" s="1"/>
      <c r="B119" s="20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4.25" customHeight="1">
      <c r="A120" s="1"/>
      <c r="B120" s="20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4.25" customHeight="1">
      <c r="A121" s="1"/>
      <c r="B121" s="20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4.25" customHeight="1">
      <c r="A122" s="1"/>
      <c r="B122" s="20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4.25" customHeight="1">
      <c r="A123" s="1"/>
      <c r="B123" s="20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4.25" customHeight="1">
      <c r="A124" s="1"/>
      <c r="B124" s="20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4.25" customHeight="1">
      <c r="A125" s="1"/>
      <c r="B125" s="20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4.25" customHeight="1">
      <c r="A126" s="1"/>
      <c r="B126" s="20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4.25" customHeight="1">
      <c r="A127" s="1"/>
      <c r="B127" s="20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4.25" customHeight="1">
      <c r="A128" s="1"/>
      <c r="B128" s="20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4.25" customHeight="1">
      <c r="A129" s="1"/>
      <c r="B129" s="20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4.25" customHeight="1">
      <c r="A130" s="1"/>
      <c r="B130" s="20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4.25" customHeight="1">
      <c r="A131" s="1"/>
      <c r="B131" s="20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4.25" customHeight="1">
      <c r="A132" s="1"/>
      <c r="B132" s="20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4.25" customHeight="1">
      <c r="A133" s="1"/>
      <c r="B133" s="20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4.25" customHeight="1">
      <c r="A134" s="1"/>
      <c r="B134" s="20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4.25" customHeight="1">
      <c r="A135" s="1"/>
      <c r="B135" s="20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4.25" customHeight="1">
      <c r="A136" s="1"/>
      <c r="B136" s="20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4.25" customHeight="1">
      <c r="A137" s="1"/>
      <c r="B137" s="20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4.25" customHeight="1">
      <c r="A138" s="1"/>
      <c r="B138" s="20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4.25" customHeight="1">
      <c r="A139" s="1"/>
      <c r="B139" s="20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4.25" customHeight="1">
      <c r="A140" s="1"/>
      <c r="B140" s="20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4.25" customHeight="1">
      <c r="A141" s="1"/>
      <c r="B141" s="20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4.25" customHeight="1">
      <c r="A142" s="1"/>
      <c r="B142" s="20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4.25" customHeight="1">
      <c r="A143" s="1"/>
      <c r="B143" s="20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4.25" customHeight="1">
      <c r="A144" s="1"/>
      <c r="B144" s="20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4.25" customHeight="1">
      <c r="A145" s="1"/>
      <c r="B145" s="20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4.25" customHeight="1">
      <c r="A146" s="1"/>
      <c r="B146" s="20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4.25" customHeight="1">
      <c r="A147" s="1"/>
      <c r="B147" s="20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4.25" customHeight="1">
      <c r="A148" s="1"/>
      <c r="B148" s="20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4.25" customHeight="1">
      <c r="A149" s="1"/>
      <c r="B149" s="20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4.25" customHeight="1">
      <c r="A150" s="1"/>
      <c r="B150" s="20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4.25" customHeight="1">
      <c r="A151" s="1"/>
      <c r="B151" s="20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4.25" customHeight="1">
      <c r="A152" s="1"/>
      <c r="B152" s="20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4.25" customHeight="1">
      <c r="A153" s="1"/>
      <c r="B153" s="20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4.25" customHeight="1">
      <c r="A154" s="1"/>
      <c r="B154" s="20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4.25" customHeight="1">
      <c r="A155" s="1"/>
      <c r="B155" s="20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4.25" customHeight="1">
      <c r="A156" s="1"/>
      <c r="B156" s="20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4.25" customHeight="1">
      <c r="A157" s="1"/>
      <c r="B157" s="20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4.25" customHeight="1">
      <c r="A158" s="1"/>
      <c r="B158" s="20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4.25" customHeight="1">
      <c r="A159" s="1"/>
      <c r="B159" s="20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4.25" customHeight="1">
      <c r="A160" s="1"/>
      <c r="B160" s="20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4.25" customHeight="1">
      <c r="A161" s="1"/>
      <c r="B161" s="20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4.25" customHeight="1">
      <c r="A162" s="1"/>
      <c r="B162" s="20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4.25" customHeight="1">
      <c r="A163" s="1"/>
      <c r="B163" s="20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4.25" customHeight="1">
      <c r="A164" s="1"/>
      <c r="B164" s="20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4.25" customHeight="1">
      <c r="A165" s="1"/>
      <c r="B165" s="20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4.25" customHeight="1">
      <c r="A166" s="1"/>
      <c r="B166" s="20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4.25" customHeight="1">
      <c r="A167" s="1"/>
      <c r="B167" s="20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4.25" customHeight="1">
      <c r="A168" s="1"/>
      <c r="B168" s="20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4.25" customHeight="1">
      <c r="A169" s="1"/>
      <c r="B169" s="20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4.25" customHeight="1">
      <c r="A170" s="1"/>
      <c r="B170" s="20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4.25" customHeight="1">
      <c r="A171" s="1"/>
      <c r="B171" s="20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4.25" customHeight="1">
      <c r="A172" s="1"/>
      <c r="B172" s="20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4.25" customHeight="1">
      <c r="A173" s="1"/>
      <c r="B173" s="20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4.25" customHeight="1">
      <c r="A174" s="1"/>
      <c r="B174" s="20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4.25" customHeight="1">
      <c r="A175" s="1"/>
      <c r="B175" s="20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4.25" customHeight="1">
      <c r="A176" s="1"/>
      <c r="B176" s="20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4.25" customHeight="1">
      <c r="A177" s="1"/>
      <c r="B177" s="20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4.25" customHeight="1">
      <c r="A178" s="1"/>
      <c r="B178" s="20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4.25" customHeight="1">
      <c r="A179" s="1"/>
      <c r="B179" s="20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4.25" customHeight="1">
      <c r="A180" s="1"/>
      <c r="B180" s="20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4.25" customHeight="1">
      <c r="A181" s="1"/>
      <c r="B181" s="20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4.25" customHeight="1">
      <c r="A182" s="1"/>
      <c r="B182" s="20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4.25" customHeight="1">
      <c r="A183" s="1"/>
      <c r="B183" s="20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4.25" customHeight="1">
      <c r="A184" s="1"/>
      <c r="B184" s="20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4.25" customHeight="1">
      <c r="A185" s="1"/>
      <c r="B185" s="20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4.25" customHeight="1">
      <c r="A186" s="1"/>
      <c r="B186" s="20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4.25" customHeight="1">
      <c r="A187" s="1"/>
      <c r="B187" s="20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4.25" customHeight="1">
      <c r="A188" s="1"/>
      <c r="B188" s="20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4.25" customHeight="1">
      <c r="A189" s="1"/>
      <c r="B189" s="20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4.25" customHeight="1">
      <c r="A190" s="1"/>
      <c r="B190" s="20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4.25" customHeight="1">
      <c r="A191" s="1"/>
      <c r="B191" s="20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4.25" customHeight="1">
      <c r="A192" s="1"/>
      <c r="B192" s="20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4.25" customHeight="1">
      <c r="A193" s="1"/>
      <c r="B193" s="20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4.25" customHeight="1">
      <c r="A194" s="1"/>
      <c r="B194" s="20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4.25" customHeight="1">
      <c r="A195" s="1"/>
      <c r="B195" s="20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4.25" customHeight="1">
      <c r="A196" s="1"/>
      <c r="B196" s="20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4.25" customHeight="1">
      <c r="A197" s="1"/>
      <c r="B197" s="20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4.25" customHeight="1">
      <c r="A198" s="1"/>
      <c r="B198" s="20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4.25" customHeight="1">
      <c r="A199" s="1"/>
      <c r="B199" s="20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4.25" customHeight="1">
      <c r="A200" s="1"/>
      <c r="B200" s="20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4.25" customHeight="1">
      <c r="A201" s="1"/>
      <c r="B201" s="20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4.25" customHeight="1">
      <c r="A202" s="1"/>
      <c r="B202" s="20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4.25" customHeight="1">
      <c r="A203" s="1"/>
      <c r="B203" s="20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4.25" customHeight="1">
      <c r="A204" s="1"/>
      <c r="B204" s="20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4.25" customHeight="1">
      <c r="A205" s="1"/>
      <c r="B205" s="20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4.25" customHeight="1">
      <c r="A206" s="1"/>
      <c r="B206" s="20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4.25" customHeight="1">
      <c r="A207" s="1"/>
      <c r="B207" s="20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4.25" customHeight="1">
      <c r="A208" s="1"/>
      <c r="B208" s="20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4.25" customHeight="1">
      <c r="A209" s="1"/>
      <c r="B209" s="20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4.25" customHeight="1">
      <c r="A210" s="1"/>
      <c r="B210" s="20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4.25" customHeight="1">
      <c r="A211" s="1"/>
      <c r="B211" s="20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4.25" customHeight="1">
      <c r="A212" s="1"/>
      <c r="B212" s="20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4.25" customHeight="1">
      <c r="A213" s="1"/>
      <c r="B213" s="20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4.25" customHeight="1">
      <c r="A214" s="1"/>
      <c r="B214" s="20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4.25" customHeight="1">
      <c r="A215" s="1"/>
      <c r="B215" s="20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4.25" customHeight="1">
      <c r="A216" s="1"/>
      <c r="B216" s="20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4.25" customHeight="1">
      <c r="A217" s="1"/>
      <c r="B217" s="20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4.25" customHeight="1">
      <c r="A218" s="1"/>
      <c r="B218" s="20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4.25" customHeight="1">
      <c r="A219" s="1"/>
      <c r="B219" s="20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4.25" customHeight="1">
      <c r="A220" s="1"/>
      <c r="B220" s="20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4.25" customHeight="1">
      <c r="A221" s="1"/>
      <c r="B221" s="20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4.25" customHeight="1">
      <c r="A222" s="1"/>
      <c r="B222" s="20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4.25" customHeight="1">
      <c r="A223" s="1"/>
      <c r="B223" s="20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4.25" customHeight="1">
      <c r="A224" s="1"/>
      <c r="B224" s="20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4.25" customHeight="1">
      <c r="A225" s="1"/>
      <c r="B225" s="20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4.25" customHeight="1">
      <c r="A226" s="1"/>
      <c r="B226" s="20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4.25" customHeight="1">
      <c r="A227" s="1"/>
      <c r="B227" s="20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4.25" customHeight="1">
      <c r="A228" s="1"/>
      <c r="B228" s="20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4.25" customHeight="1">
      <c r="A229" s="1"/>
      <c r="B229" s="20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4.25" customHeight="1">
      <c r="A230" s="1"/>
      <c r="B230" s="20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4.25" customHeight="1">
      <c r="A231" s="1"/>
      <c r="B231" s="20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4.25" customHeight="1">
      <c r="A232" s="1"/>
      <c r="B232" s="20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4.25" customHeight="1">
      <c r="A233" s="1"/>
      <c r="B233" s="20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4.25" customHeight="1">
      <c r="A234" s="1"/>
      <c r="B234" s="20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4.25" customHeight="1">
      <c r="A235" s="1"/>
      <c r="B235" s="20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4.25" customHeight="1">
      <c r="A236" s="1"/>
      <c r="B236" s="20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4.25" customHeight="1">
      <c r="A237" s="1"/>
      <c r="B237" s="20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4.25" customHeight="1">
      <c r="A238" s="1"/>
      <c r="B238" s="20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4.25" customHeight="1">
      <c r="A239" s="1"/>
      <c r="B239" s="20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4.25" customHeight="1">
      <c r="A240" s="1"/>
      <c r="B240" s="20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4.25" customHeight="1">
      <c r="A241" s="1"/>
      <c r="B241" s="20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4.25" customHeight="1">
      <c r="A242" s="1"/>
      <c r="B242" s="20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4.25" customHeight="1">
      <c r="A243" s="1"/>
      <c r="B243" s="20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4.25" customHeight="1">
      <c r="A244" s="1"/>
      <c r="B244" s="20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4.25" customHeight="1">
      <c r="A245" s="1"/>
      <c r="B245" s="20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4.25" customHeight="1">
      <c r="A246" s="1"/>
      <c r="B246" s="20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4.25" customHeight="1">
      <c r="A247" s="1"/>
      <c r="B247" s="20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4.25" customHeight="1">
      <c r="A248" s="1"/>
      <c r="B248" s="20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4.25" customHeight="1">
      <c r="A249" s="1"/>
      <c r="B249" s="20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4.25" customHeight="1">
      <c r="A250" s="1"/>
      <c r="B250" s="20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4.25" customHeight="1">
      <c r="A251" s="1"/>
      <c r="B251" s="20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4.25" customHeight="1">
      <c r="A252" s="1"/>
      <c r="B252" s="20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4.25" customHeight="1">
      <c r="A253" s="1"/>
      <c r="B253" s="20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4.25" customHeight="1">
      <c r="A254" s="1"/>
      <c r="B254" s="20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4.25" customHeight="1">
      <c r="A255" s="1"/>
      <c r="B255" s="20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4.25" customHeight="1">
      <c r="A256" s="1"/>
      <c r="B256" s="20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4.25" customHeight="1">
      <c r="A257" s="1"/>
      <c r="B257" s="20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4.25" customHeight="1">
      <c r="A258" s="1"/>
      <c r="B258" s="20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4.25" customHeight="1">
      <c r="A259" s="1"/>
      <c r="B259" s="20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4.25" customHeight="1">
      <c r="A260" s="1"/>
      <c r="B260" s="20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4.25" customHeight="1">
      <c r="A261" s="1"/>
      <c r="B261" s="20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4.25" customHeight="1">
      <c r="A262" s="1"/>
      <c r="B262" s="20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4.25" customHeight="1">
      <c r="A263" s="1"/>
      <c r="B263" s="20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4.25" customHeight="1">
      <c r="A264" s="1"/>
      <c r="B264" s="20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4.25" customHeight="1">
      <c r="A265" s="1"/>
      <c r="B265" s="20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4.25" customHeight="1">
      <c r="A266" s="1"/>
      <c r="B266" s="20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4.25" customHeight="1">
      <c r="A267" s="1"/>
      <c r="B267" s="20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4.25" customHeight="1">
      <c r="A268" s="1"/>
      <c r="B268" s="20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4.25" customHeight="1">
      <c r="A269" s="1"/>
      <c r="B269" s="20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4.25" customHeight="1">
      <c r="A270" s="1"/>
      <c r="B270" s="20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4.25" customHeight="1">
      <c r="A271" s="1"/>
      <c r="B271" s="20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4.25" customHeight="1">
      <c r="A272" s="1"/>
      <c r="B272" s="20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4.25" customHeight="1">
      <c r="A273" s="1"/>
      <c r="B273" s="20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4.25" customHeight="1">
      <c r="A274" s="1"/>
      <c r="B274" s="20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4.25" customHeight="1">
      <c r="A275" s="1"/>
      <c r="B275" s="20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4.25" customHeight="1">
      <c r="A276" s="1"/>
      <c r="B276" s="20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4.25" customHeight="1">
      <c r="A277" s="1"/>
      <c r="B277" s="20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4.25" customHeight="1">
      <c r="A278" s="1"/>
      <c r="B278" s="20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4.25" customHeight="1">
      <c r="A279" s="1"/>
      <c r="B279" s="20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4.25" customHeight="1">
      <c r="A280" s="1"/>
      <c r="B280" s="20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4.25" customHeight="1">
      <c r="A281" s="1"/>
      <c r="B281" s="20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4.25" customHeight="1">
      <c r="A282" s="1"/>
      <c r="B282" s="20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4.25" customHeight="1">
      <c r="A283" s="1"/>
      <c r="B283" s="20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4.25" customHeight="1">
      <c r="A284" s="1"/>
      <c r="B284" s="20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4.25" customHeight="1">
      <c r="A285" s="1"/>
      <c r="B285" s="20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4.25" customHeight="1">
      <c r="A286" s="1"/>
      <c r="B286" s="20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4.25" customHeight="1">
      <c r="A287" s="1"/>
      <c r="B287" s="20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4.25" customHeight="1">
      <c r="A288" s="1"/>
      <c r="B288" s="20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4.25" customHeight="1">
      <c r="A289" s="1"/>
      <c r="B289" s="20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4.25" customHeight="1">
      <c r="A290" s="1"/>
      <c r="B290" s="20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4.25" customHeight="1">
      <c r="A291" s="1"/>
      <c r="B291" s="20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4.25" customHeight="1">
      <c r="A292" s="1"/>
      <c r="B292" s="20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4.25" customHeight="1">
      <c r="A293" s="1"/>
      <c r="B293" s="20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4.25" customHeight="1">
      <c r="A294" s="1"/>
      <c r="B294" s="20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4.25" customHeight="1">
      <c r="A295" s="1"/>
      <c r="B295" s="20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4.25" customHeight="1">
      <c r="A296" s="1"/>
      <c r="B296" s="20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4.25" customHeight="1">
      <c r="A297" s="1"/>
      <c r="B297" s="20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4.25" customHeight="1">
      <c r="A298" s="1"/>
      <c r="B298" s="20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4.25" customHeight="1">
      <c r="A299" s="1"/>
      <c r="B299" s="20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4.25" customHeight="1">
      <c r="A300" s="1"/>
      <c r="B300" s="20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4.25" customHeight="1">
      <c r="A301" s="1"/>
      <c r="B301" s="20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4.25" customHeight="1">
      <c r="A302" s="1"/>
      <c r="B302" s="20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4.25" customHeight="1">
      <c r="A303" s="1"/>
      <c r="B303" s="20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4.25" customHeight="1">
      <c r="A304" s="1"/>
      <c r="B304" s="20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4.25" customHeight="1">
      <c r="A305" s="1"/>
      <c r="B305" s="20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4.25" customHeight="1">
      <c r="A306" s="1"/>
      <c r="B306" s="20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4.25" customHeight="1">
      <c r="A307" s="1"/>
      <c r="B307" s="20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4.25" customHeight="1">
      <c r="A308" s="1"/>
      <c r="B308" s="20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4.25" customHeight="1">
      <c r="A309" s="1"/>
      <c r="B309" s="20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4.25" customHeight="1">
      <c r="A310" s="1"/>
      <c r="B310" s="20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4.25" customHeight="1">
      <c r="A311" s="1"/>
      <c r="B311" s="20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4.25" customHeight="1">
      <c r="A312" s="1"/>
      <c r="B312" s="20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4.25" customHeight="1">
      <c r="A313" s="1"/>
      <c r="B313" s="20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4.25" customHeight="1">
      <c r="A314" s="1"/>
      <c r="B314" s="20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4.25" customHeight="1">
      <c r="A315" s="1"/>
      <c r="B315" s="20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4.25" customHeight="1">
      <c r="A316" s="1"/>
      <c r="B316" s="20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4.25" customHeight="1">
      <c r="A317" s="1"/>
      <c r="B317" s="20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4.25" customHeight="1">
      <c r="A318" s="1"/>
      <c r="B318" s="20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4.25" customHeight="1">
      <c r="A319" s="1"/>
      <c r="B319" s="20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4.25" customHeight="1">
      <c r="A320" s="1"/>
      <c r="B320" s="20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4.25" customHeight="1">
      <c r="A321" s="1"/>
      <c r="B321" s="20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4.25" customHeight="1">
      <c r="A322" s="1"/>
      <c r="B322" s="20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4.25" customHeight="1">
      <c r="A323" s="1"/>
      <c r="B323" s="20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4.25" customHeight="1">
      <c r="A324" s="1"/>
      <c r="B324" s="20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4.25" customHeight="1">
      <c r="A325" s="1"/>
      <c r="B325" s="20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4.25" customHeight="1">
      <c r="A326" s="1"/>
      <c r="B326" s="20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4.25" customHeight="1">
      <c r="A327" s="1"/>
      <c r="B327" s="20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4.25" customHeight="1">
      <c r="A328" s="1"/>
      <c r="B328" s="20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4.25" customHeight="1">
      <c r="A329" s="1"/>
      <c r="B329" s="20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4.25" customHeight="1">
      <c r="A330" s="1"/>
      <c r="B330" s="20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4.25" customHeight="1">
      <c r="A331" s="1"/>
      <c r="B331" s="20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4.25" customHeight="1">
      <c r="A332" s="1"/>
      <c r="B332" s="20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4.25" customHeight="1">
      <c r="A333" s="1"/>
      <c r="B333" s="20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4.25" customHeight="1">
      <c r="A334" s="1"/>
      <c r="B334" s="20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4.25" customHeight="1">
      <c r="A335" s="1"/>
      <c r="B335" s="20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4.25" customHeight="1">
      <c r="A336" s="1"/>
      <c r="B336" s="20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4.25" customHeight="1">
      <c r="A337" s="1"/>
      <c r="B337" s="20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4.25" customHeight="1">
      <c r="A338" s="1"/>
      <c r="B338" s="20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4.25" customHeight="1">
      <c r="A339" s="1"/>
      <c r="B339" s="20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4.25" customHeight="1">
      <c r="A340" s="1"/>
      <c r="B340" s="20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4.25" customHeight="1">
      <c r="A341" s="1"/>
      <c r="B341" s="20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4.25" customHeight="1">
      <c r="A342" s="1"/>
      <c r="B342" s="20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4.25" customHeight="1">
      <c r="A343" s="1"/>
      <c r="B343" s="20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4.25" customHeight="1">
      <c r="A344" s="1"/>
      <c r="B344" s="20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4.25" customHeight="1">
      <c r="A345" s="1"/>
      <c r="B345" s="20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4.25" customHeight="1">
      <c r="A346" s="1"/>
      <c r="B346" s="20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4.25" customHeight="1">
      <c r="A347" s="1"/>
      <c r="B347" s="20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4.25" customHeight="1">
      <c r="A348" s="1"/>
      <c r="B348" s="20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4.25" customHeight="1">
      <c r="A349" s="1"/>
      <c r="B349" s="20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4.25" customHeight="1">
      <c r="A350" s="1"/>
      <c r="B350" s="20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4.25" customHeight="1">
      <c r="A351" s="1"/>
      <c r="B351" s="20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4.25" customHeight="1">
      <c r="A352" s="1"/>
      <c r="B352" s="20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4.25" customHeight="1">
      <c r="A353" s="1"/>
      <c r="B353" s="20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4.25" customHeight="1">
      <c r="A354" s="1"/>
      <c r="B354" s="20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4.25" customHeight="1">
      <c r="A355" s="1"/>
      <c r="B355" s="20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4.25" customHeight="1">
      <c r="A356" s="1"/>
      <c r="B356" s="20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4.25" customHeight="1">
      <c r="A357" s="1"/>
      <c r="B357" s="20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4.25" customHeight="1">
      <c r="A358" s="1"/>
      <c r="B358" s="20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4.25" customHeight="1">
      <c r="A359" s="1"/>
      <c r="B359" s="20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4.25" customHeight="1">
      <c r="A360" s="1"/>
      <c r="B360" s="20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4.25" customHeight="1">
      <c r="A361" s="1"/>
      <c r="B361" s="20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4.25" customHeight="1">
      <c r="A362" s="1"/>
      <c r="B362" s="20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4.25" customHeight="1">
      <c r="A363" s="1"/>
      <c r="B363" s="20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4.25" customHeight="1">
      <c r="A364" s="1"/>
      <c r="B364" s="20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4.25" customHeight="1">
      <c r="A365" s="1"/>
      <c r="B365" s="20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4.25" customHeight="1">
      <c r="A366" s="1"/>
      <c r="B366" s="20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4.25" customHeight="1">
      <c r="A367" s="1"/>
      <c r="B367" s="20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4.25" customHeight="1">
      <c r="A368" s="1"/>
      <c r="B368" s="20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4.25" customHeight="1">
      <c r="A369" s="1"/>
      <c r="B369" s="20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4.25" customHeight="1">
      <c r="A370" s="1"/>
      <c r="B370" s="20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4.25" customHeight="1">
      <c r="A371" s="1"/>
      <c r="B371" s="20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4.25" customHeight="1">
      <c r="A372" s="1"/>
      <c r="B372" s="20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4.25" customHeight="1">
      <c r="A373" s="1"/>
      <c r="B373" s="20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4.25" customHeight="1">
      <c r="A374" s="1"/>
      <c r="B374" s="20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4.25" customHeight="1">
      <c r="A375" s="1"/>
      <c r="B375" s="20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4.25" customHeight="1">
      <c r="A376" s="1"/>
      <c r="B376" s="20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4.25" customHeight="1">
      <c r="A377" s="1"/>
      <c r="B377" s="20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4.25" customHeight="1">
      <c r="A378" s="1"/>
      <c r="B378" s="20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4.25" customHeight="1">
      <c r="A379" s="1"/>
      <c r="B379" s="20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4.25" customHeight="1">
      <c r="A380" s="1"/>
      <c r="B380" s="20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4.25" customHeight="1">
      <c r="A381" s="1"/>
      <c r="B381" s="20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4.25" customHeight="1">
      <c r="A382" s="1"/>
      <c r="B382" s="20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4.25" customHeight="1">
      <c r="A383" s="1"/>
      <c r="B383" s="20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4.25" customHeight="1">
      <c r="A384" s="1"/>
      <c r="B384" s="20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4.25" customHeight="1">
      <c r="A385" s="1"/>
      <c r="B385" s="20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4.25" customHeight="1">
      <c r="A386" s="1"/>
      <c r="B386" s="20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4.25" customHeight="1">
      <c r="A387" s="1"/>
      <c r="B387" s="20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4.25" customHeight="1">
      <c r="A388" s="1"/>
      <c r="B388" s="20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4.25" customHeight="1">
      <c r="A389" s="1"/>
      <c r="B389" s="20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4.25" customHeight="1">
      <c r="A390" s="1"/>
      <c r="B390" s="20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4.25" customHeight="1">
      <c r="A391" s="1"/>
      <c r="B391" s="20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4.25" customHeight="1">
      <c r="A392" s="1"/>
      <c r="B392" s="20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4.25" customHeight="1">
      <c r="A393" s="1"/>
      <c r="B393" s="20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4.25" customHeight="1">
      <c r="A394" s="1"/>
      <c r="B394" s="20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4.25" customHeight="1">
      <c r="A395" s="1"/>
      <c r="B395" s="20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4.25" customHeight="1">
      <c r="A396" s="1"/>
      <c r="B396" s="20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4.25" customHeight="1">
      <c r="A397" s="1"/>
      <c r="B397" s="20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4.25" customHeight="1">
      <c r="A398" s="1"/>
      <c r="B398" s="20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4.25" customHeight="1">
      <c r="A399" s="1"/>
      <c r="B399" s="20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4.25" customHeight="1">
      <c r="A400" s="1"/>
      <c r="B400" s="20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4.25" customHeight="1">
      <c r="A401" s="1"/>
      <c r="B401" s="20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4.25" customHeight="1">
      <c r="A402" s="1"/>
      <c r="B402" s="20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4.25" customHeight="1">
      <c r="A403" s="1"/>
      <c r="B403" s="20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4.25" customHeight="1">
      <c r="A404" s="1"/>
      <c r="B404" s="20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4.25" customHeight="1">
      <c r="A405" s="1"/>
      <c r="B405" s="20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4.25" customHeight="1">
      <c r="A406" s="1"/>
      <c r="B406" s="20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4.25" customHeight="1">
      <c r="A407" s="1"/>
      <c r="B407" s="20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4.25" customHeight="1">
      <c r="A408" s="1"/>
      <c r="B408" s="20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4.25" customHeight="1">
      <c r="A409" s="1"/>
      <c r="B409" s="20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4.25" customHeight="1">
      <c r="A410" s="1"/>
      <c r="B410" s="20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4.25" customHeight="1">
      <c r="A411" s="1"/>
      <c r="B411" s="20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4.25" customHeight="1">
      <c r="A412" s="1"/>
      <c r="B412" s="20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4.25" customHeight="1">
      <c r="A413" s="1"/>
      <c r="B413" s="20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4.25" customHeight="1">
      <c r="A414" s="1"/>
      <c r="B414" s="20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4.25" customHeight="1">
      <c r="A415" s="1"/>
      <c r="B415" s="20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4.25" customHeight="1">
      <c r="A416" s="1"/>
      <c r="B416" s="20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4.25" customHeight="1">
      <c r="A417" s="1"/>
      <c r="B417" s="20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4.25" customHeight="1">
      <c r="A418" s="1"/>
      <c r="B418" s="20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4.25" customHeight="1">
      <c r="A419" s="1"/>
      <c r="B419" s="20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4.25" customHeight="1">
      <c r="A420" s="1"/>
      <c r="B420" s="20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4.25" customHeight="1">
      <c r="A421" s="1"/>
      <c r="B421" s="20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4.25" customHeight="1">
      <c r="A422" s="1"/>
      <c r="B422" s="20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4.25" customHeight="1">
      <c r="A423" s="1"/>
      <c r="B423" s="20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4.25" customHeight="1">
      <c r="A424" s="1"/>
      <c r="B424" s="20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4.25" customHeight="1">
      <c r="A425" s="1"/>
      <c r="B425" s="20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4.25" customHeight="1">
      <c r="A426" s="1"/>
      <c r="B426" s="20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4.25" customHeight="1">
      <c r="A427" s="1"/>
      <c r="B427" s="20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4.25" customHeight="1">
      <c r="A428" s="1"/>
      <c r="B428" s="20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4.25" customHeight="1">
      <c r="A429" s="1"/>
      <c r="B429" s="20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4.25" customHeight="1">
      <c r="A430" s="1"/>
      <c r="B430" s="20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4.25" customHeight="1">
      <c r="A431" s="1"/>
      <c r="B431" s="20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4.25" customHeight="1">
      <c r="A432" s="1"/>
      <c r="B432" s="20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4.25" customHeight="1">
      <c r="A433" s="1"/>
      <c r="B433" s="20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4.25" customHeight="1">
      <c r="A434" s="1"/>
      <c r="B434" s="20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4.25" customHeight="1">
      <c r="A435" s="1"/>
      <c r="B435" s="20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4.25" customHeight="1">
      <c r="A436" s="1"/>
      <c r="B436" s="20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4.25" customHeight="1">
      <c r="A437" s="1"/>
      <c r="B437" s="20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4.25" customHeight="1">
      <c r="A438" s="1"/>
      <c r="B438" s="20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4.25" customHeight="1">
      <c r="A439" s="1"/>
      <c r="B439" s="20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4.25" customHeight="1">
      <c r="A440" s="1"/>
      <c r="B440" s="20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4.25" customHeight="1">
      <c r="A441" s="1"/>
      <c r="B441" s="20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4.25" customHeight="1">
      <c r="A442" s="1"/>
      <c r="B442" s="20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4.25" customHeight="1">
      <c r="A443" s="1"/>
      <c r="B443" s="20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4.25" customHeight="1">
      <c r="A444" s="1"/>
      <c r="B444" s="20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4.25" customHeight="1">
      <c r="A445" s="1"/>
      <c r="B445" s="20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4.25" customHeight="1">
      <c r="A446" s="1"/>
      <c r="B446" s="20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4.25" customHeight="1">
      <c r="A447" s="1"/>
      <c r="B447" s="20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4.25" customHeight="1">
      <c r="A448" s="1"/>
      <c r="B448" s="20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4.25" customHeight="1">
      <c r="A449" s="1"/>
      <c r="B449" s="20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4.25" customHeight="1">
      <c r="A450" s="1"/>
      <c r="B450" s="20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4.25" customHeight="1">
      <c r="A451" s="1"/>
      <c r="B451" s="20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4.25" customHeight="1">
      <c r="A452" s="1"/>
      <c r="B452" s="20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4.25" customHeight="1">
      <c r="A453" s="1"/>
      <c r="B453" s="20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4.25" customHeight="1">
      <c r="A454" s="1"/>
      <c r="B454" s="20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4.25" customHeight="1">
      <c r="A455" s="1"/>
      <c r="B455" s="20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4.25" customHeight="1">
      <c r="A456" s="1"/>
      <c r="B456" s="20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4.25" customHeight="1">
      <c r="A457" s="1"/>
      <c r="B457" s="20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4.25" customHeight="1">
      <c r="A458" s="1"/>
      <c r="B458" s="20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4.25" customHeight="1">
      <c r="A459" s="1"/>
      <c r="B459" s="20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4.25" customHeight="1">
      <c r="A460" s="1"/>
      <c r="B460" s="20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4.25" customHeight="1">
      <c r="A461" s="1"/>
      <c r="B461" s="20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4.25" customHeight="1">
      <c r="A462" s="1"/>
      <c r="B462" s="20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4.25" customHeight="1">
      <c r="A463" s="1"/>
      <c r="B463" s="20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4.25" customHeight="1">
      <c r="A464" s="1"/>
      <c r="B464" s="20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4.25" customHeight="1">
      <c r="A465" s="1"/>
      <c r="B465" s="20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4.25" customHeight="1">
      <c r="A466" s="1"/>
      <c r="B466" s="20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4.25" customHeight="1">
      <c r="A467" s="1"/>
      <c r="B467" s="20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4.25" customHeight="1">
      <c r="A468" s="1"/>
      <c r="B468" s="20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4.25" customHeight="1">
      <c r="A469" s="1"/>
      <c r="B469" s="20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4.25" customHeight="1">
      <c r="A470" s="1"/>
      <c r="B470" s="20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4.25" customHeight="1">
      <c r="A471" s="1"/>
      <c r="B471" s="20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4.25" customHeight="1">
      <c r="A472" s="1"/>
      <c r="B472" s="20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4.25" customHeight="1">
      <c r="A473" s="1"/>
      <c r="B473" s="20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4.25" customHeight="1">
      <c r="A474" s="1"/>
      <c r="B474" s="20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4.25" customHeight="1">
      <c r="A475" s="1"/>
      <c r="B475" s="20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4.25" customHeight="1">
      <c r="A476" s="1"/>
      <c r="B476" s="20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4.25" customHeight="1">
      <c r="A477" s="1"/>
      <c r="B477" s="20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4.25" customHeight="1">
      <c r="A478" s="1"/>
      <c r="B478" s="20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4.25" customHeight="1">
      <c r="A479" s="1"/>
      <c r="B479" s="20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4.25" customHeight="1">
      <c r="A480" s="1"/>
      <c r="B480" s="20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4.25" customHeight="1">
      <c r="A481" s="1"/>
      <c r="B481" s="20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4.25" customHeight="1">
      <c r="A482" s="1"/>
      <c r="B482" s="20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4.25" customHeight="1">
      <c r="A483" s="1"/>
      <c r="B483" s="20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4.25" customHeight="1">
      <c r="A484" s="1"/>
      <c r="B484" s="20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4.25" customHeight="1">
      <c r="A485" s="1"/>
      <c r="B485" s="20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4.25" customHeight="1">
      <c r="A486" s="1"/>
      <c r="B486" s="20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4.25" customHeight="1">
      <c r="A487" s="1"/>
      <c r="B487" s="20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4.25" customHeight="1">
      <c r="A488" s="1"/>
      <c r="B488" s="20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4.25" customHeight="1">
      <c r="A489" s="1"/>
      <c r="B489" s="20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4.25" customHeight="1">
      <c r="A490" s="1"/>
      <c r="B490" s="20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4.25" customHeight="1">
      <c r="A491" s="1"/>
      <c r="B491" s="20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4.25" customHeight="1">
      <c r="A492" s="1"/>
      <c r="B492" s="20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4.25" customHeight="1">
      <c r="A493" s="1"/>
      <c r="B493" s="20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4.25" customHeight="1">
      <c r="A494" s="1"/>
      <c r="B494" s="20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4.25" customHeight="1">
      <c r="A495" s="1"/>
      <c r="B495" s="20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4.25" customHeight="1">
      <c r="A496" s="1"/>
      <c r="B496" s="20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4.25" customHeight="1">
      <c r="A497" s="1"/>
      <c r="B497" s="20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4.25" customHeight="1">
      <c r="A498" s="1"/>
      <c r="B498" s="20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4.25" customHeight="1">
      <c r="A499" s="1"/>
      <c r="B499" s="20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4.25" customHeight="1">
      <c r="A500" s="1"/>
      <c r="B500" s="20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4.25" customHeight="1">
      <c r="A501" s="1"/>
      <c r="B501" s="20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4.25" customHeight="1">
      <c r="A502" s="1"/>
      <c r="B502" s="20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4.25" customHeight="1">
      <c r="A503" s="1"/>
      <c r="B503" s="20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4.25" customHeight="1">
      <c r="A504" s="1"/>
      <c r="B504" s="20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4.25" customHeight="1">
      <c r="A505" s="1"/>
      <c r="B505" s="20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4.25" customHeight="1">
      <c r="A506" s="1"/>
      <c r="B506" s="20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4.25" customHeight="1">
      <c r="A507" s="1"/>
      <c r="B507" s="20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4.25" customHeight="1">
      <c r="A508" s="1"/>
      <c r="B508" s="20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4.25" customHeight="1">
      <c r="A509" s="1"/>
      <c r="B509" s="20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4.25" customHeight="1">
      <c r="A510" s="1"/>
      <c r="B510" s="20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4.25" customHeight="1">
      <c r="A511" s="1"/>
      <c r="B511" s="20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4.25" customHeight="1">
      <c r="A512" s="1"/>
      <c r="B512" s="20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4.25" customHeight="1">
      <c r="A513" s="1"/>
      <c r="B513" s="20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4.25" customHeight="1">
      <c r="A514" s="1"/>
      <c r="B514" s="20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4.25" customHeight="1">
      <c r="A515" s="1"/>
      <c r="B515" s="20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4.25" customHeight="1">
      <c r="A516" s="1"/>
      <c r="B516" s="20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4.25" customHeight="1">
      <c r="A517" s="1"/>
      <c r="B517" s="20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4.25" customHeight="1">
      <c r="A518" s="1"/>
      <c r="B518" s="20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4.25" customHeight="1">
      <c r="A519" s="1"/>
      <c r="B519" s="20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4.25" customHeight="1">
      <c r="A520" s="1"/>
      <c r="B520" s="20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4.25" customHeight="1">
      <c r="A521" s="1"/>
      <c r="B521" s="20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4.25" customHeight="1">
      <c r="A522" s="1"/>
      <c r="B522" s="20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4.25" customHeight="1">
      <c r="A523" s="1"/>
      <c r="B523" s="20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4.25" customHeight="1">
      <c r="A524" s="1"/>
      <c r="B524" s="20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4.25" customHeight="1">
      <c r="A525" s="1"/>
      <c r="B525" s="20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4.25" customHeight="1">
      <c r="A526" s="1"/>
      <c r="B526" s="20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4.25" customHeight="1">
      <c r="A527" s="1"/>
      <c r="B527" s="20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4.25" customHeight="1">
      <c r="A528" s="1"/>
      <c r="B528" s="20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4.25" customHeight="1">
      <c r="A529" s="1"/>
      <c r="B529" s="20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4.25" customHeight="1">
      <c r="A530" s="1"/>
      <c r="B530" s="20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4.25" customHeight="1">
      <c r="A531" s="1"/>
      <c r="B531" s="20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4.25" customHeight="1">
      <c r="A532" s="1"/>
      <c r="B532" s="20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4.25" customHeight="1">
      <c r="A533" s="1"/>
      <c r="B533" s="20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4.25" customHeight="1">
      <c r="A534" s="1"/>
      <c r="B534" s="20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4.25" customHeight="1">
      <c r="A535" s="1"/>
      <c r="B535" s="20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4.25" customHeight="1">
      <c r="A536" s="1"/>
      <c r="B536" s="20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4.25" customHeight="1">
      <c r="A537" s="1"/>
      <c r="B537" s="20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4.25" customHeight="1">
      <c r="A538" s="1"/>
      <c r="B538" s="20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4.25" customHeight="1">
      <c r="A539" s="1"/>
      <c r="B539" s="20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4.25" customHeight="1">
      <c r="A540" s="1"/>
      <c r="B540" s="20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4.25" customHeight="1">
      <c r="A541" s="1"/>
      <c r="B541" s="20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4.25" customHeight="1">
      <c r="A542" s="1"/>
      <c r="B542" s="20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4.25" customHeight="1">
      <c r="A543" s="1"/>
      <c r="B543" s="20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4.25" customHeight="1">
      <c r="A544" s="1"/>
      <c r="B544" s="20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4.25" customHeight="1">
      <c r="A545" s="1"/>
      <c r="B545" s="20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4.25" customHeight="1">
      <c r="A546" s="1"/>
      <c r="B546" s="20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4.25" customHeight="1">
      <c r="A547" s="1"/>
      <c r="B547" s="20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4.25" customHeight="1">
      <c r="A548" s="1"/>
      <c r="B548" s="20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4.25" customHeight="1">
      <c r="A549" s="1"/>
      <c r="B549" s="20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4.25" customHeight="1">
      <c r="A550" s="1"/>
      <c r="B550" s="20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4.25" customHeight="1">
      <c r="A551" s="1"/>
      <c r="B551" s="20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4.25" customHeight="1">
      <c r="A552" s="1"/>
      <c r="B552" s="20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4.25" customHeight="1">
      <c r="A553" s="1"/>
      <c r="B553" s="20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4.25" customHeight="1">
      <c r="A554" s="1"/>
      <c r="B554" s="20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4.25" customHeight="1">
      <c r="A555" s="1"/>
      <c r="B555" s="20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4.25" customHeight="1">
      <c r="A556" s="1"/>
      <c r="B556" s="20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4.25" customHeight="1">
      <c r="A557" s="1"/>
      <c r="B557" s="20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4.25" customHeight="1">
      <c r="A558" s="1"/>
      <c r="B558" s="20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4.25" customHeight="1">
      <c r="A559" s="1"/>
      <c r="B559" s="20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4.25" customHeight="1">
      <c r="A560" s="1"/>
      <c r="B560" s="20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4.25" customHeight="1">
      <c r="A561" s="1"/>
      <c r="B561" s="20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4.25" customHeight="1">
      <c r="A562" s="1"/>
      <c r="B562" s="20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4.25" customHeight="1">
      <c r="A563" s="1"/>
      <c r="B563" s="20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4.25" customHeight="1">
      <c r="A564" s="1"/>
      <c r="B564" s="20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4.25" customHeight="1">
      <c r="A565" s="1"/>
      <c r="B565" s="20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4.25" customHeight="1">
      <c r="A566" s="1"/>
      <c r="B566" s="20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4.25" customHeight="1">
      <c r="A567" s="1"/>
      <c r="B567" s="20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4.25" customHeight="1">
      <c r="A568" s="1"/>
      <c r="B568" s="20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4.25" customHeight="1">
      <c r="A569" s="1"/>
      <c r="B569" s="20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4.25" customHeight="1">
      <c r="A570" s="1"/>
      <c r="B570" s="20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4.25" customHeight="1">
      <c r="A571" s="1"/>
      <c r="B571" s="20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4.25" customHeight="1">
      <c r="A572" s="1"/>
      <c r="B572" s="20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4.25" customHeight="1">
      <c r="A573" s="1"/>
      <c r="B573" s="20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4.25" customHeight="1">
      <c r="A574" s="1"/>
      <c r="B574" s="20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4.25" customHeight="1">
      <c r="A575" s="1"/>
      <c r="B575" s="20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4.25" customHeight="1">
      <c r="A576" s="1"/>
      <c r="B576" s="20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4.25" customHeight="1">
      <c r="A577" s="1"/>
      <c r="B577" s="20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4.25" customHeight="1">
      <c r="A578" s="1"/>
      <c r="B578" s="20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4.25" customHeight="1">
      <c r="A579" s="1"/>
      <c r="B579" s="20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4.25" customHeight="1">
      <c r="A580" s="1"/>
      <c r="B580" s="20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4.25" customHeight="1">
      <c r="A581" s="1"/>
      <c r="B581" s="20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4.25" customHeight="1">
      <c r="A582" s="1"/>
      <c r="B582" s="20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4.25" customHeight="1">
      <c r="A583" s="1"/>
      <c r="B583" s="20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4.25" customHeight="1">
      <c r="A584" s="1"/>
      <c r="B584" s="20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4.25" customHeight="1">
      <c r="A585" s="1"/>
      <c r="B585" s="20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4.25" customHeight="1">
      <c r="A586" s="1"/>
      <c r="B586" s="20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4.25" customHeight="1">
      <c r="A587" s="1"/>
      <c r="B587" s="20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4.25" customHeight="1">
      <c r="A588" s="1"/>
      <c r="B588" s="20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4.25" customHeight="1">
      <c r="A589" s="1"/>
      <c r="B589" s="20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4.25" customHeight="1">
      <c r="A590" s="1"/>
      <c r="B590" s="20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4.25" customHeight="1">
      <c r="A591" s="1"/>
      <c r="B591" s="20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4.25" customHeight="1">
      <c r="A592" s="1"/>
      <c r="B592" s="20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4.25" customHeight="1">
      <c r="A593" s="1"/>
      <c r="B593" s="20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4.25" customHeight="1">
      <c r="A594" s="1"/>
      <c r="B594" s="20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4.25" customHeight="1">
      <c r="A595" s="1"/>
      <c r="B595" s="20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4.25" customHeight="1">
      <c r="A596" s="1"/>
      <c r="B596" s="20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4.25" customHeight="1">
      <c r="A597" s="1"/>
      <c r="B597" s="20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4.25" customHeight="1">
      <c r="A598" s="1"/>
      <c r="B598" s="20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4.25" customHeight="1">
      <c r="A599" s="1"/>
      <c r="B599" s="20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4.25" customHeight="1">
      <c r="A600" s="1"/>
      <c r="B600" s="20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4.25" customHeight="1">
      <c r="A601" s="1"/>
      <c r="B601" s="20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4.25" customHeight="1">
      <c r="A602" s="1"/>
      <c r="B602" s="20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4.25" customHeight="1">
      <c r="A603" s="1"/>
      <c r="B603" s="20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4.25" customHeight="1">
      <c r="A604" s="1"/>
      <c r="B604" s="20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4.25" customHeight="1">
      <c r="A605" s="1"/>
      <c r="B605" s="20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4.25" customHeight="1">
      <c r="A606" s="1"/>
      <c r="B606" s="20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4.25" customHeight="1">
      <c r="A607" s="1"/>
      <c r="B607" s="20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4.25" customHeight="1">
      <c r="A608" s="1"/>
      <c r="B608" s="20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4.25" customHeight="1">
      <c r="A609" s="1"/>
      <c r="B609" s="20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4.25" customHeight="1">
      <c r="A610" s="1"/>
      <c r="B610" s="20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4.25" customHeight="1">
      <c r="A611" s="1"/>
      <c r="B611" s="20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4.25" customHeight="1">
      <c r="A612" s="1"/>
      <c r="B612" s="20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4.25" customHeight="1">
      <c r="A613" s="1"/>
      <c r="B613" s="20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4.25" customHeight="1">
      <c r="A614" s="1"/>
      <c r="B614" s="20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4.25" customHeight="1">
      <c r="A615" s="1"/>
      <c r="B615" s="20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4.25" customHeight="1">
      <c r="A616" s="1"/>
      <c r="B616" s="20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4.25" customHeight="1">
      <c r="A617" s="1"/>
      <c r="B617" s="20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4.25" customHeight="1">
      <c r="A618" s="1"/>
      <c r="B618" s="20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4.25" customHeight="1">
      <c r="A619" s="1"/>
      <c r="B619" s="20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4.25" customHeight="1">
      <c r="A620" s="1"/>
      <c r="B620" s="20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4.25" customHeight="1">
      <c r="A621" s="1"/>
      <c r="B621" s="20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4.25" customHeight="1">
      <c r="A622" s="1"/>
      <c r="B622" s="20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4.25" customHeight="1">
      <c r="A623" s="1"/>
      <c r="B623" s="20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4.25" customHeight="1">
      <c r="A624" s="1"/>
      <c r="B624" s="20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4.25" customHeight="1">
      <c r="A625" s="1"/>
      <c r="B625" s="20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4.25" customHeight="1">
      <c r="A626" s="1"/>
      <c r="B626" s="20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4.25" customHeight="1">
      <c r="A627" s="1"/>
      <c r="B627" s="20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4.25" customHeight="1">
      <c r="A628" s="1"/>
      <c r="B628" s="20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4.25" customHeight="1">
      <c r="A629" s="1"/>
      <c r="B629" s="20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4.25" customHeight="1">
      <c r="A630" s="1"/>
      <c r="B630" s="20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4.25" customHeight="1">
      <c r="A631" s="1"/>
      <c r="B631" s="20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4.25" customHeight="1">
      <c r="A632" s="1"/>
      <c r="B632" s="20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4.25" customHeight="1">
      <c r="A633" s="1"/>
      <c r="B633" s="20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4.25" customHeight="1">
      <c r="A634" s="1"/>
      <c r="B634" s="20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4.25" customHeight="1">
      <c r="A635" s="1"/>
      <c r="B635" s="20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4.25" customHeight="1">
      <c r="A636" s="1"/>
      <c r="B636" s="20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4.25" customHeight="1">
      <c r="A637" s="1"/>
      <c r="B637" s="20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4.25" customHeight="1">
      <c r="A638" s="1"/>
      <c r="B638" s="20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4.25" customHeight="1">
      <c r="A639" s="1"/>
      <c r="B639" s="20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4.25" customHeight="1">
      <c r="A640" s="1"/>
      <c r="B640" s="20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4.25" customHeight="1">
      <c r="A641" s="1"/>
      <c r="B641" s="20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4.25" customHeight="1">
      <c r="A642" s="1"/>
      <c r="B642" s="20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4.25" customHeight="1">
      <c r="A643" s="1"/>
      <c r="B643" s="20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4.25" customHeight="1">
      <c r="A644" s="1"/>
      <c r="B644" s="20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4.25" customHeight="1">
      <c r="A645" s="1"/>
      <c r="B645" s="20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4.25" customHeight="1">
      <c r="A646" s="1"/>
      <c r="B646" s="20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4.25" customHeight="1">
      <c r="A647" s="1"/>
      <c r="B647" s="20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4.25" customHeight="1">
      <c r="A648" s="1"/>
      <c r="B648" s="20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4.25" customHeight="1">
      <c r="A649" s="1"/>
      <c r="B649" s="20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4.25" customHeight="1">
      <c r="A650" s="1"/>
      <c r="B650" s="20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4.25" customHeight="1">
      <c r="A651" s="1"/>
      <c r="B651" s="20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4.25" customHeight="1">
      <c r="A652" s="1"/>
      <c r="B652" s="20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4.25" customHeight="1">
      <c r="A653" s="1"/>
      <c r="B653" s="20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4.25" customHeight="1">
      <c r="A654" s="1"/>
      <c r="B654" s="20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4.25" customHeight="1">
      <c r="A655" s="1"/>
      <c r="B655" s="20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4.25" customHeight="1">
      <c r="A656" s="1"/>
      <c r="B656" s="20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4.25" customHeight="1">
      <c r="A657" s="1"/>
      <c r="B657" s="20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4.25" customHeight="1">
      <c r="A658" s="1"/>
      <c r="B658" s="20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4.25" customHeight="1">
      <c r="A659" s="1"/>
      <c r="B659" s="20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4.25" customHeight="1">
      <c r="A660" s="1"/>
      <c r="B660" s="20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4.25" customHeight="1">
      <c r="A661" s="1"/>
      <c r="B661" s="20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4.25" customHeight="1">
      <c r="A662" s="1"/>
      <c r="B662" s="20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4.25" customHeight="1">
      <c r="A663" s="1"/>
      <c r="B663" s="20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4.25" customHeight="1">
      <c r="A664" s="1"/>
      <c r="B664" s="20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4.25" customHeight="1">
      <c r="A665" s="1"/>
      <c r="B665" s="20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4.25" customHeight="1">
      <c r="A666" s="1"/>
      <c r="B666" s="20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4.25" customHeight="1">
      <c r="A667" s="1"/>
      <c r="B667" s="20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4.25" customHeight="1">
      <c r="A668" s="1"/>
      <c r="B668" s="20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4.25" customHeight="1">
      <c r="A669" s="1"/>
      <c r="B669" s="20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4.25" customHeight="1">
      <c r="A670" s="1"/>
      <c r="B670" s="20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4.25" customHeight="1">
      <c r="A671" s="1"/>
      <c r="B671" s="20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4.25" customHeight="1">
      <c r="A672" s="1"/>
      <c r="B672" s="20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4.25" customHeight="1">
      <c r="A673" s="1"/>
      <c r="B673" s="20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4.25" customHeight="1">
      <c r="A674" s="1"/>
      <c r="B674" s="20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4.25" customHeight="1">
      <c r="A675" s="1"/>
      <c r="B675" s="20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4.25" customHeight="1">
      <c r="A676" s="1"/>
      <c r="B676" s="20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4.25" customHeight="1">
      <c r="A677" s="1"/>
      <c r="B677" s="20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4.25" customHeight="1">
      <c r="A678" s="1"/>
      <c r="B678" s="20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4.25" customHeight="1">
      <c r="A679" s="1"/>
      <c r="B679" s="20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4.25" customHeight="1">
      <c r="A680" s="1"/>
      <c r="B680" s="20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4.25" customHeight="1">
      <c r="A681" s="1"/>
      <c r="B681" s="20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4.25" customHeight="1">
      <c r="A682" s="1"/>
      <c r="B682" s="20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4.25" customHeight="1">
      <c r="A683" s="1"/>
      <c r="B683" s="20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4.25" customHeight="1">
      <c r="A684" s="1"/>
      <c r="B684" s="20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4.25" customHeight="1">
      <c r="A685" s="1"/>
      <c r="B685" s="20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4.25" customHeight="1">
      <c r="A686" s="1"/>
      <c r="B686" s="20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4.25" customHeight="1">
      <c r="A687" s="1"/>
      <c r="B687" s="20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4.25" customHeight="1">
      <c r="A688" s="1"/>
      <c r="B688" s="20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4.25" customHeight="1">
      <c r="A689" s="1"/>
      <c r="B689" s="20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4.25" customHeight="1">
      <c r="A690" s="1"/>
      <c r="B690" s="20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4.25" customHeight="1">
      <c r="A691" s="1"/>
      <c r="B691" s="20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4.25" customHeight="1">
      <c r="A692" s="1"/>
      <c r="B692" s="20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4.25" customHeight="1">
      <c r="A693" s="1"/>
      <c r="B693" s="20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4.25" customHeight="1">
      <c r="A694" s="1"/>
      <c r="B694" s="20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4.25" customHeight="1">
      <c r="A695" s="1"/>
      <c r="B695" s="20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4.25" customHeight="1">
      <c r="A696" s="1"/>
      <c r="B696" s="20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4.25" customHeight="1">
      <c r="A697" s="1"/>
      <c r="B697" s="20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4.25" customHeight="1">
      <c r="A698" s="1"/>
      <c r="B698" s="20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4.25" customHeight="1">
      <c r="A699" s="1"/>
      <c r="B699" s="20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4.25" customHeight="1">
      <c r="A700" s="1"/>
      <c r="B700" s="20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4.25" customHeight="1">
      <c r="A701" s="1"/>
      <c r="B701" s="20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4.25" customHeight="1">
      <c r="A702" s="1"/>
      <c r="B702" s="20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4.25" customHeight="1">
      <c r="A703" s="1"/>
      <c r="B703" s="20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4.25" customHeight="1">
      <c r="A704" s="1"/>
      <c r="B704" s="20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4.25" customHeight="1">
      <c r="A705" s="1"/>
      <c r="B705" s="20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4.25" customHeight="1">
      <c r="A706" s="1"/>
      <c r="B706" s="20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4.25" customHeight="1">
      <c r="A707" s="1"/>
      <c r="B707" s="20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4.25" customHeight="1">
      <c r="A708" s="1"/>
      <c r="B708" s="20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4.25" customHeight="1">
      <c r="A709" s="1"/>
      <c r="B709" s="20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4.25" customHeight="1">
      <c r="A710" s="1"/>
      <c r="B710" s="20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4.25" customHeight="1">
      <c r="A711" s="1"/>
      <c r="B711" s="20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4.25" customHeight="1">
      <c r="A712" s="1"/>
      <c r="B712" s="20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4.25" customHeight="1">
      <c r="A713" s="1"/>
      <c r="B713" s="20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4.25" customHeight="1">
      <c r="A714" s="1"/>
      <c r="B714" s="20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4.25" customHeight="1">
      <c r="A715" s="1"/>
      <c r="B715" s="20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4.25" customHeight="1">
      <c r="A716" s="1"/>
      <c r="B716" s="20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4.25" customHeight="1">
      <c r="A717" s="1"/>
      <c r="B717" s="20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4.25" customHeight="1">
      <c r="A718" s="1"/>
      <c r="B718" s="20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4.25" customHeight="1">
      <c r="A719" s="1"/>
      <c r="B719" s="20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4.25" customHeight="1">
      <c r="A720" s="1"/>
      <c r="B720" s="20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4.25" customHeight="1">
      <c r="A721" s="1"/>
      <c r="B721" s="20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4.25" customHeight="1">
      <c r="A722" s="1"/>
      <c r="B722" s="20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4.25" customHeight="1">
      <c r="A723" s="1"/>
      <c r="B723" s="20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4.25" customHeight="1">
      <c r="A724" s="1"/>
      <c r="B724" s="20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4.25" customHeight="1">
      <c r="A725" s="1"/>
      <c r="B725" s="20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4.25" customHeight="1">
      <c r="A726" s="1"/>
      <c r="B726" s="20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4.25" customHeight="1">
      <c r="A727" s="1"/>
      <c r="B727" s="20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4.25" customHeight="1">
      <c r="A728" s="1"/>
      <c r="B728" s="20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4.25" customHeight="1">
      <c r="A729" s="1"/>
      <c r="B729" s="20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4.25" customHeight="1">
      <c r="A730" s="1"/>
      <c r="B730" s="20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4.25" customHeight="1">
      <c r="A731" s="1"/>
      <c r="B731" s="20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4.25" customHeight="1">
      <c r="A732" s="1"/>
      <c r="B732" s="20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4.25" customHeight="1">
      <c r="A733" s="1"/>
      <c r="B733" s="20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4.25" customHeight="1">
      <c r="A734" s="1"/>
      <c r="B734" s="20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4.25" customHeight="1">
      <c r="A735" s="1"/>
      <c r="B735" s="20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4.25" customHeight="1">
      <c r="A736" s="1"/>
      <c r="B736" s="20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4.25" customHeight="1">
      <c r="A737" s="1"/>
      <c r="B737" s="20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4.25" customHeight="1">
      <c r="A738" s="1"/>
      <c r="B738" s="20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4.25" customHeight="1">
      <c r="A739" s="1"/>
      <c r="B739" s="20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4.25" customHeight="1">
      <c r="A740" s="1"/>
      <c r="B740" s="20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4.25" customHeight="1">
      <c r="A741" s="1"/>
      <c r="B741" s="20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4.25" customHeight="1">
      <c r="A742" s="1"/>
      <c r="B742" s="20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4.25" customHeight="1">
      <c r="A743" s="1"/>
      <c r="B743" s="20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4.25" customHeight="1">
      <c r="A744" s="1"/>
      <c r="B744" s="20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4.25" customHeight="1">
      <c r="A745" s="1"/>
      <c r="B745" s="20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4.25" customHeight="1">
      <c r="A746" s="1"/>
      <c r="B746" s="20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4.25" customHeight="1">
      <c r="A747" s="1"/>
      <c r="B747" s="20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4.25" customHeight="1">
      <c r="A748" s="1"/>
      <c r="B748" s="20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4.25" customHeight="1">
      <c r="A749" s="1"/>
      <c r="B749" s="20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4.25" customHeight="1">
      <c r="A750" s="1"/>
      <c r="B750" s="20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4.25" customHeight="1">
      <c r="A751" s="1"/>
      <c r="B751" s="20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4.25" customHeight="1">
      <c r="A752" s="1"/>
      <c r="B752" s="20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4.25" customHeight="1">
      <c r="A753" s="1"/>
      <c r="B753" s="20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4.25" customHeight="1">
      <c r="A754" s="1"/>
      <c r="B754" s="20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4.25" customHeight="1">
      <c r="A755" s="1"/>
      <c r="B755" s="20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4.25" customHeight="1">
      <c r="A756" s="1"/>
      <c r="B756" s="20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4.25" customHeight="1">
      <c r="A757" s="1"/>
      <c r="B757" s="20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4.25" customHeight="1">
      <c r="A758" s="1"/>
      <c r="B758" s="20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4.25" customHeight="1">
      <c r="A759" s="1"/>
      <c r="B759" s="20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4.25" customHeight="1">
      <c r="A760" s="1"/>
      <c r="B760" s="20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4.25" customHeight="1">
      <c r="A761" s="1"/>
      <c r="B761" s="20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4.25" customHeight="1">
      <c r="A762" s="1"/>
      <c r="B762" s="20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4.25" customHeight="1">
      <c r="A763" s="1"/>
      <c r="B763" s="20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4.25" customHeight="1">
      <c r="A764" s="1"/>
      <c r="B764" s="20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4.25" customHeight="1">
      <c r="A765" s="1"/>
      <c r="B765" s="20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4.25" customHeight="1">
      <c r="A766" s="1"/>
      <c r="B766" s="20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4.25" customHeight="1">
      <c r="A767" s="1"/>
      <c r="B767" s="20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4.25" customHeight="1">
      <c r="A768" s="1"/>
      <c r="B768" s="20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4.25" customHeight="1">
      <c r="A769" s="1"/>
      <c r="B769" s="20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4.25" customHeight="1">
      <c r="A770" s="1"/>
      <c r="B770" s="20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4.25" customHeight="1">
      <c r="A771" s="1"/>
      <c r="B771" s="20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4.25" customHeight="1">
      <c r="A772" s="1"/>
      <c r="B772" s="20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4.25" customHeight="1">
      <c r="A773" s="1"/>
      <c r="B773" s="20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4.25" customHeight="1">
      <c r="A774" s="1"/>
      <c r="B774" s="20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4.25" customHeight="1">
      <c r="A775" s="1"/>
      <c r="B775" s="20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4.25" customHeight="1">
      <c r="A776" s="1"/>
      <c r="B776" s="20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4.25" customHeight="1">
      <c r="A777" s="1"/>
      <c r="B777" s="20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4.25" customHeight="1">
      <c r="A778" s="1"/>
      <c r="B778" s="20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4.25" customHeight="1">
      <c r="A779" s="1"/>
      <c r="B779" s="20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4.25" customHeight="1">
      <c r="A780" s="1"/>
      <c r="B780" s="20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4.25" customHeight="1">
      <c r="A781" s="1"/>
      <c r="B781" s="20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4.25" customHeight="1">
      <c r="A782" s="1"/>
      <c r="B782" s="20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4.25" customHeight="1">
      <c r="A783" s="1"/>
      <c r="B783" s="20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4.25" customHeight="1">
      <c r="A784" s="1"/>
      <c r="B784" s="20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4.25" customHeight="1">
      <c r="A785" s="1"/>
      <c r="B785" s="20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4.25" customHeight="1">
      <c r="A786" s="1"/>
      <c r="B786" s="20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4.25" customHeight="1">
      <c r="A787" s="1"/>
      <c r="B787" s="20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4.25" customHeight="1">
      <c r="A788" s="1"/>
      <c r="B788" s="20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4.25" customHeight="1">
      <c r="A789" s="1"/>
      <c r="B789" s="20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4.25" customHeight="1">
      <c r="A790" s="1"/>
      <c r="B790" s="20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4.25" customHeight="1">
      <c r="A791" s="1"/>
      <c r="B791" s="20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4.25" customHeight="1">
      <c r="A792" s="1"/>
      <c r="B792" s="20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4.25" customHeight="1">
      <c r="A793" s="1"/>
      <c r="B793" s="20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4.25" customHeight="1">
      <c r="A794" s="1"/>
      <c r="B794" s="20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4.25" customHeight="1">
      <c r="A795" s="1"/>
      <c r="B795" s="20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4.25" customHeight="1">
      <c r="A796" s="1"/>
      <c r="B796" s="20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4.25" customHeight="1">
      <c r="A797" s="1"/>
      <c r="B797" s="20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4.25" customHeight="1">
      <c r="A798" s="1"/>
      <c r="B798" s="20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4.25" customHeight="1">
      <c r="A799" s="1"/>
      <c r="B799" s="20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4.25" customHeight="1">
      <c r="A800" s="1"/>
      <c r="B800" s="20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4.25" customHeight="1">
      <c r="A801" s="1"/>
      <c r="B801" s="20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4.25" customHeight="1">
      <c r="A802" s="1"/>
      <c r="B802" s="20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4.25" customHeight="1">
      <c r="A803" s="1"/>
      <c r="B803" s="20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4.25" customHeight="1">
      <c r="A804" s="1"/>
      <c r="B804" s="20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4.25" customHeight="1">
      <c r="A805" s="1"/>
      <c r="B805" s="20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4.25" customHeight="1">
      <c r="A806" s="1"/>
      <c r="B806" s="20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4.25" customHeight="1">
      <c r="A807" s="1"/>
      <c r="B807" s="20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4.25" customHeight="1">
      <c r="A808" s="1"/>
      <c r="B808" s="20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4.25" customHeight="1">
      <c r="A809" s="1"/>
      <c r="B809" s="20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4.25" customHeight="1">
      <c r="A810" s="1"/>
      <c r="B810" s="20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4.25" customHeight="1">
      <c r="A811" s="1"/>
      <c r="B811" s="20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4.25" customHeight="1">
      <c r="A812" s="1"/>
      <c r="B812" s="20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4.25" customHeight="1">
      <c r="A813" s="1"/>
      <c r="B813" s="20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4.25" customHeight="1">
      <c r="A814" s="1"/>
      <c r="B814" s="20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4.25" customHeight="1">
      <c r="A815" s="1"/>
      <c r="B815" s="20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4.25" customHeight="1">
      <c r="A816" s="1"/>
      <c r="B816" s="20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4.25" customHeight="1">
      <c r="A817" s="1"/>
      <c r="B817" s="20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4.25" customHeight="1">
      <c r="A818" s="1"/>
      <c r="B818" s="20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4.25" customHeight="1">
      <c r="A819" s="1"/>
      <c r="B819" s="20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4.25" customHeight="1">
      <c r="A820" s="1"/>
      <c r="B820" s="20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4.25" customHeight="1">
      <c r="A821" s="1"/>
      <c r="B821" s="20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4.25" customHeight="1">
      <c r="A822" s="1"/>
      <c r="B822" s="20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4.25" customHeight="1">
      <c r="A823" s="1"/>
      <c r="B823" s="20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4.25" customHeight="1">
      <c r="A824" s="1"/>
      <c r="B824" s="20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4.25" customHeight="1">
      <c r="A825" s="1"/>
      <c r="B825" s="20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4.25" customHeight="1">
      <c r="A826" s="1"/>
      <c r="B826" s="20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4.25" customHeight="1">
      <c r="A827" s="1"/>
      <c r="B827" s="20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4.25" customHeight="1">
      <c r="A828" s="1"/>
      <c r="B828" s="20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4.25" customHeight="1">
      <c r="A829" s="1"/>
      <c r="B829" s="20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4.25" customHeight="1">
      <c r="A830" s="1"/>
      <c r="B830" s="20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4.25" customHeight="1">
      <c r="A831" s="1"/>
      <c r="B831" s="20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4.25" customHeight="1">
      <c r="A832" s="1"/>
      <c r="B832" s="20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4.25" customHeight="1">
      <c r="A833" s="1"/>
      <c r="B833" s="20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4.25" customHeight="1">
      <c r="A834" s="1"/>
      <c r="B834" s="20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4.25" customHeight="1">
      <c r="A835" s="1"/>
      <c r="B835" s="20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4.25" customHeight="1">
      <c r="A836" s="1"/>
      <c r="B836" s="20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4.25" customHeight="1">
      <c r="A837" s="1"/>
      <c r="B837" s="20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4.25" customHeight="1">
      <c r="A838" s="1"/>
      <c r="B838" s="20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4.25" customHeight="1">
      <c r="A839" s="1"/>
      <c r="B839" s="20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4.25" customHeight="1">
      <c r="A840" s="1"/>
      <c r="B840" s="20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4.25" customHeight="1">
      <c r="A841" s="1"/>
      <c r="B841" s="20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4.25" customHeight="1">
      <c r="A842" s="1"/>
      <c r="B842" s="20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4.25" customHeight="1">
      <c r="A843" s="1"/>
      <c r="B843" s="20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4.25" customHeight="1">
      <c r="A844" s="1"/>
      <c r="B844" s="20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4.25" customHeight="1">
      <c r="A845" s="1"/>
      <c r="B845" s="20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4.25" customHeight="1">
      <c r="A846" s="1"/>
      <c r="B846" s="20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4.25" customHeight="1">
      <c r="A847" s="1"/>
      <c r="B847" s="20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4.25" customHeight="1">
      <c r="A848" s="1"/>
      <c r="B848" s="20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4.25" customHeight="1">
      <c r="A849" s="1"/>
      <c r="B849" s="20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4.25" customHeight="1">
      <c r="A850" s="1"/>
      <c r="B850" s="20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4.25" customHeight="1">
      <c r="A851" s="1"/>
      <c r="B851" s="20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4.25" customHeight="1">
      <c r="A852" s="1"/>
      <c r="B852" s="20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4.25" customHeight="1">
      <c r="A853" s="1"/>
      <c r="B853" s="20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4.25" customHeight="1">
      <c r="A854" s="1"/>
      <c r="B854" s="20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4.25" customHeight="1">
      <c r="A855" s="1"/>
      <c r="B855" s="20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4.25" customHeight="1">
      <c r="A856" s="1"/>
      <c r="B856" s="20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4.25" customHeight="1">
      <c r="A857" s="1"/>
      <c r="B857" s="20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4.25" customHeight="1">
      <c r="A858" s="1"/>
      <c r="B858" s="20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4.25" customHeight="1">
      <c r="A859" s="1"/>
      <c r="B859" s="20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4.25" customHeight="1">
      <c r="A860" s="1"/>
      <c r="B860" s="20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4.25" customHeight="1">
      <c r="A861" s="1"/>
      <c r="B861" s="20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4.25" customHeight="1">
      <c r="A862" s="1"/>
      <c r="B862" s="20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4.25" customHeight="1">
      <c r="A863" s="1"/>
      <c r="B863" s="20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4.25" customHeight="1">
      <c r="A864" s="1"/>
      <c r="B864" s="20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4.25" customHeight="1">
      <c r="A865" s="1"/>
      <c r="B865" s="20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4.25" customHeight="1">
      <c r="A866" s="1"/>
      <c r="B866" s="20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4.25" customHeight="1">
      <c r="A867" s="1"/>
      <c r="B867" s="20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4.25" customHeight="1">
      <c r="A868" s="1"/>
      <c r="B868" s="20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4.25" customHeight="1">
      <c r="A869" s="1"/>
      <c r="B869" s="20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4.25" customHeight="1">
      <c r="A870" s="1"/>
      <c r="B870" s="20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4.25" customHeight="1">
      <c r="A871" s="1"/>
      <c r="B871" s="20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4.25" customHeight="1">
      <c r="A872" s="1"/>
      <c r="B872" s="20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4.25" customHeight="1">
      <c r="A873" s="1"/>
      <c r="B873" s="20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4.25" customHeight="1">
      <c r="A874" s="1"/>
      <c r="B874" s="20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4.25" customHeight="1">
      <c r="A875" s="1"/>
      <c r="B875" s="20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4.25" customHeight="1">
      <c r="A876" s="1"/>
      <c r="B876" s="20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4.25" customHeight="1">
      <c r="A877" s="1"/>
      <c r="B877" s="20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4.25" customHeight="1">
      <c r="A878" s="1"/>
      <c r="B878" s="20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4.25" customHeight="1">
      <c r="A879" s="1"/>
      <c r="B879" s="20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4.25" customHeight="1">
      <c r="A880" s="1"/>
      <c r="B880" s="20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4.25" customHeight="1">
      <c r="A881" s="1"/>
      <c r="B881" s="20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4.25" customHeight="1">
      <c r="A882" s="1"/>
      <c r="B882" s="20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4.25" customHeight="1">
      <c r="A883" s="1"/>
      <c r="B883" s="20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4.25" customHeight="1">
      <c r="A884" s="1"/>
      <c r="B884" s="20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4.25" customHeight="1">
      <c r="A885" s="1"/>
      <c r="B885" s="20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4.25" customHeight="1">
      <c r="A886" s="1"/>
      <c r="B886" s="20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4.25" customHeight="1">
      <c r="A887" s="1"/>
      <c r="B887" s="20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4.25" customHeight="1">
      <c r="A888" s="1"/>
      <c r="B888" s="20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4.25" customHeight="1">
      <c r="A889" s="1"/>
      <c r="B889" s="20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4.25" customHeight="1">
      <c r="A890" s="1"/>
      <c r="B890" s="20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4.25" customHeight="1">
      <c r="A891" s="1"/>
      <c r="B891" s="20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4.25" customHeight="1">
      <c r="A892" s="1"/>
      <c r="B892" s="20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4.25" customHeight="1">
      <c r="A893" s="1"/>
      <c r="B893" s="20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4.25" customHeight="1">
      <c r="A894" s="1"/>
      <c r="B894" s="20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4.25" customHeight="1">
      <c r="A895" s="1"/>
      <c r="B895" s="20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4.25" customHeight="1">
      <c r="A896" s="1"/>
      <c r="B896" s="20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4.25" customHeight="1">
      <c r="A897" s="1"/>
      <c r="B897" s="20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4.25" customHeight="1">
      <c r="A898" s="1"/>
      <c r="B898" s="20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4.25" customHeight="1">
      <c r="A899" s="1"/>
      <c r="B899" s="20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4.25" customHeight="1">
      <c r="A900" s="1"/>
      <c r="B900" s="20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4.25" customHeight="1">
      <c r="A901" s="1"/>
      <c r="B901" s="20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4.25" customHeight="1">
      <c r="A902" s="1"/>
      <c r="B902" s="20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4.25" customHeight="1">
      <c r="A903" s="1"/>
      <c r="B903" s="20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4.25" customHeight="1">
      <c r="A904" s="1"/>
      <c r="B904" s="20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4.25" customHeight="1">
      <c r="A905" s="1"/>
      <c r="B905" s="20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4.25" customHeight="1">
      <c r="A906" s="1"/>
      <c r="B906" s="20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4.25" customHeight="1">
      <c r="A907" s="1"/>
      <c r="B907" s="20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4.25" customHeight="1">
      <c r="A908" s="1"/>
      <c r="B908" s="20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4.25" customHeight="1">
      <c r="A909" s="1"/>
      <c r="B909" s="20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4.25" customHeight="1">
      <c r="A910" s="1"/>
      <c r="B910" s="20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4.25" customHeight="1">
      <c r="A911" s="1"/>
      <c r="B911" s="20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4.25" customHeight="1">
      <c r="A912" s="1"/>
      <c r="B912" s="20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4.25" customHeight="1">
      <c r="A913" s="1"/>
      <c r="B913" s="20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4.25" customHeight="1">
      <c r="A914" s="1"/>
      <c r="B914" s="20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4.25" customHeight="1">
      <c r="A915" s="1"/>
      <c r="B915" s="20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4.25" customHeight="1">
      <c r="A916" s="1"/>
      <c r="B916" s="20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4.25" customHeight="1">
      <c r="A917" s="1"/>
      <c r="B917" s="20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4.25" customHeight="1">
      <c r="A918" s="1"/>
      <c r="B918" s="20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4.25" customHeight="1">
      <c r="A919" s="1"/>
      <c r="B919" s="20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4.25" customHeight="1">
      <c r="A920" s="1"/>
      <c r="B920" s="20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4.25" customHeight="1">
      <c r="A921" s="1"/>
      <c r="B921" s="20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4.25" customHeight="1">
      <c r="A922" s="1"/>
      <c r="B922" s="20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4.25" customHeight="1">
      <c r="A923" s="1"/>
      <c r="B923" s="20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4.25" customHeight="1">
      <c r="A924" s="1"/>
      <c r="B924" s="20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4.25" customHeight="1">
      <c r="A925" s="1"/>
      <c r="B925" s="20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4.25" customHeight="1">
      <c r="A926" s="1"/>
      <c r="B926" s="20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4.25" customHeight="1">
      <c r="A927" s="1"/>
      <c r="B927" s="20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4.25" customHeight="1">
      <c r="A928" s="1"/>
      <c r="B928" s="20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4.25" customHeight="1">
      <c r="A929" s="1"/>
      <c r="B929" s="20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4.25" customHeight="1">
      <c r="A930" s="1"/>
      <c r="B930" s="20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4.25" customHeight="1">
      <c r="A931" s="1"/>
      <c r="B931" s="20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4.25" customHeight="1">
      <c r="A932" s="1"/>
      <c r="B932" s="20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4.25" customHeight="1">
      <c r="A933" s="1"/>
      <c r="B933" s="20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4.25" customHeight="1">
      <c r="A934" s="1"/>
      <c r="B934" s="20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4.25" customHeight="1">
      <c r="A935" s="1"/>
      <c r="B935" s="20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4.25" customHeight="1">
      <c r="A936" s="1"/>
      <c r="B936" s="20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4.25" customHeight="1">
      <c r="A937" s="1"/>
      <c r="B937" s="20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4.25" customHeight="1">
      <c r="A938" s="1"/>
      <c r="B938" s="20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4.25" customHeight="1">
      <c r="A939" s="1"/>
      <c r="B939" s="20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4.25" customHeight="1">
      <c r="A940" s="1"/>
      <c r="B940" s="20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4.25" customHeight="1">
      <c r="A941" s="1"/>
      <c r="B941" s="20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4.25" customHeight="1">
      <c r="A942" s="1"/>
      <c r="B942" s="20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4.25" customHeight="1">
      <c r="A943" s="1"/>
      <c r="B943" s="20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4.25" customHeight="1">
      <c r="A944" s="1"/>
      <c r="B944" s="20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4.25" customHeight="1">
      <c r="A945" s="1"/>
      <c r="B945" s="20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4.25" customHeight="1">
      <c r="A946" s="1"/>
      <c r="B946" s="20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4.25" customHeight="1">
      <c r="A947" s="1"/>
      <c r="B947" s="20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4.25" customHeight="1">
      <c r="A948" s="1"/>
      <c r="B948" s="20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4.25" customHeight="1">
      <c r="A949" s="1"/>
      <c r="B949" s="20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4.25" customHeight="1">
      <c r="A950" s="1"/>
      <c r="B950" s="20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4.25" customHeight="1">
      <c r="A951" s="1"/>
      <c r="B951" s="20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4.25" customHeight="1">
      <c r="A952" s="1"/>
      <c r="B952" s="20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4.25" customHeight="1">
      <c r="A953" s="1"/>
      <c r="B953" s="20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4.25" customHeight="1">
      <c r="A954" s="1"/>
      <c r="B954" s="20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4.25" customHeight="1">
      <c r="A955" s="1"/>
      <c r="B955" s="20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4.25" customHeight="1">
      <c r="A956" s="1"/>
      <c r="B956" s="20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4.25" customHeight="1">
      <c r="A957" s="1"/>
      <c r="B957" s="20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4.25" customHeight="1">
      <c r="A958" s="1"/>
      <c r="B958" s="20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4.25" customHeight="1">
      <c r="A959" s="1"/>
      <c r="B959" s="20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4.25" customHeight="1">
      <c r="A960" s="1"/>
      <c r="B960" s="20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4.25" customHeight="1">
      <c r="A961" s="1"/>
      <c r="B961" s="20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4.25" customHeight="1">
      <c r="A962" s="1"/>
      <c r="B962" s="20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4.25" customHeight="1">
      <c r="A963" s="1"/>
      <c r="B963" s="20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4.25" customHeight="1">
      <c r="A964" s="1"/>
      <c r="B964" s="20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4.25" customHeight="1">
      <c r="A965" s="1"/>
      <c r="B965" s="20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4.25" customHeight="1">
      <c r="A966" s="1"/>
      <c r="B966" s="20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4.25" customHeight="1">
      <c r="A967" s="1"/>
      <c r="B967" s="20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4.25" customHeight="1">
      <c r="A968" s="1"/>
      <c r="B968" s="20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4.25" customHeight="1">
      <c r="A969" s="1"/>
      <c r="B969" s="20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4.25" customHeight="1">
      <c r="A970" s="1"/>
      <c r="B970" s="20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4.25" customHeight="1">
      <c r="A971" s="1"/>
      <c r="B971" s="20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4.25" customHeight="1">
      <c r="A972" s="1"/>
      <c r="B972" s="20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4.25" customHeight="1">
      <c r="A973" s="1"/>
      <c r="B973" s="20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4.25" customHeight="1">
      <c r="A974" s="1"/>
      <c r="B974" s="20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4.25" customHeight="1">
      <c r="A975" s="1"/>
      <c r="B975" s="20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4.25" customHeight="1">
      <c r="A976" s="1"/>
      <c r="B976" s="20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4.25" customHeight="1">
      <c r="A977" s="1"/>
      <c r="B977" s="20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4.25" customHeight="1">
      <c r="A978" s="1"/>
      <c r="B978" s="20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4.25" customHeight="1">
      <c r="A979" s="1"/>
      <c r="B979" s="20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4.25" customHeight="1">
      <c r="A980" s="1"/>
      <c r="B980" s="20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4.25" customHeight="1">
      <c r="A981" s="1"/>
      <c r="B981" s="20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4.25" customHeight="1">
      <c r="A982" s="1"/>
      <c r="B982" s="20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4.25" customHeight="1">
      <c r="A983" s="1"/>
      <c r="B983" s="20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4.25" customHeight="1">
      <c r="A984" s="1"/>
      <c r="B984" s="20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4.25" customHeight="1">
      <c r="A985" s="1"/>
      <c r="B985" s="20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4.25" customHeight="1">
      <c r="A986" s="1"/>
      <c r="B986" s="20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4.25" customHeight="1">
      <c r="A987" s="1"/>
      <c r="B987" s="20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4.25" customHeight="1">
      <c r="A988" s="1"/>
      <c r="B988" s="20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4.25" customHeight="1">
      <c r="A989" s="1"/>
      <c r="B989" s="20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4.25" customHeight="1">
      <c r="A990" s="1"/>
      <c r="B990" s="20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4.25" customHeight="1">
      <c r="A991" s="1"/>
      <c r="B991" s="20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4.25" customHeight="1">
      <c r="A992" s="1"/>
      <c r="B992" s="20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4.25" customHeight="1">
      <c r="A993" s="1"/>
      <c r="B993" s="20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4.25" customHeight="1">
      <c r="A994" s="1"/>
      <c r="B994" s="20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4.25" customHeight="1">
      <c r="A995" s="1"/>
      <c r="B995" s="20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4.25" customHeight="1">
      <c r="A996" s="1"/>
      <c r="B996" s="20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4.25" customHeight="1">
      <c r="A997" s="1"/>
      <c r="B997" s="20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4.25" customHeight="1">
      <c r="A998" s="1"/>
      <c r="B998" s="20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4.25" customHeight="1">
      <c r="A999" s="1"/>
      <c r="B999" s="20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4.25" customHeight="1">
      <c r="A1000" s="1"/>
      <c r="B1000" s="20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mergeCells count="54">
    <mergeCell ref="A1:W1"/>
    <mergeCell ref="A2:W2"/>
    <mergeCell ref="A3:B3"/>
    <mergeCell ref="C3:V3"/>
    <mergeCell ref="W3:W5"/>
    <mergeCell ref="A4:B5"/>
    <mergeCell ref="A6:W6"/>
    <mergeCell ref="A10:W10"/>
    <mergeCell ref="A19:W19"/>
    <mergeCell ref="A21:W21"/>
    <mergeCell ref="A24:W24"/>
    <mergeCell ref="A26:W26"/>
    <mergeCell ref="A30:W30"/>
    <mergeCell ref="A32:W32"/>
    <mergeCell ref="A34:W34"/>
    <mergeCell ref="A36:W36"/>
    <mergeCell ref="A39:W39"/>
    <mergeCell ref="A42:W42"/>
    <mergeCell ref="A44:B44"/>
    <mergeCell ref="A46:N46"/>
    <mergeCell ref="G47:N47"/>
    <mergeCell ref="G49:J49"/>
    <mergeCell ref="K49:N49"/>
    <mergeCell ref="A47:F47"/>
    <mergeCell ref="A48:B48"/>
    <mergeCell ref="C48:F48"/>
    <mergeCell ref="G48:J48"/>
    <mergeCell ref="K48:N48"/>
    <mergeCell ref="A49:B50"/>
    <mergeCell ref="C49:F49"/>
    <mergeCell ref="K50:N50"/>
    <mergeCell ref="C50:F50"/>
    <mergeCell ref="G50:J50"/>
    <mergeCell ref="A51:B51"/>
    <mergeCell ref="C51:F51"/>
    <mergeCell ref="G51:J51"/>
    <mergeCell ref="K51:N51"/>
    <mergeCell ref="A52:B52"/>
    <mergeCell ref="K52:N52"/>
    <mergeCell ref="K55:N55"/>
    <mergeCell ref="A56:N56"/>
    <mergeCell ref="C52:F52"/>
    <mergeCell ref="G52:J52"/>
    <mergeCell ref="A53:B53"/>
    <mergeCell ref="C53:F53"/>
    <mergeCell ref="G53:J53"/>
    <mergeCell ref="K53:N53"/>
    <mergeCell ref="A54:B54"/>
    <mergeCell ref="K54:N54"/>
    <mergeCell ref="C54:F54"/>
    <mergeCell ref="G54:J54"/>
    <mergeCell ref="A55:B55"/>
    <mergeCell ref="C55:F55"/>
    <mergeCell ref="G55:J55"/>
  </mergeCells>
  <pageMargins left="0.2" right="0" top="0.25" bottom="0" header="0" footer="0"/>
  <pageSetup paperSize="9" scale="9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BB954-84DE-4107-B5C7-DCC7F9B2241A}">
  <sheetPr>
    <tabColor rgb="FF00B050"/>
  </sheetPr>
  <dimension ref="A1:X1000"/>
  <sheetViews>
    <sheetView workbookViewId="0">
      <selection activeCell="P53" sqref="P53"/>
    </sheetView>
  </sheetViews>
  <sheetFormatPr defaultColWidth="14.44140625" defaultRowHeight="14.4"/>
  <cols>
    <col min="1" max="1" width="4" style="39" customWidth="1"/>
    <col min="2" max="2" width="22.109375" style="39" customWidth="1"/>
    <col min="3" max="8" width="5.6640625" style="39" customWidth="1"/>
    <col min="9" max="9" width="6.5546875" style="39" customWidth="1"/>
    <col min="10" max="10" width="6.33203125" style="39" customWidth="1"/>
    <col min="11" max="11" width="6.109375" style="39" customWidth="1"/>
    <col min="12" max="12" width="6.6640625" style="39" customWidth="1"/>
    <col min="13" max="16" width="5.6640625" style="39" customWidth="1"/>
    <col min="17" max="17" width="6.6640625" style="39" customWidth="1"/>
    <col min="18" max="18" width="6.5546875" style="39" customWidth="1"/>
    <col min="19" max="19" width="5.6640625" style="39" customWidth="1"/>
    <col min="20" max="20" width="6.33203125" style="39" customWidth="1"/>
    <col min="21" max="21" width="7.6640625" style="39" customWidth="1"/>
    <col min="22" max="22" width="8.5546875" style="39" customWidth="1"/>
    <col min="23" max="23" width="5.44140625" style="39" customWidth="1"/>
    <col min="24" max="24" width="9" style="39" customWidth="1"/>
    <col min="25" max="16384" width="14.44140625" style="39"/>
  </cols>
  <sheetData>
    <row r="1" spans="1:24" ht="14.25" customHeight="1">
      <c r="A1" s="141" t="s">
        <v>0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3"/>
      <c r="W1" s="38"/>
      <c r="X1" s="38"/>
    </row>
    <row r="2" spans="1:24" ht="14.25" customHeight="1">
      <c r="A2" s="141" t="s">
        <v>106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3"/>
      <c r="W2" s="38"/>
      <c r="X2" s="38"/>
    </row>
    <row r="3" spans="1:24" ht="14.25" customHeight="1">
      <c r="A3" s="141" t="s">
        <v>98</v>
      </c>
      <c r="B3" s="143"/>
      <c r="C3" s="141" t="s">
        <v>99</v>
      </c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4" t="s">
        <v>1</v>
      </c>
      <c r="W3" s="38"/>
      <c r="X3" s="38"/>
    </row>
    <row r="4" spans="1:24" ht="14.25" customHeight="1">
      <c r="A4" s="147" t="s">
        <v>2</v>
      </c>
      <c r="B4" s="148"/>
      <c r="C4" s="40">
        <v>1</v>
      </c>
      <c r="D4" s="40">
        <v>2</v>
      </c>
      <c r="E4" s="40">
        <v>3</v>
      </c>
      <c r="F4" s="40">
        <v>4</v>
      </c>
      <c r="G4" s="40">
        <v>5</v>
      </c>
      <c r="H4" s="40">
        <v>6</v>
      </c>
      <c r="I4" s="40">
        <v>7</v>
      </c>
      <c r="J4" s="40">
        <v>8</v>
      </c>
      <c r="K4" s="40">
        <v>9</v>
      </c>
      <c r="L4" s="40">
        <v>10</v>
      </c>
      <c r="M4" s="40">
        <v>11</v>
      </c>
      <c r="N4" s="40">
        <v>12</v>
      </c>
      <c r="O4" s="40">
        <v>13</v>
      </c>
      <c r="P4" s="40">
        <v>14</v>
      </c>
      <c r="Q4" s="40">
        <v>15</v>
      </c>
      <c r="R4" s="40">
        <v>16</v>
      </c>
      <c r="S4" s="40">
        <v>17</v>
      </c>
      <c r="T4" s="40">
        <v>18</v>
      </c>
      <c r="U4" s="40">
        <v>19</v>
      </c>
      <c r="V4" s="145"/>
      <c r="W4" s="41"/>
      <c r="X4" s="41"/>
    </row>
    <row r="5" spans="1:24" ht="105.75" customHeight="1">
      <c r="A5" s="149"/>
      <c r="B5" s="150"/>
      <c r="C5" s="42" t="s">
        <v>79</v>
      </c>
      <c r="D5" s="42" t="s">
        <v>80</v>
      </c>
      <c r="E5" s="43" t="s">
        <v>81</v>
      </c>
      <c r="F5" s="43" t="s">
        <v>82</v>
      </c>
      <c r="G5" s="43" t="s">
        <v>84</v>
      </c>
      <c r="H5" s="44" t="s">
        <v>85</v>
      </c>
      <c r="I5" s="43" t="s">
        <v>86</v>
      </c>
      <c r="J5" s="43" t="s">
        <v>101</v>
      </c>
      <c r="K5" s="43" t="s">
        <v>87</v>
      </c>
      <c r="L5" s="43" t="s">
        <v>88</v>
      </c>
      <c r="M5" s="43" t="s">
        <v>89</v>
      </c>
      <c r="N5" s="43" t="s">
        <v>102</v>
      </c>
      <c r="O5" s="43" t="s">
        <v>90</v>
      </c>
      <c r="P5" s="43" t="s">
        <v>91</v>
      </c>
      <c r="Q5" s="43" t="s">
        <v>92</v>
      </c>
      <c r="R5" s="42" t="s">
        <v>103</v>
      </c>
      <c r="S5" s="43" t="s">
        <v>93</v>
      </c>
      <c r="T5" s="43" t="s">
        <v>94</v>
      </c>
      <c r="U5" s="42" t="s">
        <v>104</v>
      </c>
      <c r="V5" s="146"/>
      <c r="W5" s="45"/>
      <c r="X5" s="45"/>
    </row>
    <row r="6" spans="1:24" ht="14.25" customHeight="1">
      <c r="A6" s="151" t="s">
        <v>3</v>
      </c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3"/>
      <c r="W6" s="45"/>
      <c r="X6" s="45"/>
    </row>
    <row r="7" spans="1:24" ht="22.95" customHeight="1">
      <c r="A7" s="46" t="s">
        <v>107</v>
      </c>
      <c r="B7" s="46" t="s">
        <v>5</v>
      </c>
      <c r="C7" s="47">
        <v>2.5</v>
      </c>
      <c r="D7" s="47">
        <v>2.5</v>
      </c>
      <c r="E7" s="47">
        <v>1</v>
      </c>
      <c r="F7" s="47">
        <v>2.5</v>
      </c>
      <c r="G7" s="47">
        <v>2.5</v>
      </c>
      <c r="H7" s="47">
        <v>2.5</v>
      </c>
      <c r="I7" s="47">
        <v>2.5</v>
      </c>
      <c r="J7" s="47">
        <v>3</v>
      </c>
      <c r="K7" s="47">
        <v>3</v>
      </c>
      <c r="L7" s="47">
        <v>2.5</v>
      </c>
      <c r="M7" s="47">
        <v>2.5</v>
      </c>
      <c r="N7" s="47" t="s">
        <v>6</v>
      </c>
      <c r="O7" s="47">
        <v>3</v>
      </c>
      <c r="P7" s="47">
        <v>3</v>
      </c>
      <c r="Q7" s="47">
        <v>2.5</v>
      </c>
      <c r="R7" s="47">
        <v>2.5</v>
      </c>
      <c r="S7" s="47">
        <v>2.5</v>
      </c>
      <c r="T7" s="47">
        <v>2.5</v>
      </c>
      <c r="U7" s="47">
        <v>2</v>
      </c>
      <c r="V7" s="48">
        <f t="shared" ref="V7:V9" si="0">AVERAGE(C7:U7)</f>
        <v>2.5</v>
      </c>
      <c r="W7" s="38"/>
      <c r="X7" s="38"/>
    </row>
    <row r="8" spans="1:24" ht="25.2" customHeight="1">
      <c r="A8" s="46" t="s">
        <v>7</v>
      </c>
      <c r="B8" s="49" t="s">
        <v>8</v>
      </c>
      <c r="C8" s="47">
        <v>3</v>
      </c>
      <c r="D8" s="47">
        <v>3</v>
      </c>
      <c r="E8" s="47">
        <v>2</v>
      </c>
      <c r="F8" s="47">
        <v>3</v>
      </c>
      <c r="G8" s="47">
        <v>1</v>
      </c>
      <c r="H8" s="47">
        <v>3</v>
      </c>
      <c r="I8" s="47">
        <v>2</v>
      </c>
      <c r="J8" s="47">
        <v>2</v>
      </c>
      <c r="K8" s="47">
        <v>3</v>
      </c>
      <c r="L8" s="47">
        <v>3</v>
      </c>
      <c r="M8" s="47">
        <v>3</v>
      </c>
      <c r="N8" s="47" t="s">
        <v>6</v>
      </c>
      <c r="O8" s="47">
        <v>3</v>
      </c>
      <c r="P8" s="47">
        <v>2</v>
      </c>
      <c r="Q8" s="47">
        <v>3</v>
      </c>
      <c r="R8" s="47">
        <v>3</v>
      </c>
      <c r="S8" s="47">
        <v>3</v>
      </c>
      <c r="T8" s="47">
        <v>1</v>
      </c>
      <c r="U8" s="47">
        <v>2</v>
      </c>
      <c r="V8" s="50">
        <f t="shared" si="0"/>
        <v>2.5</v>
      </c>
      <c r="W8" s="38"/>
      <c r="X8" s="38"/>
    </row>
    <row r="9" spans="1:24" ht="18.75" customHeight="1">
      <c r="A9" s="46" t="s">
        <v>9</v>
      </c>
      <c r="B9" s="49" t="s">
        <v>10</v>
      </c>
      <c r="C9" s="51">
        <v>3</v>
      </c>
      <c r="D9" s="51">
        <v>3</v>
      </c>
      <c r="E9" s="51">
        <v>3</v>
      </c>
      <c r="F9" s="51">
        <v>3</v>
      </c>
      <c r="G9" s="51">
        <v>3</v>
      </c>
      <c r="H9" s="51">
        <v>3</v>
      </c>
      <c r="I9" s="51">
        <v>3</v>
      </c>
      <c r="J9" s="51">
        <v>1</v>
      </c>
      <c r="K9" s="51">
        <v>3</v>
      </c>
      <c r="L9" s="51">
        <v>3</v>
      </c>
      <c r="M9" s="51">
        <v>3</v>
      </c>
      <c r="N9" s="51" t="s">
        <v>6</v>
      </c>
      <c r="O9" s="51">
        <v>3</v>
      </c>
      <c r="P9" s="51">
        <v>1</v>
      </c>
      <c r="Q9" s="51">
        <v>3</v>
      </c>
      <c r="R9" s="51">
        <v>3</v>
      </c>
      <c r="S9" s="51">
        <v>3</v>
      </c>
      <c r="T9" s="51">
        <v>1</v>
      </c>
      <c r="U9" s="51">
        <v>3</v>
      </c>
      <c r="V9" s="50">
        <f t="shared" si="0"/>
        <v>2.6666666666666665</v>
      </c>
      <c r="W9" s="38"/>
      <c r="X9" s="38"/>
    </row>
    <row r="10" spans="1:24" ht="15.75" customHeight="1">
      <c r="A10" s="151">
        <v>2</v>
      </c>
      <c r="B10" s="142"/>
      <c r="C10" s="142"/>
      <c r="D10" s="142"/>
      <c r="E10" s="142"/>
      <c r="F10" s="142"/>
      <c r="G10" s="142"/>
      <c r="H10" s="142"/>
      <c r="I10" s="142"/>
      <c r="J10" s="142"/>
      <c r="K10" s="142"/>
      <c r="L10" s="142"/>
      <c r="M10" s="142"/>
      <c r="N10" s="142"/>
      <c r="O10" s="142"/>
      <c r="P10" s="142"/>
      <c r="Q10" s="142"/>
      <c r="R10" s="142"/>
      <c r="S10" s="142"/>
      <c r="T10" s="142"/>
      <c r="U10" s="142"/>
      <c r="V10" s="143"/>
      <c r="W10" s="38"/>
      <c r="X10" s="38"/>
    </row>
    <row r="11" spans="1:24" ht="14.25" customHeight="1">
      <c r="A11" s="46" t="s">
        <v>11</v>
      </c>
      <c r="B11" s="49" t="s">
        <v>12</v>
      </c>
      <c r="C11" s="52">
        <v>3</v>
      </c>
      <c r="D11" s="52">
        <v>3</v>
      </c>
      <c r="E11" s="52">
        <v>3</v>
      </c>
      <c r="F11" s="52">
        <v>3</v>
      </c>
      <c r="G11" s="52">
        <v>3</v>
      </c>
      <c r="H11" s="52">
        <v>3</v>
      </c>
      <c r="I11" s="52">
        <v>3</v>
      </c>
      <c r="J11" s="52">
        <v>3</v>
      </c>
      <c r="K11" s="52">
        <v>3</v>
      </c>
      <c r="L11" s="52">
        <v>3</v>
      </c>
      <c r="M11" s="52">
        <v>3</v>
      </c>
      <c r="N11" s="52" t="s">
        <v>6</v>
      </c>
      <c r="O11" s="52">
        <v>3</v>
      </c>
      <c r="P11" s="52">
        <v>3</v>
      </c>
      <c r="Q11" s="52">
        <v>3</v>
      </c>
      <c r="R11" s="52">
        <v>3</v>
      </c>
      <c r="S11" s="52">
        <v>3</v>
      </c>
      <c r="T11" s="52">
        <v>3</v>
      </c>
      <c r="U11" s="52">
        <v>3</v>
      </c>
      <c r="V11" s="50">
        <f t="shared" ref="V11:V15" si="1">AVERAGE(C11:U11)</f>
        <v>3</v>
      </c>
      <c r="W11" s="38"/>
      <c r="X11" s="38"/>
    </row>
    <row r="12" spans="1:24" ht="17.25" customHeight="1">
      <c r="A12" s="46" t="s">
        <v>13</v>
      </c>
      <c r="B12" s="49" t="s">
        <v>14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 t="s">
        <v>6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0">
        <f t="shared" si="1"/>
        <v>0</v>
      </c>
      <c r="W12" s="38"/>
      <c r="X12" s="38"/>
    </row>
    <row r="13" spans="1:24" ht="32.25" customHeight="1">
      <c r="A13" s="46" t="s">
        <v>15</v>
      </c>
      <c r="B13" s="49" t="s">
        <v>16</v>
      </c>
      <c r="C13" s="52">
        <v>2</v>
      </c>
      <c r="D13" s="52">
        <v>2</v>
      </c>
      <c r="E13" s="52">
        <v>2</v>
      </c>
      <c r="F13" s="52">
        <v>2</v>
      </c>
      <c r="G13" s="52">
        <v>2</v>
      </c>
      <c r="H13" s="52">
        <v>2</v>
      </c>
      <c r="I13" s="52">
        <v>2</v>
      </c>
      <c r="J13" s="52">
        <v>2</v>
      </c>
      <c r="K13" s="52">
        <v>2</v>
      </c>
      <c r="L13" s="52">
        <v>2</v>
      </c>
      <c r="M13" s="52">
        <v>2</v>
      </c>
      <c r="N13" s="52" t="s">
        <v>6</v>
      </c>
      <c r="O13" s="52">
        <v>2</v>
      </c>
      <c r="P13" s="52">
        <v>2</v>
      </c>
      <c r="Q13" s="52">
        <v>2</v>
      </c>
      <c r="R13" s="52">
        <v>2</v>
      </c>
      <c r="S13" s="52">
        <v>2</v>
      </c>
      <c r="T13" s="52">
        <v>2</v>
      </c>
      <c r="U13" s="52">
        <v>2</v>
      </c>
      <c r="V13" s="53">
        <f t="shared" si="1"/>
        <v>2</v>
      </c>
      <c r="W13" s="38"/>
      <c r="X13" s="38"/>
    </row>
    <row r="14" spans="1:24" ht="26.25" customHeight="1">
      <c r="A14" s="46" t="s">
        <v>17</v>
      </c>
      <c r="B14" s="49" t="s">
        <v>18</v>
      </c>
      <c r="C14" s="52">
        <v>2</v>
      </c>
      <c r="D14" s="52">
        <v>2</v>
      </c>
      <c r="E14" s="52">
        <v>2</v>
      </c>
      <c r="F14" s="52">
        <v>2</v>
      </c>
      <c r="G14" s="52">
        <v>2</v>
      </c>
      <c r="H14" s="52">
        <v>2</v>
      </c>
      <c r="I14" s="52">
        <v>2</v>
      </c>
      <c r="J14" s="52">
        <v>2</v>
      </c>
      <c r="K14" s="52">
        <v>2</v>
      </c>
      <c r="L14" s="52">
        <v>2</v>
      </c>
      <c r="M14" s="52">
        <v>2</v>
      </c>
      <c r="N14" s="52" t="s">
        <v>6</v>
      </c>
      <c r="O14" s="52">
        <v>2</v>
      </c>
      <c r="P14" s="52">
        <v>2</v>
      </c>
      <c r="Q14" s="52">
        <v>2</v>
      </c>
      <c r="R14" s="52">
        <v>2</v>
      </c>
      <c r="S14" s="52">
        <v>2</v>
      </c>
      <c r="T14" s="52">
        <v>2</v>
      </c>
      <c r="U14" s="52">
        <v>2</v>
      </c>
      <c r="V14" s="53">
        <f t="shared" si="1"/>
        <v>2</v>
      </c>
      <c r="W14" s="38"/>
      <c r="X14" s="38"/>
    </row>
    <row r="15" spans="1:24" ht="24.75" customHeight="1">
      <c r="A15" s="46" t="s">
        <v>19</v>
      </c>
      <c r="B15" s="49" t="s">
        <v>20</v>
      </c>
      <c r="C15" s="52">
        <v>3</v>
      </c>
      <c r="D15" s="52">
        <v>3</v>
      </c>
      <c r="E15" s="52">
        <v>2</v>
      </c>
      <c r="F15" s="52">
        <v>3</v>
      </c>
      <c r="G15" s="52">
        <v>2</v>
      </c>
      <c r="H15" s="52">
        <v>2</v>
      </c>
      <c r="I15" s="52">
        <v>2</v>
      </c>
      <c r="J15" s="52">
        <v>2</v>
      </c>
      <c r="K15" s="52">
        <v>2</v>
      </c>
      <c r="L15" s="52">
        <v>2</v>
      </c>
      <c r="M15" s="52">
        <v>2</v>
      </c>
      <c r="N15" s="52" t="s">
        <v>6</v>
      </c>
      <c r="O15" s="52">
        <v>3</v>
      </c>
      <c r="P15" s="52">
        <v>2</v>
      </c>
      <c r="Q15" s="52">
        <v>2</v>
      </c>
      <c r="R15" s="52">
        <v>2</v>
      </c>
      <c r="S15" s="52">
        <v>3</v>
      </c>
      <c r="T15" s="52">
        <v>2</v>
      </c>
      <c r="U15" s="52">
        <v>2</v>
      </c>
      <c r="V15" s="53">
        <f t="shared" si="1"/>
        <v>2.2777777777777777</v>
      </c>
      <c r="W15" s="38"/>
      <c r="X15" s="38"/>
    </row>
    <row r="16" spans="1:24" ht="16.5" customHeight="1">
      <c r="A16" s="46" t="s">
        <v>21</v>
      </c>
      <c r="B16" s="49" t="s">
        <v>22</v>
      </c>
      <c r="C16" s="52" t="s">
        <v>6</v>
      </c>
      <c r="D16" s="52" t="s">
        <v>6</v>
      </c>
      <c r="E16" s="52" t="s">
        <v>6</v>
      </c>
      <c r="F16" s="52" t="s">
        <v>6</v>
      </c>
      <c r="G16" s="52" t="s">
        <v>6</v>
      </c>
      <c r="H16" s="52" t="s">
        <v>6</v>
      </c>
      <c r="I16" s="52" t="s">
        <v>6</v>
      </c>
      <c r="J16" s="52" t="s">
        <v>6</v>
      </c>
      <c r="K16" s="52" t="s">
        <v>6</v>
      </c>
      <c r="L16" s="52" t="s">
        <v>6</v>
      </c>
      <c r="M16" s="52" t="s">
        <v>6</v>
      </c>
      <c r="N16" s="52" t="s">
        <v>6</v>
      </c>
      <c r="O16" s="52" t="s">
        <v>6</v>
      </c>
      <c r="P16" s="52" t="s">
        <v>6</v>
      </c>
      <c r="Q16" s="52" t="s">
        <v>6</v>
      </c>
      <c r="R16" s="52" t="s">
        <v>6</v>
      </c>
      <c r="S16" s="52" t="s">
        <v>6</v>
      </c>
      <c r="T16" s="52" t="s">
        <v>6</v>
      </c>
      <c r="U16" s="52" t="s">
        <v>6</v>
      </c>
      <c r="V16" s="54" t="s">
        <v>6</v>
      </c>
      <c r="W16" s="38"/>
      <c r="X16" s="38"/>
    </row>
    <row r="17" spans="1:22" ht="18" customHeight="1">
      <c r="A17" s="46" t="s">
        <v>23</v>
      </c>
      <c r="B17" s="49" t="s">
        <v>24</v>
      </c>
      <c r="C17" s="52" t="s">
        <v>6</v>
      </c>
      <c r="D17" s="52" t="s">
        <v>6</v>
      </c>
      <c r="E17" s="52" t="s">
        <v>6</v>
      </c>
      <c r="F17" s="52" t="s">
        <v>6</v>
      </c>
      <c r="G17" s="52" t="s">
        <v>6</v>
      </c>
      <c r="H17" s="52" t="s">
        <v>6</v>
      </c>
      <c r="I17" s="52" t="s">
        <v>6</v>
      </c>
      <c r="J17" s="52" t="s">
        <v>6</v>
      </c>
      <c r="K17" s="52" t="s">
        <v>6</v>
      </c>
      <c r="L17" s="52" t="s">
        <v>6</v>
      </c>
      <c r="M17" s="52" t="s">
        <v>6</v>
      </c>
      <c r="N17" s="52" t="s">
        <v>6</v>
      </c>
      <c r="O17" s="52" t="s">
        <v>6</v>
      </c>
      <c r="P17" s="52" t="s">
        <v>6</v>
      </c>
      <c r="Q17" s="52" t="s">
        <v>6</v>
      </c>
      <c r="R17" s="52" t="s">
        <v>6</v>
      </c>
      <c r="S17" s="52" t="s">
        <v>6</v>
      </c>
      <c r="T17" s="52" t="s">
        <v>6</v>
      </c>
      <c r="U17" s="52" t="s">
        <v>6</v>
      </c>
      <c r="V17" s="54" t="s">
        <v>6</v>
      </c>
    </row>
    <row r="18" spans="1:22" ht="12.75" customHeight="1">
      <c r="A18" s="46" t="s">
        <v>25</v>
      </c>
      <c r="B18" s="49" t="s">
        <v>26</v>
      </c>
      <c r="C18" s="51">
        <v>3</v>
      </c>
      <c r="D18" s="51">
        <v>2</v>
      </c>
      <c r="E18" s="51">
        <v>3</v>
      </c>
      <c r="F18" s="51">
        <v>3</v>
      </c>
      <c r="G18" s="51">
        <v>3</v>
      </c>
      <c r="H18" s="51">
        <v>3</v>
      </c>
      <c r="I18" s="51">
        <v>3</v>
      </c>
      <c r="J18" s="51">
        <v>3</v>
      </c>
      <c r="K18" s="51">
        <v>3</v>
      </c>
      <c r="L18" s="51">
        <v>3</v>
      </c>
      <c r="M18" s="51">
        <v>3</v>
      </c>
      <c r="N18" s="51" t="s">
        <v>6</v>
      </c>
      <c r="O18" s="51">
        <v>3</v>
      </c>
      <c r="P18" s="51">
        <v>2</v>
      </c>
      <c r="Q18" s="51">
        <v>3</v>
      </c>
      <c r="R18" s="51">
        <v>3</v>
      </c>
      <c r="S18" s="51">
        <v>3</v>
      </c>
      <c r="T18" s="51">
        <v>3</v>
      </c>
      <c r="U18" s="51">
        <v>3</v>
      </c>
      <c r="V18" s="55">
        <v>3</v>
      </c>
    </row>
    <row r="19" spans="1:22" ht="19.5" customHeight="1">
      <c r="A19" s="152" t="s">
        <v>27</v>
      </c>
      <c r="B19" s="142"/>
      <c r="C19" s="142"/>
      <c r="D19" s="142"/>
      <c r="E19" s="142"/>
      <c r="F19" s="142"/>
      <c r="G19" s="142"/>
      <c r="H19" s="142"/>
      <c r="I19" s="142"/>
      <c r="J19" s="142"/>
      <c r="K19" s="142"/>
      <c r="L19" s="142"/>
      <c r="M19" s="142"/>
      <c r="N19" s="142"/>
      <c r="O19" s="142"/>
      <c r="P19" s="142"/>
      <c r="Q19" s="142"/>
      <c r="R19" s="142"/>
      <c r="S19" s="142"/>
      <c r="T19" s="142"/>
      <c r="U19" s="142"/>
      <c r="V19" s="143"/>
    </row>
    <row r="20" spans="1:22" ht="18.75" customHeight="1">
      <c r="A20" s="46" t="s">
        <v>28</v>
      </c>
      <c r="B20" s="49" t="s">
        <v>29</v>
      </c>
      <c r="C20" s="52">
        <v>3</v>
      </c>
      <c r="D20" s="52">
        <v>2</v>
      </c>
      <c r="E20" s="52">
        <v>2</v>
      </c>
      <c r="F20" s="52">
        <v>2</v>
      </c>
      <c r="G20" s="52">
        <v>2</v>
      </c>
      <c r="H20" s="52">
        <v>2</v>
      </c>
      <c r="I20" s="52">
        <v>2</v>
      </c>
      <c r="J20" s="52">
        <v>2</v>
      </c>
      <c r="K20" s="52">
        <v>2</v>
      </c>
      <c r="L20" s="52">
        <v>2</v>
      </c>
      <c r="M20" s="52">
        <v>2</v>
      </c>
      <c r="N20" s="52" t="s">
        <v>6</v>
      </c>
      <c r="O20" s="52">
        <v>3</v>
      </c>
      <c r="P20" s="52">
        <v>2</v>
      </c>
      <c r="Q20" s="52">
        <v>3</v>
      </c>
      <c r="R20" s="52">
        <v>2</v>
      </c>
      <c r="S20" s="52">
        <v>3</v>
      </c>
      <c r="T20" s="52">
        <v>2</v>
      </c>
      <c r="U20" s="52">
        <v>2</v>
      </c>
      <c r="V20" s="50">
        <f t="shared" ref="V20:V23" si="2">AVERAGE(C20:U20)</f>
        <v>2.2222222222222223</v>
      </c>
    </row>
    <row r="21" spans="1:22" ht="19.5" customHeight="1">
      <c r="A21" s="151" t="s">
        <v>30</v>
      </c>
      <c r="B21" s="142"/>
      <c r="C21" s="142"/>
      <c r="D21" s="142"/>
      <c r="E21" s="142"/>
      <c r="F21" s="142"/>
      <c r="G21" s="142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3"/>
    </row>
    <row r="22" spans="1:22" ht="19.5" customHeight="1">
      <c r="A22" s="46" t="s">
        <v>31</v>
      </c>
      <c r="B22" s="49" t="s">
        <v>32</v>
      </c>
      <c r="C22" s="52">
        <v>3</v>
      </c>
      <c r="D22" s="52">
        <v>3</v>
      </c>
      <c r="E22" s="52">
        <v>3</v>
      </c>
      <c r="F22" s="52">
        <v>2</v>
      </c>
      <c r="G22" s="52">
        <v>2</v>
      </c>
      <c r="H22" s="52">
        <v>3</v>
      </c>
      <c r="I22" s="52">
        <v>2</v>
      </c>
      <c r="J22" s="52">
        <v>2</v>
      </c>
      <c r="K22" s="52">
        <v>3</v>
      </c>
      <c r="L22" s="52">
        <v>3</v>
      </c>
      <c r="M22" s="52">
        <v>3</v>
      </c>
      <c r="N22" s="52" t="s">
        <v>6</v>
      </c>
      <c r="O22" s="52">
        <v>2</v>
      </c>
      <c r="P22" s="52">
        <v>3</v>
      </c>
      <c r="Q22" s="52">
        <v>3</v>
      </c>
      <c r="R22" s="52">
        <v>3</v>
      </c>
      <c r="S22" s="52">
        <v>3</v>
      </c>
      <c r="T22" s="52">
        <v>2</v>
      </c>
      <c r="U22" s="52">
        <v>2</v>
      </c>
      <c r="V22" s="50">
        <f t="shared" si="2"/>
        <v>2.6111111111111112</v>
      </c>
    </row>
    <row r="23" spans="1:22" ht="26.25" customHeight="1">
      <c r="A23" s="46" t="s">
        <v>33</v>
      </c>
      <c r="B23" s="49" t="s">
        <v>34</v>
      </c>
      <c r="C23" s="52">
        <v>3</v>
      </c>
      <c r="D23" s="52">
        <v>3</v>
      </c>
      <c r="E23" s="52">
        <v>3</v>
      </c>
      <c r="F23" s="52">
        <v>3</v>
      </c>
      <c r="G23" s="52">
        <v>3</v>
      </c>
      <c r="H23" s="52">
        <v>3</v>
      </c>
      <c r="I23" s="52">
        <v>3</v>
      </c>
      <c r="J23" s="52">
        <v>3</v>
      </c>
      <c r="K23" s="52">
        <v>3</v>
      </c>
      <c r="L23" s="52">
        <v>3</v>
      </c>
      <c r="M23" s="52">
        <v>3</v>
      </c>
      <c r="N23" s="52" t="s">
        <v>6</v>
      </c>
      <c r="O23" s="52">
        <v>2</v>
      </c>
      <c r="P23" s="52">
        <v>2</v>
      </c>
      <c r="Q23" s="52">
        <v>3</v>
      </c>
      <c r="R23" s="52">
        <v>3</v>
      </c>
      <c r="S23" s="52">
        <v>3</v>
      </c>
      <c r="T23" s="52">
        <v>2</v>
      </c>
      <c r="U23" s="52">
        <v>3</v>
      </c>
      <c r="V23" s="50">
        <f t="shared" si="2"/>
        <v>2.8333333333333335</v>
      </c>
    </row>
    <row r="24" spans="1:22" ht="21" customHeight="1">
      <c r="A24" s="151">
        <v>5</v>
      </c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U24" s="142"/>
      <c r="V24" s="143"/>
    </row>
    <row r="25" spans="1:22" ht="25.5" customHeight="1">
      <c r="A25" s="46" t="s">
        <v>36</v>
      </c>
      <c r="B25" s="49" t="s">
        <v>37</v>
      </c>
      <c r="C25" s="51">
        <v>3</v>
      </c>
      <c r="D25" s="51">
        <v>2</v>
      </c>
      <c r="E25" s="51">
        <v>2</v>
      </c>
      <c r="F25" s="51">
        <v>2</v>
      </c>
      <c r="G25" s="51">
        <v>2</v>
      </c>
      <c r="H25" s="51">
        <v>2</v>
      </c>
      <c r="I25" s="51">
        <v>3</v>
      </c>
      <c r="J25" s="51">
        <v>2</v>
      </c>
      <c r="K25" s="51">
        <v>2</v>
      </c>
      <c r="L25" s="51">
        <v>2</v>
      </c>
      <c r="M25" s="51">
        <v>3</v>
      </c>
      <c r="N25" s="51" t="s">
        <v>6</v>
      </c>
      <c r="O25" s="51">
        <v>2</v>
      </c>
      <c r="P25" s="51">
        <v>3</v>
      </c>
      <c r="Q25" s="51">
        <v>3</v>
      </c>
      <c r="R25" s="51">
        <v>2</v>
      </c>
      <c r="S25" s="51">
        <v>3</v>
      </c>
      <c r="T25" s="51">
        <v>2</v>
      </c>
      <c r="U25" s="51">
        <v>2</v>
      </c>
      <c r="V25" s="50">
        <f t="shared" ref="V25:V29" si="3">AVERAGE(C25:U25)</f>
        <v>2.3333333333333335</v>
      </c>
    </row>
    <row r="26" spans="1:22" ht="19.5" customHeight="1">
      <c r="A26" s="152" t="s">
        <v>38</v>
      </c>
      <c r="B26" s="142"/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  <c r="U26" s="142"/>
      <c r="V26" s="143"/>
    </row>
    <row r="27" spans="1:22" ht="37.5" customHeight="1">
      <c r="A27" s="46" t="s">
        <v>39</v>
      </c>
      <c r="B27" s="49" t="s">
        <v>40</v>
      </c>
      <c r="C27" s="52">
        <v>3</v>
      </c>
      <c r="D27" s="52">
        <v>3</v>
      </c>
      <c r="E27" s="52">
        <v>3</v>
      </c>
      <c r="F27" s="52">
        <v>3</v>
      </c>
      <c r="G27" s="52">
        <v>3</v>
      </c>
      <c r="H27" s="52">
        <v>3</v>
      </c>
      <c r="I27" s="52">
        <v>3</v>
      </c>
      <c r="J27" s="52">
        <v>3</v>
      </c>
      <c r="K27" s="52">
        <v>3</v>
      </c>
      <c r="L27" s="52">
        <v>2</v>
      </c>
      <c r="M27" s="52">
        <v>3</v>
      </c>
      <c r="N27" s="52" t="s">
        <v>6</v>
      </c>
      <c r="O27" s="52">
        <v>3</v>
      </c>
      <c r="P27" s="52">
        <v>3</v>
      </c>
      <c r="Q27" s="52">
        <v>3</v>
      </c>
      <c r="R27" s="52">
        <v>3</v>
      </c>
      <c r="S27" s="52">
        <v>3</v>
      </c>
      <c r="T27" s="52">
        <v>2</v>
      </c>
      <c r="U27" s="52">
        <v>2</v>
      </c>
      <c r="V27" s="50">
        <f t="shared" si="3"/>
        <v>2.8333333333333335</v>
      </c>
    </row>
    <row r="28" spans="1:22" ht="17.25" customHeight="1">
      <c r="A28" s="46" t="s">
        <v>41</v>
      </c>
      <c r="B28" s="49" t="s">
        <v>42</v>
      </c>
      <c r="C28" s="52">
        <v>3</v>
      </c>
      <c r="D28" s="52">
        <v>3</v>
      </c>
      <c r="E28" s="52">
        <v>3</v>
      </c>
      <c r="F28" s="52">
        <v>2</v>
      </c>
      <c r="G28" s="52">
        <v>3</v>
      </c>
      <c r="H28" s="52">
        <v>2</v>
      </c>
      <c r="I28" s="52">
        <v>3</v>
      </c>
      <c r="J28" s="52">
        <v>3</v>
      </c>
      <c r="K28" s="52">
        <v>3</v>
      </c>
      <c r="L28" s="52">
        <v>3</v>
      </c>
      <c r="M28" s="52">
        <v>3</v>
      </c>
      <c r="N28" s="52" t="s">
        <v>6</v>
      </c>
      <c r="O28" s="52">
        <v>2</v>
      </c>
      <c r="P28" s="52">
        <v>0</v>
      </c>
      <c r="Q28" s="52">
        <v>3</v>
      </c>
      <c r="R28" s="52">
        <v>2</v>
      </c>
      <c r="S28" s="52">
        <v>3</v>
      </c>
      <c r="T28" s="52">
        <v>2</v>
      </c>
      <c r="U28" s="52">
        <v>2</v>
      </c>
      <c r="V28" s="50">
        <f t="shared" si="3"/>
        <v>2.5</v>
      </c>
    </row>
    <row r="29" spans="1:22" ht="15" customHeight="1">
      <c r="A29" s="46" t="s">
        <v>43</v>
      </c>
      <c r="B29" s="49" t="s">
        <v>44</v>
      </c>
      <c r="C29" s="52">
        <v>3</v>
      </c>
      <c r="D29" s="52">
        <v>2</v>
      </c>
      <c r="E29" s="52">
        <v>3</v>
      </c>
      <c r="F29" s="52">
        <v>3</v>
      </c>
      <c r="G29" s="52">
        <v>2</v>
      </c>
      <c r="H29" s="52">
        <v>2</v>
      </c>
      <c r="I29" s="52">
        <v>3</v>
      </c>
      <c r="J29" s="52">
        <v>3</v>
      </c>
      <c r="K29" s="52">
        <v>3</v>
      </c>
      <c r="L29" s="52">
        <v>3</v>
      </c>
      <c r="M29" s="52">
        <v>3</v>
      </c>
      <c r="N29" s="52" t="s">
        <v>6</v>
      </c>
      <c r="O29" s="52">
        <v>2</v>
      </c>
      <c r="P29" s="52">
        <v>2</v>
      </c>
      <c r="Q29" s="52">
        <v>3</v>
      </c>
      <c r="R29" s="52">
        <v>2</v>
      </c>
      <c r="S29" s="52">
        <v>3</v>
      </c>
      <c r="T29" s="52">
        <v>0</v>
      </c>
      <c r="U29" s="52">
        <v>2</v>
      </c>
      <c r="V29" s="50">
        <f t="shared" si="3"/>
        <v>2.4444444444444446</v>
      </c>
    </row>
    <row r="30" spans="1:22" ht="19.5" customHeight="1">
      <c r="A30" s="152" t="s">
        <v>45</v>
      </c>
      <c r="B30" s="142"/>
      <c r="C30" s="142"/>
      <c r="D30" s="142"/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2"/>
      <c r="U30" s="142"/>
      <c r="V30" s="143"/>
    </row>
    <row r="31" spans="1:22" ht="21.75" customHeight="1">
      <c r="A31" s="46" t="s">
        <v>46</v>
      </c>
      <c r="B31" s="49" t="s">
        <v>47</v>
      </c>
      <c r="C31" s="51">
        <v>3</v>
      </c>
      <c r="D31" s="51">
        <v>2</v>
      </c>
      <c r="E31" s="51">
        <v>2</v>
      </c>
      <c r="F31" s="51">
        <v>2</v>
      </c>
      <c r="G31" s="51">
        <v>2</v>
      </c>
      <c r="H31" s="51">
        <v>0</v>
      </c>
      <c r="I31" s="51">
        <v>2</v>
      </c>
      <c r="J31" s="51">
        <v>2</v>
      </c>
      <c r="K31" s="51">
        <v>2</v>
      </c>
      <c r="L31" s="51">
        <v>3</v>
      </c>
      <c r="M31" s="51">
        <v>2</v>
      </c>
      <c r="N31" s="51" t="s">
        <v>6</v>
      </c>
      <c r="O31" s="51">
        <v>3</v>
      </c>
      <c r="P31" s="51">
        <v>2</v>
      </c>
      <c r="Q31" s="51">
        <v>3</v>
      </c>
      <c r="R31" s="51">
        <v>3</v>
      </c>
      <c r="S31" s="51">
        <v>3</v>
      </c>
      <c r="T31" s="51">
        <v>2</v>
      </c>
      <c r="U31" s="51">
        <v>0</v>
      </c>
      <c r="V31" s="50">
        <f>AVERAGE(C31:U31)</f>
        <v>2.1111111111111112</v>
      </c>
    </row>
    <row r="32" spans="1:22" ht="18.75" customHeight="1">
      <c r="A32" s="151" t="s">
        <v>48</v>
      </c>
      <c r="B32" s="142"/>
      <c r="C32" s="142"/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2"/>
      <c r="S32" s="142"/>
      <c r="T32" s="142"/>
      <c r="U32" s="142"/>
      <c r="V32" s="143"/>
    </row>
    <row r="33" spans="1:22" ht="20.25" customHeight="1">
      <c r="A33" s="46" t="s">
        <v>49</v>
      </c>
      <c r="B33" s="49" t="s">
        <v>50</v>
      </c>
      <c r="C33" s="52">
        <v>3</v>
      </c>
      <c r="D33" s="52">
        <v>3</v>
      </c>
      <c r="E33" s="52">
        <v>3</v>
      </c>
      <c r="F33" s="52">
        <v>3</v>
      </c>
      <c r="G33" s="52">
        <v>3</v>
      </c>
      <c r="H33" s="52">
        <v>3</v>
      </c>
      <c r="I33" s="52">
        <v>3</v>
      </c>
      <c r="J33" s="52">
        <v>3</v>
      </c>
      <c r="K33" s="52">
        <v>3</v>
      </c>
      <c r="L33" s="52">
        <v>3</v>
      </c>
      <c r="M33" s="52">
        <v>3</v>
      </c>
      <c r="N33" s="52" t="s">
        <v>6</v>
      </c>
      <c r="O33" s="52">
        <v>3</v>
      </c>
      <c r="P33" s="52">
        <v>3</v>
      </c>
      <c r="Q33" s="52">
        <v>1</v>
      </c>
      <c r="R33" s="52">
        <v>3</v>
      </c>
      <c r="S33" s="52">
        <v>3</v>
      </c>
      <c r="T33" s="52">
        <v>3</v>
      </c>
      <c r="U33" s="52">
        <v>3</v>
      </c>
      <c r="V33" s="50">
        <f>AVERAGE(C33:U33)</f>
        <v>2.8888888888888888</v>
      </c>
    </row>
    <row r="34" spans="1:22" ht="18.75" customHeight="1">
      <c r="A34" s="151" t="s">
        <v>51</v>
      </c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142"/>
      <c r="O34" s="142"/>
      <c r="P34" s="142"/>
      <c r="Q34" s="142"/>
      <c r="R34" s="142"/>
      <c r="S34" s="142"/>
      <c r="T34" s="142"/>
      <c r="U34" s="142"/>
      <c r="V34" s="143"/>
    </row>
    <row r="35" spans="1:22" ht="14.25" customHeight="1">
      <c r="A35" s="46" t="s">
        <v>52</v>
      </c>
      <c r="B35" s="49" t="s">
        <v>78</v>
      </c>
      <c r="C35" s="51" t="s">
        <v>6</v>
      </c>
      <c r="D35" s="51" t="s">
        <v>6</v>
      </c>
      <c r="E35" s="51" t="s">
        <v>6</v>
      </c>
      <c r="F35" s="51" t="s">
        <v>6</v>
      </c>
      <c r="G35" s="51" t="s">
        <v>6</v>
      </c>
      <c r="H35" s="51" t="s">
        <v>6</v>
      </c>
      <c r="I35" s="51" t="s">
        <v>6</v>
      </c>
      <c r="J35" s="51" t="s">
        <v>6</v>
      </c>
      <c r="K35" s="51" t="s">
        <v>6</v>
      </c>
      <c r="L35" s="51" t="s">
        <v>6</v>
      </c>
      <c r="M35" s="51" t="s">
        <v>6</v>
      </c>
      <c r="N35" s="51" t="s">
        <v>6</v>
      </c>
      <c r="O35" s="51" t="s">
        <v>6</v>
      </c>
      <c r="P35" s="51" t="s">
        <v>6</v>
      </c>
      <c r="Q35" s="51" t="s">
        <v>6</v>
      </c>
      <c r="R35" s="51" t="s">
        <v>6</v>
      </c>
      <c r="S35" s="51" t="s">
        <v>6</v>
      </c>
      <c r="T35" s="51" t="s">
        <v>6</v>
      </c>
      <c r="U35" s="51" t="s">
        <v>6</v>
      </c>
      <c r="V35" s="51" t="s">
        <v>6</v>
      </c>
    </row>
    <row r="36" spans="1:22" ht="15.75" customHeight="1">
      <c r="A36" s="151" t="s">
        <v>54</v>
      </c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3"/>
    </row>
    <row r="37" spans="1:22" ht="25.2" customHeight="1">
      <c r="A37" s="46" t="s">
        <v>55</v>
      </c>
      <c r="B37" s="49" t="s">
        <v>56</v>
      </c>
      <c r="C37" s="52" t="s">
        <v>6</v>
      </c>
      <c r="D37" s="52" t="s">
        <v>6</v>
      </c>
      <c r="E37" s="52" t="s">
        <v>6</v>
      </c>
      <c r="F37" s="52" t="s">
        <v>6</v>
      </c>
      <c r="G37" s="52" t="s">
        <v>6</v>
      </c>
      <c r="H37" s="52" t="s">
        <v>6</v>
      </c>
      <c r="I37" s="52" t="s">
        <v>6</v>
      </c>
      <c r="J37" s="52" t="s">
        <v>6</v>
      </c>
      <c r="K37" s="52" t="s">
        <v>6</v>
      </c>
      <c r="L37" s="52" t="s">
        <v>6</v>
      </c>
      <c r="M37" s="52" t="s">
        <v>6</v>
      </c>
      <c r="N37" s="52" t="s">
        <v>6</v>
      </c>
      <c r="O37" s="52" t="s">
        <v>6</v>
      </c>
      <c r="P37" s="52" t="s">
        <v>6</v>
      </c>
      <c r="Q37" s="52" t="s">
        <v>6</v>
      </c>
      <c r="R37" s="52" t="s">
        <v>6</v>
      </c>
      <c r="S37" s="52" t="s">
        <v>6</v>
      </c>
      <c r="T37" s="52" t="s">
        <v>6</v>
      </c>
      <c r="U37" s="52" t="s">
        <v>6</v>
      </c>
      <c r="V37" s="52" t="s">
        <v>6</v>
      </c>
    </row>
    <row r="38" spans="1:22" ht="25.95" customHeight="1">
      <c r="A38" s="46" t="s">
        <v>57</v>
      </c>
      <c r="B38" s="49" t="s">
        <v>58</v>
      </c>
      <c r="C38" s="52" t="s">
        <v>6</v>
      </c>
      <c r="D38" s="52" t="s">
        <v>6</v>
      </c>
      <c r="E38" s="52" t="s">
        <v>6</v>
      </c>
      <c r="F38" s="52" t="s">
        <v>6</v>
      </c>
      <c r="G38" s="52" t="s">
        <v>6</v>
      </c>
      <c r="H38" s="52" t="s">
        <v>6</v>
      </c>
      <c r="I38" s="52" t="s">
        <v>6</v>
      </c>
      <c r="J38" s="52" t="s">
        <v>6</v>
      </c>
      <c r="K38" s="52" t="s">
        <v>6</v>
      </c>
      <c r="L38" s="52" t="s">
        <v>6</v>
      </c>
      <c r="M38" s="52" t="s">
        <v>6</v>
      </c>
      <c r="N38" s="52" t="s">
        <v>6</v>
      </c>
      <c r="O38" s="52" t="s">
        <v>6</v>
      </c>
      <c r="P38" s="52" t="s">
        <v>6</v>
      </c>
      <c r="Q38" s="52" t="s">
        <v>6</v>
      </c>
      <c r="R38" s="52" t="s">
        <v>6</v>
      </c>
      <c r="S38" s="52" t="s">
        <v>6</v>
      </c>
      <c r="T38" s="52" t="s">
        <v>6</v>
      </c>
      <c r="U38" s="52" t="s">
        <v>6</v>
      </c>
      <c r="V38" s="52" t="s">
        <v>6</v>
      </c>
    </row>
    <row r="39" spans="1:22" ht="21" customHeight="1">
      <c r="A39" s="151" t="s">
        <v>59</v>
      </c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2"/>
      <c r="U39" s="142"/>
      <c r="V39" s="143"/>
    </row>
    <row r="40" spans="1:22" ht="30.6" customHeight="1">
      <c r="A40" s="46" t="s">
        <v>60</v>
      </c>
      <c r="B40" s="49" t="s">
        <v>61</v>
      </c>
      <c r="C40" s="51">
        <v>2</v>
      </c>
      <c r="D40" s="51">
        <v>3</v>
      </c>
      <c r="E40" s="51">
        <v>2</v>
      </c>
      <c r="F40" s="51">
        <v>3</v>
      </c>
      <c r="G40" s="51">
        <v>2</v>
      </c>
      <c r="H40" s="51">
        <v>2</v>
      </c>
      <c r="I40" s="51">
        <v>2</v>
      </c>
      <c r="J40" s="51">
        <v>2</v>
      </c>
      <c r="K40" s="51">
        <v>2</v>
      </c>
      <c r="L40" s="51">
        <v>2</v>
      </c>
      <c r="M40" s="51">
        <v>3</v>
      </c>
      <c r="N40" s="51" t="s">
        <v>6</v>
      </c>
      <c r="O40" s="51">
        <v>3</v>
      </c>
      <c r="P40" s="51">
        <v>3</v>
      </c>
      <c r="Q40" s="51">
        <v>2</v>
      </c>
      <c r="R40" s="51">
        <v>2</v>
      </c>
      <c r="S40" s="51">
        <v>3</v>
      </c>
      <c r="T40" s="51">
        <v>2</v>
      </c>
      <c r="U40" s="51">
        <v>2</v>
      </c>
      <c r="V40" s="50">
        <f t="shared" ref="V40:V44" si="4">AVERAGE(C40:U40)</f>
        <v>2.3333333333333335</v>
      </c>
    </row>
    <row r="41" spans="1:22" ht="23.25" customHeight="1">
      <c r="A41" s="46" t="s">
        <v>62</v>
      </c>
      <c r="B41" s="49" t="s">
        <v>63</v>
      </c>
      <c r="C41" s="51">
        <v>3</v>
      </c>
      <c r="D41" s="51">
        <v>3</v>
      </c>
      <c r="E41" s="51">
        <v>3</v>
      </c>
      <c r="F41" s="51">
        <v>3</v>
      </c>
      <c r="G41" s="51">
        <v>3</v>
      </c>
      <c r="H41" s="51">
        <v>3</v>
      </c>
      <c r="I41" s="51">
        <v>3</v>
      </c>
      <c r="J41" s="51">
        <v>3</v>
      </c>
      <c r="K41" s="51">
        <v>3</v>
      </c>
      <c r="L41" s="51">
        <v>3</v>
      </c>
      <c r="M41" s="51">
        <v>3</v>
      </c>
      <c r="N41" s="51" t="s">
        <v>6</v>
      </c>
      <c r="O41" s="51">
        <v>3</v>
      </c>
      <c r="P41" s="51">
        <v>3</v>
      </c>
      <c r="Q41" s="51">
        <v>3</v>
      </c>
      <c r="R41" s="51">
        <v>3</v>
      </c>
      <c r="S41" s="51">
        <v>3</v>
      </c>
      <c r="T41" s="51">
        <v>3</v>
      </c>
      <c r="U41" s="51">
        <v>3</v>
      </c>
      <c r="V41" s="50">
        <f t="shared" si="4"/>
        <v>3</v>
      </c>
    </row>
    <row r="42" spans="1:22" ht="18" customHeight="1">
      <c r="A42" s="151" t="s">
        <v>64</v>
      </c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3"/>
    </row>
    <row r="43" spans="1:22" ht="27" customHeight="1">
      <c r="A43" s="46" t="s">
        <v>65</v>
      </c>
      <c r="B43" s="49" t="s">
        <v>66</v>
      </c>
      <c r="C43" s="52" t="s">
        <v>6</v>
      </c>
      <c r="D43" s="52" t="s">
        <v>6</v>
      </c>
      <c r="E43" s="52" t="s">
        <v>6</v>
      </c>
      <c r="F43" s="52" t="s">
        <v>6</v>
      </c>
      <c r="G43" s="52" t="s">
        <v>6</v>
      </c>
      <c r="H43" s="52" t="s">
        <v>6</v>
      </c>
      <c r="I43" s="52" t="s">
        <v>6</v>
      </c>
      <c r="J43" s="52" t="s">
        <v>6</v>
      </c>
      <c r="K43" s="52" t="s">
        <v>6</v>
      </c>
      <c r="L43" s="52" t="s">
        <v>6</v>
      </c>
      <c r="M43" s="52" t="s">
        <v>6</v>
      </c>
      <c r="N43" s="52" t="s">
        <v>6</v>
      </c>
      <c r="O43" s="52" t="s">
        <v>6</v>
      </c>
      <c r="P43" s="52" t="s">
        <v>6</v>
      </c>
      <c r="Q43" s="52" t="s">
        <v>6</v>
      </c>
      <c r="R43" s="52" t="s">
        <v>6</v>
      </c>
      <c r="S43" s="52" t="s">
        <v>6</v>
      </c>
      <c r="T43" s="52" t="s">
        <v>6</v>
      </c>
      <c r="U43" s="52" t="s">
        <v>6</v>
      </c>
      <c r="V43" s="52" t="s">
        <v>6</v>
      </c>
    </row>
    <row r="44" spans="1:22" ht="24" customHeight="1">
      <c r="A44" s="141"/>
      <c r="B44" s="143"/>
      <c r="C44" s="56">
        <f t="shared" ref="C44:M44" si="5">AVERAGE(C7:C43)</f>
        <v>2.6749999999999998</v>
      </c>
      <c r="D44" s="57">
        <f t="shared" si="5"/>
        <v>2.4750000000000001</v>
      </c>
      <c r="E44" s="58">
        <f t="shared" si="5"/>
        <v>2.35</v>
      </c>
      <c r="F44" s="58">
        <f t="shared" si="5"/>
        <v>2.4750000000000001</v>
      </c>
      <c r="G44" s="58">
        <f t="shared" si="5"/>
        <v>2.2749999999999999</v>
      </c>
      <c r="H44" s="58">
        <f t="shared" si="5"/>
        <v>2.2749999999999999</v>
      </c>
      <c r="I44" s="58">
        <f t="shared" si="5"/>
        <v>2.4249999999999998</v>
      </c>
      <c r="J44" s="58">
        <f t="shared" si="5"/>
        <v>2.2999999999999998</v>
      </c>
      <c r="K44" s="58">
        <f t="shared" si="5"/>
        <v>2.5</v>
      </c>
      <c r="L44" s="58">
        <f t="shared" si="5"/>
        <v>2.4750000000000001</v>
      </c>
      <c r="M44" s="56">
        <f t="shared" si="5"/>
        <v>2.5750000000000002</v>
      </c>
      <c r="N44" s="54" t="s">
        <v>6</v>
      </c>
      <c r="O44" s="58">
        <f t="shared" ref="O44:U44" si="6">AVERAGE(O7:O43)</f>
        <v>2.5</v>
      </c>
      <c r="P44" s="59">
        <f t="shared" si="6"/>
        <v>2.15</v>
      </c>
      <c r="Q44" s="58">
        <f t="shared" si="6"/>
        <v>2.5249999999999999</v>
      </c>
      <c r="R44" s="58">
        <f t="shared" si="6"/>
        <v>2.4249999999999998</v>
      </c>
      <c r="S44" s="60">
        <f t="shared" si="6"/>
        <v>2.7250000000000001</v>
      </c>
      <c r="T44" s="58">
        <f t="shared" si="6"/>
        <v>1.925</v>
      </c>
      <c r="U44" s="58">
        <f t="shared" si="6"/>
        <v>2.1</v>
      </c>
      <c r="V44" s="61">
        <f t="shared" si="4"/>
        <v>2.3972222222222221</v>
      </c>
    </row>
    <row r="45" spans="1:22" ht="6" customHeight="1">
      <c r="A45" s="62"/>
      <c r="B45" s="62"/>
      <c r="C45" s="63"/>
      <c r="D45" s="63"/>
      <c r="E45" s="63"/>
      <c r="F45" s="63"/>
      <c r="G45" s="63"/>
      <c r="H45" s="63"/>
      <c r="I45" s="64"/>
      <c r="J45" s="63"/>
      <c r="K45" s="63"/>
      <c r="L45" s="63"/>
      <c r="M45" s="63"/>
      <c r="N45" s="63"/>
      <c r="O45" s="64"/>
      <c r="P45" s="63"/>
      <c r="Q45" s="63"/>
      <c r="R45" s="63"/>
      <c r="S45" s="63"/>
      <c r="T45" s="63"/>
      <c r="U45" s="63"/>
      <c r="V45" s="64"/>
    </row>
    <row r="46" spans="1:22" ht="14.25" customHeight="1">
      <c r="A46" s="153" t="s">
        <v>108</v>
      </c>
      <c r="B46" s="142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3"/>
      <c r="O46" s="65"/>
      <c r="P46" s="65"/>
      <c r="Q46" s="65"/>
      <c r="R46" s="65"/>
      <c r="S46" s="65"/>
      <c r="T46" s="65"/>
      <c r="U46" s="65"/>
      <c r="V46" s="65"/>
    </row>
    <row r="47" spans="1:22" ht="14.25" customHeight="1">
      <c r="A47" s="154" t="s">
        <v>98</v>
      </c>
      <c r="B47" s="142"/>
      <c r="C47" s="142"/>
      <c r="D47" s="142"/>
      <c r="E47" s="142"/>
      <c r="F47" s="143"/>
      <c r="G47" s="141" t="s">
        <v>109</v>
      </c>
      <c r="H47" s="142"/>
      <c r="I47" s="142"/>
      <c r="J47" s="142"/>
      <c r="K47" s="142"/>
      <c r="L47" s="142"/>
      <c r="M47" s="142"/>
      <c r="N47" s="143"/>
      <c r="O47" s="65"/>
      <c r="P47" s="65"/>
      <c r="Q47" s="65"/>
      <c r="R47" s="65"/>
      <c r="S47" s="65"/>
      <c r="T47" s="65"/>
      <c r="U47" s="65"/>
      <c r="V47" s="65"/>
    </row>
    <row r="48" spans="1:22" ht="14.25" customHeight="1">
      <c r="A48" s="153" t="s">
        <v>67</v>
      </c>
      <c r="B48" s="143"/>
      <c r="C48" s="141" t="s">
        <v>68</v>
      </c>
      <c r="D48" s="142"/>
      <c r="E48" s="142"/>
      <c r="F48" s="143"/>
      <c r="G48" s="141" t="s">
        <v>69</v>
      </c>
      <c r="H48" s="142"/>
      <c r="I48" s="142"/>
      <c r="J48" s="143"/>
      <c r="K48" s="141" t="s">
        <v>70</v>
      </c>
      <c r="L48" s="142"/>
      <c r="M48" s="142"/>
      <c r="N48" s="143"/>
      <c r="O48" s="65"/>
      <c r="P48" s="65"/>
      <c r="Q48" s="65"/>
      <c r="R48" s="65"/>
      <c r="S48" s="65"/>
      <c r="T48" s="65"/>
      <c r="U48" s="65"/>
      <c r="V48" s="65"/>
    </row>
    <row r="49" spans="1:24" ht="14.25" customHeight="1">
      <c r="A49" s="155" t="s">
        <v>71</v>
      </c>
      <c r="B49" s="156"/>
      <c r="C49" s="159" t="s">
        <v>93</v>
      </c>
      <c r="D49" s="142"/>
      <c r="E49" s="142"/>
      <c r="F49" s="143"/>
      <c r="G49" s="159" t="s">
        <v>79</v>
      </c>
      <c r="H49" s="142"/>
      <c r="I49" s="142"/>
      <c r="J49" s="143"/>
      <c r="K49" s="160" t="s">
        <v>89</v>
      </c>
      <c r="L49" s="142"/>
      <c r="M49" s="142"/>
      <c r="N49" s="143"/>
      <c r="O49" s="65"/>
      <c r="P49" s="65"/>
      <c r="Q49" s="65"/>
      <c r="R49" s="65"/>
      <c r="S49" s="65"/>
      <c r="T49" s="65"/>
      <c r="U49" s="65"/>
      <c r="V49" s="65"/>
    </row>
    <row r="50" spans="1:24" ht="11.25" customHeight="1">
      <c r="A50" s="157"/>
      <c r="B50" s="158"/>
      <c r="C50" s="159">
        <v>2.7250000000000001</v>
      </c>
      <c r="D50" s="142"/>
      <c r="E50" s="142"/>
      <c r="F50" s="143"/>
      <c r="G50" s="159">
        <v>2.6749999999999998</v>
      </c>
      <c r="H50" s="142"/>
      <c r="I50" s="142"/>
      <c r="J50" s="143"/>
      <c r="K50" s="159">
        <v>2.5750000000000002</v>
      </c>
      <c r="L50" s="142"/>
      <c r="M50" s="142"/>
      <c r="N50" s="143"/>
      <c r="O50" s="65"/>
      <c r="P50" s="65"/>
      <c r="Q50" s="65"/>
      <c r="R50" s="65"/>
      <c r="S50" s="65"/>
      <c r="T50" s="65"/>
      <c r="U50" s="65"/>
      <c r="V50" s="65"/>
    </row>
    <row r="51" spans="1:24" ht="14.25" customHeight="1">
      <c r="A51" s="153" t="s">
        <v>72</v>
      </c>
      <c r="B51" s="143"/>
      <c r="C51" s="161" t="s">
        <v>6</v>
      </c>
      <c r="D51" s="142"/>
      <c r="E51" s="142"/>
      <c r="F51" s="143"/>
      <c r="G51" s="161" t="s">
        <v>6</v>
      </c>
      <c r="H51" s="142"/>
      <c r="I51" s="142"/>
      <c r="J51" s="143"/>
      <c r="K51" s="161" t="s">
        <v>6</v>
      </c>
      <c r="L51" s="142"/>
      <c r="M51" s="142"/>
      <c r="N51" s="143"/>
      <c r="O51" s="65"/>
      <c r="P51" s="65"/>
      <c r="Q51" s="65"/>
      <c r="R51" s="65"/>
      <c r="S51" s="65"/>
      <c r="T51" s="65"/>
      <c r="U51" s="65"/>
      <c r="V51" s="65"/>
    </row>
    <row r="52" spans="1:24" ht="12" customHeight="1">
      <c r="A52" s="153" t="s">
        <v>73</v>
      </c>
      <c r="B52" s="143"/>
      <c r="C52" s="159" t="s">
        <v>91</v>
      </c>
      <c r="D52" s="142"/>
      <c r="E52" s="142"/>
      <c r="F52" s="143"/>
      <c r="G52" s="159" t="s">
        <v>92</v>
      </c>
      <c r="H52" s="142"/>
      <c r="I52" s="142"/>
      <c r="J52" s="143"/>
      <c r="K52" s="159" t="s">
        <v>94</v>
      </c>
      <c r="L52" s="142"/>
      <c r="M52" s="142"/>
      <c r="N52" s="143"/>
      <c r="O52" s="65"/>
      <c r="P52" s="65"/>
      <c r="Q52" s="65"/>
      <c r="R52" s="65"/>
      <c r="S52" s="65"/>
      <c r="T52" s="65"/>
      <c r="U52" s="65"/>
      <c r="V52" s="65"/>
    </row>
    <row r="53" spans="1:24" ht="12" customHeight="1">
      <c r="A53" s="153" t="s">
        <v>74</v>
      </c>
      <c r="B53" s="143"/>
      <c r="C53" s="159" t="s">
        <v>88</v>
      </c>
      <c r="D53" s="142"/>
      <c r="E53" s="142"/>
      <c r="F53" s="143"/>
      <c r="G53" s="159" t="s">
        <v>87</v>
      </c>
      <c r="H53" s="142"/>
      <c r="I53" s="142"/>
      <c r="J53" s="143"/>
      <c r="K53" s="159" t="s">
        <v>90</v>
      </c>
      <c r="L53" s="162"/>
      <c r="M53" s="162"/>
      <c r="N53" s="163"/>
      <c r="O53" s="65"/>
      <c r="P53" s="65"/>
      <c r="Q53" s="65"/>
      <c r="R53" s="65"/>
      <c r="S53" s="65"/>
      <c r="T53" s="65"/>
      <c r="U53" s="65"/>
      <c r="V53" s="65"/>
    </row>
    <row r="54" spans="1:24" ht="12.75" customHeight="1">
      <c r="A54" s="153" t="s">
        <v>75</v>
      </c>
      <c r="B54" s="143"/>
      <c r="C54" s="159" t="s">
        <v>101</v>
      </c>
      <c r="D54" s="142"/>
      <c r="E54" s="142"/>
      <c r="F54" s="143"/>
      <c r="G54" s="159" t="s">
        <v>85</v>
      </c>
      <c r="H54" s="142"/>
      <c r="I54" s="142"/>
      <c r="J54" s="143"/>
      <c r="K54" s="159" t="s">
        <v>104</v>
      </c>
      <c r="L54" s="142"/>
      <c r="M54" s="142"/>
      <c r="N54" s="143"/>
      <c r="O54" s="65"/>
      <c r="P54" s="65"/>
      <c r="Q54" s="65"/>
      <c r="R54" s="65"/>
      <c r="S54" s="65"/>
      <c r="T54" s="65"/>
      <c r="U54" s="65"/>
      <c r="V54" s="65"/>
    </row>
    <row r="55" spans="1:24" ht="14.25" customHeight="1">
      <c r="A55" s="153" t="s">
        <v>76</v>
      </c>
      <c r="B55" s="143"/>
      <c r="C55" s="159" t="s">
        <v>6</v>
      </c>
      <c r="D55" s="142"/>
      <c r="E55" s="142"/>
      <c r="F55" s="143"/>
      <c r="G55" s="159" t="s">
        <v>6</v>
      </c>
      <c r="H55" s="142"/>
      <c r="I55" s="142"/>
      <c r="J55" s="143"/>
      <c r="K55" s="159" t="s">
        <v>6</v>
      </c>
      <c r="L55" s="142"/>
      <c r="M55" s="142"/>
      <c r="N55" s="143"/>
      <c r="O55" s="65"/>
      <c r="P55" s="65"/>
      <c r="Q55" s="65"/>
      <c r="R55" s="65"/>
      <c r="S55" s="65"/>
      <c r="T55" s="65"/>
      <c r="U55" s="65"/>
      <c r="V55" s="65"/>
    </row>
    <row r="56" spans="1:24" ht="34.5" customHeight="1">
      <c r="A56" s="164" t="s">
        <v>110</v>
      </c>
      <c r="B56" s="165"/>
      <c r="C56" s="165"/>
      <c r="D56" s="165"/>
      <c r="E56" s="165"/>
      <c r="F56" s="165"/>
      <c r="G56" s="165"/>
      <c r="H56" s="165"/>
      <c r="I56" s="165"/>
      <c r="J56" s="165"/>
      <c r="K56" s="165"/>
      <c r="L56" s="165"/>
      <c r="M56" s="165"/>
      <c r="N56" s="165"/>
      <c r="O56" s="165"/>
      <c r="P56" s="166"/>
      <c r="Q56" s="65"/>
      <c r="R56" s="65"/>
      <c r="S56" s="65"/>
      <c r="T56" s="65"/>
      <c r="U56" s="65"/>
      <c r="V56" s="65"/>
    </row>
    <row r="57" spans="1:24" ht="14.25" customHeight="1">
      <c r="A57" s="38"/>
      <c r="B57" s="66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</row>
    <row r="58" spans="1:24" ht="14.25" customHeight="1">
      <c r="A58" s="38"/>
      <c r="B58" s="66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</row>
    <row r="59" spans="1:24" ht="14.25" customHeight="1">
      <c r="A59" s="38"/>
      <c r="B59" s="66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</row>
    <row r="60" spans="1:24" ht="14.25" customHeight="1">
      <c r="A60" s="38"/>
      <c r="B60" s="66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</row>
    <row r="61" spans="1:24" ht="14.25" customHeight="1">
      <c r="A61" s="38"/>
      <c r="B61" s="66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</row>
    <row r="62" spans="1:24" ht="14.25" customHeight="1">
      <c r="A62" s="38"/>
      <c r="B62" s="66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</row>
    <row r="63" spans="1:24" ht="14.25" customHeight="1">
      <c r="A63" s="38"/>
      <c r="B63" s="66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</row>
    <row r="64" spans="1:24" ht="14.25" customHeight="1">
      <c r="A64" s="38"/>
      <c r="B64" s="66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</row>
    <row r="65" spans="1:24" ht="14.25" customHeight="1">
      <c r="A65" s="38"/>
      <c r="B65" s="66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</row>
    <row r="66" spans="1:24" ht="14.25" customHeight="1">
      <c r="A66" s="38"/>
      <c r="B66" s="66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</row>
    <row r="67" spans="1:24" ht="14.25" customHeight="1">
      <c r="A67" s="38"/>
      <c r="B67" s="66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</row>
    <row r="68" spans="1:24" ht="14.25" customHeight="1">
      <c r="A68" s="38"/>
      <c r="B68" s="66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</row>
    <row r="69" spans="1:24" ht="14.25" customHeight="1">
      <c r="A69" s="38"/>
      <c r="B69" s="66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</row>
    <row r="70" spans="1:24" ht="14.25" customHeight="1">
      <c r="A70" s="38"/>
      <c r="B70" s="66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</row>
    <row r="71" spans="1:24" ht="14.25" customHeight="1">
      <c r="A71" s="38"/>
      <c r="B71" s="66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</row>
    <row r="72" spans="1:24" ht="14.25" customHeight="1">
      <c r="A72" s="38"/>
      <c r="B72" s="66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</row>
    <row r="73" spans="1:24" ht="14.25" customHeight="1">
      <c r="A73" s="38"/>
      <c r="B73" s="66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</row>
    <row r="74" spans="1:24" ht="14.25" customHeight="1">
      <c r="A74" s="38"/>
      <c r="B74" s="66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</row>
    <row r="75" spans="1:24" ht="14.25" customHeight="1">
      <c r="A75" s="38"/>
      <c r="B75" s="66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</row>
    <row r="76" spans="1:24" ht="14.25" customHeight="1">
      <c r="A76" s="38"/>
      <c r="B76" s="66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</row>
    <row r="77" spans="1:24" ht="14.25" customHeight="1">
      <c r="A77" s="38"/>
      <c r="B77" s="66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</row>
    <row r="78" spans="1:24" ht="14.25" customHeight="1">
      <c r="A78" s="38"/>
      <c r="B78" s="66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</row>
    <row r="79" spans="1:24" ht="14.25" customHeight="1">
      <c r="A79" s="38"/>
      <c r="B79" s="66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</row>
    <row r="80" spans="1:24" ht="14.25" customHeight="1">
      <c r="A80" s="38"/>
      <c r="B80" s="66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</row>
    <row r="81" spans="1:24" ht="14.25" customHeight="1">
      <c r="A81" s="38"/>
      <c r="B81" s="66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</row>
    <row r="82" spans="1:24" ht="14.25" customHeight="1">
      <c r="A82" s="38"/>
      <c r="B82" s="66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</row>
    <row r="83" spans="1:24" ht="14.25" customHeight="1">
      <c r="A83" s="38"/>
      <c r="B83" s="66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</row>
    <row r="84" spans="1:24" ht="14.25" customHeight="1">
      <c r="A84" s="38"/>
      <c r="B84" s="66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</row>
    <row r="85" spans="1:24" ht="14.25" customHeight="1">
      <c r="A85" s="38"/>
      <c r="B85" s="66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</row>
    <row r="86" spans="1:24" ht="14.25" customHeight="1">
      <c r="A86" s="38"/>
      <c r="B86" s="66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</row>
    <row r="87" spans="1:24" ht="14.25" customHeight="1">
      <c r="A87" s="38"/>
      <c r="B87" s="66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</row>
    <row r="88" spans="1:24" ht="14.25" customHeight="1">
      <c r="A88" s="38"/>
      <c r="B88" s="66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</row>
    <row r="89" spans="1:24" ht="14.25" customHeight="1">
      <c r="A89" s="38"/>
      <c r="B89" s="66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</row>
    <row r="90" spans="1:24" ht="14.25" customHeight="1">
      <c r="A90" s="38"/>
      <c r="B90" s="66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</row>
    <row r="91" spans="1:24" ht="14.25" customHeight="1">
      <c r="A91" s="38"/>
      <c r="B91" s="66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</row>
    <row r="92" spans="1:24" ht="14.25" customHeight="1">
      <c r="A92" s="38"/>
      <c r="B92" s="66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</row>
    <row r="93" spans="1:24" ht="14.25" customHeight="1">
      <c r="A93" s="38"/>
      <c r="B93" s="66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</row>
    <row r="94" spans="1:24" ht="14.25" customHeight="1">
      <c r="A94" s="38"/>
      <c r="B94" s="66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</row>
    <row r="95" spans="1:24" ht="14.25" customHeight="1">
      <c r="A95" s="38"/>
      <c r="B95" s="66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</row>
    <row r="96" spans="1:24" ht="14.25" customHeight="1">
      <c r="A96" s="38"/>
      <c r="B96" s="66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</row>
    <row r="97" spans="1:24" ht="14.25" customHeight="1">
      <c r="A97" s="38"/>
      <c r="B97" s="66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</row>
    <row r="98" spans="1:24" ht="14.25" customHeight="1">
      <c r="A98" s="38"/>
      <c r="B98" s="66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</row>
    <row r="99" spans="1:24" ht="14.25" customHeight="1">
      <c r="A99" s="38"/>
      <c r="B99" s="66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</row>
    <row r="100" spans="1:24" ht="14.25" customHeight="1">
      <c r="A100" s="38"/>
      <c r="B100" s="66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</row>
    <row r="101" spans="1:24" ht="14.25" customHeight="1">
      <c r="A101" s="38"/>
      <c r="B101" s="66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</row>
    <row r="102" spans="1:24" ht="14.25" customHeight="1">
      <c r="A102" s="38"/>
      <c r="B102" s="66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</row>
    <row r="103" spans="1:24" ht="14.25" customHeight="1">
      <c r="A103" s="38"/>
      <c r="B103" s="66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</row>
    <row r="104" spans="1:24" ht="14.25" customHeight="1">
      <c r="A104" s="38"/>
      <c r="B104" s="66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</row>
    <row r="105" spans="1:24" ht="14.25" customHeight="1">
      <c r="A105" s="38"/>
      <c r="B105" s="66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</row>
    <row r="106" spans="1:24" ht="14.25" customHeight="1">
      <c r="A106" s="38"/>
      <c r="B106" s="66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</row>
    <row r="107" spans="1:24" ht="14.25" customHeight="1">
      <c r="A107" s="38"/>
      <c r="B107" s="66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</row>
    <row r="108" spans="1:24" ht="14.25" customHeight="1">
      <c r="A108" s="38"/>
      <c r="B108" s="66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</row>
    <row r="109" spans="1:24" ht="14.25" customHeight="1">
      <c r="A109" s="38"/>
      <c r="B109" s="66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</row>
    <row r="110" spans="1:24" ht="14.25" customHeight="1">
      <c r="A110" s="38"/>
      <c r="B110" s="66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</row>
    <row r="111" spans="1:24" ht="14.25" customHeight="1">
      <c r="A111" s="38"/>
      <c r="B111" s="66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</row>
    <row r="112" spans="1:24" ht="14.25" customHeight="1">
      <c r="A112" s="38"/>
      <c r="B112" s="66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</row>
    <row r="113" spans="1:24" ht="14.25" customHeight="1">
      <c r="A113" s="38"/>
      <c r="B113" s="66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</row>
    <row r="114" spans="1:24" ht="14.25" customHeight="1">
      <c r="A114" s="38"/>
      <c r="B114" s="66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</row>
    <row r="115" spans="1:24" ht="14.25" customHeight="1">
      <c r="A115" s="38"/>
      <c r="B115" s="66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</row>
    <row r="116" spans="1:24" ht="14.25" customHeight="1">
      <c r="A116" s="38"/>
      <c r="B116" s="66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</row>
    <row r="117" spans="1:24" ht="14.25" customHeight="1">
      <c r="A117" s="38"/>
      <c r="B117" s="66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</row>
    <row r="118" spans="1:24" ht="14.25" customHeight="1">
      <c r="A118" s="38"/>
      <c r="B118" s="66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</row>
    <row r="119" spans="1:24" ht="14.25" customHeight="1">
      <c r="A119" s="38"/>
      <c r="B119" s="66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</row>
    <row r="120" spans="1:24" ht="14.25" customHeight="1">
      <c r="A120" s="38"/>
      <c r="B120" s="66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</row>
    <row r="121" spans="1:24" ht="14.25" customHeight="1">
      <c r="A121" s="38"/>
      <c r="B121" s="66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</row>
    <row r="122" spans="1:24" ht="14.25" customHeight="1">
      <c r="A122" s="38"/>
      <c r="B122" s="66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</row>
    <row r="123" spans="1:24" ht="14.25" customHeight="1">
      <c r="A123" s="38"/>
      <c r="B123" s="66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</row>
    <row r="124" spans="1:24" ht="14.25" customHeight="1">
      <c r="A124" s="38"/>
      <c r="B124" s="66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</row>
    <row r="125" spans="1:24" ht="14.25" customHeight="1">
      <c r="A125" s="38"/>
      <c r="B125" s="66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</row>
    <row r="126" spans="1:24" ht="14.25" customHeight="1">
      <c r="A126" s="38"/>
      <c r="B126" s="66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</row>
    <row r="127" spans="1:24" ht="14.25" customHeight="1">
      <c r="A127" s="38"/>
      <c r="B127" s="66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</row>
    <row r="128" spans="1:24" ht="14.25" customHeight="1">
      <c r="A128" s="38"/>
      <c r="B128" s="66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</row>
    <row r="129" spans="1:24" ht="14.25" customHeight="1">
      <c r="A129" s="38"/>
      <c r="B129" s="66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</row>
    <row r="130" spans="1:24" ht="14.25" customHeight="1">
      <c r="A130" s="38"/>
      <c r="B130" s="66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</row>
    <row r="131" spans="1:24" ht="14.25" customHeight="1">
      <c r="A131" s="38"/>
      <c r="B131" s="66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</row>
    <row r="132" spans="1:24" ht="14.25" customHeight="1">
      <c r="A132" s="38"/>
      <c r="B132" s="66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</row>
    <row r="133" spans="1:24" ht="14.25" customHeight="1">
      <c r="A133" s="38"/>
      <c r="B133" s="66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</row>
    <row r="134" spans="1:24" ht="14.25" customHeight="1">
      <c r="A134" s="38"/>
      <c r="B134" s="66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</row>
    <row r="135" spans="1:24" ht="14.25" customHeight="1">
      <c r="A135" s="38"/>
      <c r="B135" s="66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</row>
    <row r="136" spans="1:24" ht="14.25" customHeight="1">
      <c r="A136" s="38"/>
      <c r="B136" s="66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</row>
    <row r="137" spans="1:24" ht="14.25" customHeight="1">
      <c r="A137" s="38"/>
      <c r="B137" s="66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</row>
    <row r="138" spans="1:24" ht="14.25" customHeight="1">
      <c r="A138" s="38"/>
      <c r="B138" s="66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</row>
    <row r="139" spans="1:24" ht="14.25" customHeight="1">
      <c r="A139" s="38"/>
      <c r="B139" s="66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</row>
    <row r="140" spans="1:24" ht="14.25" customHeight="1">
      <c r="A140" s="38"/>
      <c r="B140" s="66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</row>
    <row r="141" spans="1:24" ht="14.25" customHeight="1">
      <c r="A141" s="38"/>
      <c r="B141" s="66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</row>
    <row r="142" spans="1:24" ht="14.25" customHeight="1">
      <c r="A142" s="38"/>
      <c r="B142" s="66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</row>
    <row r="143" spans="1:24" ht="14.25" customHeight="1">
      <c r="A143" s="38"/>
      <c r="B143" s="66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</row>
    <row r="144" spans="1:24" ht="14.25" customHeight="1">
      <c r="A144" s="38"/>
      <c r="B144" s="66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</row>
    <row r="145" spans="1:24" ht="14.25" customHeight="1">
      <c r="A145" s="38"/>
      <c r="B145" s="66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</row>
    <row r="146" spans="1:24" ht="14.25" customHeight="1">
      <c r="A146" s="38"/>
      <c r="B146" s="66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</row>
    <row r="147" spans="1:24" ht="14.25" customHeight="1">
      <c r="A147" s="38"/>
      <c r="B147" s="66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</row>
    <row r="148" spans="1:24" ht="14.25" customHeight="1">
      <c r="A148" s="38"/>
      <c r="B148" s="66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</row>
    <row r="149" spans="1:24" ht="14.25" customHeight="1">
      <c r="A149" s="38"/>
      <c r="B149" s="66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</row>
    <row r="150" spans="1:24" ht="14.25" customHeight="1">
      <c r="A150" s="38"/>
      <c r="B150" s="66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</row>
    <row r="151" spans="1:24" ht="14.25" customHeight="1">
      <c r="A151" s="38"/>
      <c r="B151" s="66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</row>
    <row r="152" spans="1:24" ht="14.25" customHeight="1">
      <c r="A152" s="38"/>
      <c r="B152" s="66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</row>
    <row r="153" spans="1:24" ht="14.25" customHeight="1">
      <c r="A153" s="38"/>
      <c r="B153" s="66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</row>
    <row r="154" spans="1:24" ht="14.25" customHeight="1">
      <c r="A154" s="38"/>
      <c r="B154" s="66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</row>
    <row r="155" spans="1:24" ht="14.25" customHeight="1">
      <c r="A155" s="38"/>
      <c r="B155" s="66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</row>
    <row r="156" spans="1:24" ht="14.25" customHeight="1">
      <c r="A156" s="38"/>
      <c r="B156" s="66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</row>
    <row r="157" spans="1:24" ht="14.25" customHeight="1">
      <c r="A157" s="38"/>
      <c r="B157" s="66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</row>
    <row r="158" spans="1:24" ht="14.25" customHeight="1">
      <c r="A158" s="38"/>
      <c r="B158" s="66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</row>
    <row r="159" spans="1:24" ht="14.25" customHeight="1">
      <c r="A159" s="38"/>
      <c r="B159" s="66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</row>
    <row r="160" spans="1:24" ht="14.25" customHeight="1">
      <c r="A160" s="38"/>
      <c r="B160" s="66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</row>
    <row r="161" spans="1:24" ht="14.25" customHeight="1">
      <c r="A161" s="38"/>
      <c r="B161" s="66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</row>
    <row r="162" spans="1:24" ht="14.25" customHeight="1">
      <c r="A162" s="38"/>
      <c r="B162" s="66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</row>
    <row r="163" spans="1:24" ht="14.25" customHeight="1">
      <c r="A163" s="38"/>
      <c r="B163" s="66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</row>
    <row r="164" spans="1:24" ht="14.25" customHeight="1">
      <c r="A164" s="38"/>
      <c r="B164" s="66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</row>
    <row r="165" spans="1:24" ht="14.25" customHeight="1">
      <c r="A165" s="38"/>
      <c r="B165" s="66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</row>
    <row r="166" spans="1:24" ht="14.25" customHeight="1">
      <c r="A166" s="38"/>
      <c r="B166" s="66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</row>
    <row r="167" spans="1:24" ht="14.25" customHeight="1">
      <c r="A167" s="38"/>
      <c r="B167" s="66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</row>
    <row r="168" spans="1:24" ht="14.25" customHeight="1">
      <c r="A168" s="38"/>
      <c r="B168" s="66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</row>
    <row r="169" spans="1:24" ht="14.25" customHeight="1">
      <c r="A169" s="38"/>
      <c r="B169" s="66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</row>
    <row r="170" spans="1:24" ht="14.25" customHeight="1">
      <c r="A170" s="38"/>
      <c r="B170" s="66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</row>
    <row r="171" spans="1:24" ht="14.25" customHeight="1">
      <c r="A171" s="38"/>
      <c r="B171" s="66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</row>
    <row r="172" spans="1:24" ht="14.25" customHeight="1">
      <c r="A172" s="38"/>
      <c r="B172" s="66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</row>
    <row r="173" spans="1:24" ht="14.25" customHeight="1">
      <c r="A173" s="38"/>
      <c r="B173" s="66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</row>
    <row r="174" spans="1:24" ht="14.25" customHeight="1">
      <c r="A174" s="38"/>
      <c r="B174" s="66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</row>
    <row r="175" spans="1:24" ht="14.25" customHeight="1">
      <c r="A175" s="38"/>
      <c r="B175" s="66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</row>
    <row r="176" spans="1:24" ht="14.25" customHeight="1">
      <c r="A176" s="38"/>
      <c r="B176" s="66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</row>
    <row r="177" spans="1:24" ht="14.25" customHeight="1">
      <c r="A177" s="38"/>
      <c r="B177" s="66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</row>
    <row r="178" spans="1:24" ht="14.25" customHeight="1">
      <c r="A178" s="38"/>
      <c r="B178" s="66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</row>
    <row r="179" spans="1:24" ht="14.25" customHeight="1">
      <c r="A179" s="38"/>
      <c r="B179" s="66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</row>
    <row r="180" spans="1:24" ht="14.25" customHeight="1">
      <c r="A180" s="38"/>
      <c r="B180" s="66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</row>
    <row r="181" spans="1:24" ht="14.25" customHeight="1">
      <c r="A181" s="38"/>
      <c r="B181" s="66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</row>
    <row r="182" spans="1:24" ht="14.25" customHeight="1">
      <c r="A182" s="38"/>
      <c r="B182" s="66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</row>
    <row r="183" spans="1:24" ht="14.25" customHeight="1">
      <c r="A183" s="38"/>
      <c r="B183" s="66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</row>
    <row r="184" spans="1:24" ht="14.25" customHeight="1">
      <c r="A184" s="38"/>
      <c r="B184" s="66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</row>
    <row r="185" spans="1:24" ht="14.25" customHeight="1">
      <c r="A185" s="38"/>
      <c r="B185" s="66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</row>
    <row r="186" spans="1:24" ht="14.25" customHeight="1">
      <c r="A186" s="38"/>
      <c r="B186" s="66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</row>
    <row r="187" spans="1:24" ht="14.25" customHeight="1">
      <c r="A187" s="38"/>
      <c r="B187" s="66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</row>
    <row r="188" spans="1:24" ht="14.25" customHeight="1">
      <c r="A188" s="38"/>
      <c r="B188" s="66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</row>
    <row r="189" spans="1:24" ht="14.25" customHeight="1">
      <c r="A189" s="38"/>
      <c r="B189" s="66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</row>
    <row r="190" spans="1:24" ht="14.25" customHeight="1">
      <c r="A190" s="38"/>
      <c r="B190" s="66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</row>
    <row r="191" spans="1:24" ht="14.25" customHeight="1">
      <c r="A191" s="38"/>
      <c r="B191" s="66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</row>
    <row r="192" spans="1:24" ht="14.25" customHeight="1">
      <c r="A192" s="38"/>
      <c r="B192" s="66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</row>
    <row r="193" spans="1:24" ht="14.25" customHeight="1">
      <c r="A193" s="38"/>
      <c r="B193" s="66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</row>
    <row r="194" spans="1:24" ht="14.25" customHeight="1">
      <c r="A194" s="38"/>
      <c r="B194" s="66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</row>
    <row r="195" spans="1:24" ht="14.25" customHeight="1">
      <c r="A195" s="38"/>
      <c r="B195" s="66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</row>
    <row r="196" spans="1:24" ht="14.25" customHeight="1">
      <c r="A196" s="38"/>
      <c r="B196" s="66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</row>
    <row r="197" spans="1:24" ht="14.25" customHeight="1">
      <c r="A197" s="38"/>
      <c r="B197" s="66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</row>
    <row r="198" spans="1:24" ht="14.25" customHeight="1">
      <c r="A198" s="38"/>
      <c r="B198" s="66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</row>
    <row r="199" spans="1:24" ht="14.25" customHeight="1">
      <c r="A199" s="38"/>
      <c r="B199" s="66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</row>
    <row r="200" spans="1:24" ht="14.25" customHeight="1">
      <c r="A200" s="38"/>
      <c r="B200" s="66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</row>
    <row r="201" spans="1:24" ht="14.25" customHeight="1">
      <c r="A201" s="38"/>
      <c r="B201" s="66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</row>
    <row r="202" spans="1:24" ht="14.25" customHeight="1">
      <c r="A202" s="38"/>
      <c r="B202" s="66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</row>
    <row r="203" spans="1:24" ht="14.25" customHeight="1">
      <c r="A203" s="38"/>
      <c r="B203" s="66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</row>
    <row r="204" spans="1:24" ht="14.25" customHeight="1">
      <c r="A204" s="38"/>
      <c r="B204" s="66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</row>
    <row r="205" spans="1:24" ht="14.25" customHeight="1">
      <c r="A205" s="38"/>
      <c r="B205" s="66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</row>
    <row r="206" spans="1:24" ht="14.25" customHeight="1">
      <c r="A206" s="38"/>
      <c r="B206" s="66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</row>
    <row r="207" spans="1:24" ht="14.25" customHeight="1">
      <c r="A207" s="38"/>
      <c r="B207" s="66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</row>
    <row r="208" spans="1:24" ht="14.25" customHeight="1">
      <c r="A208" s="38"/>
      <c r="B208" s="66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</row>
    <row r="209" spans="1:24" ht="14.25" customHeight="1">
      <c r="A209" s="38"/>
      <c r="B209" s="66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</row>
    <row r="210" spans="1:24" ht="14.25" customHeight="1">
      <c r="A210" s="38"/>
      <c r="B210" s="66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</row>
    <row r="211" spans="1:24" ht="14.25" customHeight="1">
      <c r="A211" s="38"/>
      <c r="B211" s="66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</row>
    <row r="212" spans="1:24" ht="14.25" customHeight="1">
      <c r="A212" s="38"/>
      <c r="B212" s="66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</row>
    <row r="213" spans="1:24" ht="14.25" customHeight="1">
      <c r="A213" s="38"/>
      <c r="B213" s="66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</row>
    <row r="214" spans="1:24" ht="14.25" customHeight="1">
      <c r="A214" s="38"/>
      <c r="B214" s="66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</row>
    <row r="215" spans="1:24" ht="14.25" customHeight="1">
      <c r="A215" s="38"/>
      <c r="B215" s="66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</row>
    <row r="216" spans="1:24" ht="14.25" customHeight="1">
      <c r="A216" s="38"/>
      <c r="B216" s="66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</row>
    <row r="217" spans="1:24" ht="14.25" customHeight="1">
      <c r="A217" s="38"/>
      <c r="B217" s="66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</row>
    <row r="218" spans="1:24" ht="14.25" customHeight="1">
      <c r="A218" s="38"/>
      <c r="B218" s="66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</row>
    <row r="219" spans="1:24" ht="14.25" customHeight="1">
      <c r="A219" s="38"/>
      <c r="B219" s="66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</row>
    <row r="220" spans="1:24" ht="14.25" customHeight="1">
      <c r="A220" s="38"/>
      <c r="B220" s="66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</row>
    <row r="221" spans="1:24" ht="14.25" customHeight="1">
      <c r="A221" s="38"/>
      <c r="B221" s="66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</row>
    <row r="222" spans="1:24" ht="14.25" customHeight="1">
      <c r="A222" s="38"/>
      <c r="B222" s="66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</row>
    <row r="223" spans="1:24" ht="14.25" customHeight="1">
      <c r="A223" s="38"/>
      <c r="B223" s="66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</row>
    <row r="224" spans="1:24" ht="14.25" customHeight="1">
      <c r="A224" s="38"/>
      <c r="B224" s="66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</row>
    <row r="225" spans="1:24" ht="14.25" customHeight="1">
      <c r="A225" s="38"/>
      <c r="B225" s="66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</row>
    <row r="226" spans="1:24" ht="14.25" customHeight="1">
      <c r="A226" s="38"/>
      <c r="B226" s="66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</row>
    <row r="227" spans="1:24" ht="14.25" customHeight="1">
      <c r="A227" s="38"/>
      <c r="B227" s="66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</row>
    <row r="228" spans="1:24" ht="14.25" customHeight="1">
      <c r="A228" s="38"/>
      <c r="B228" s="66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</row>
    <row r="229" spans="1:24" ht="14.25" customHeight="1">
      <c r="A229" s="38"/>
      <c r="B229" s="66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</row>
    <row r="230" spans="1:24" ht="14.25" customHeight="1">
      <c r="A230" s="38"/>
      <c r="B230" s="66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</row>
    <row r="231" spans="1:24" ht="14.25" customHeight="1">
      <c r="A231" s="38"/>
      <c r="B231" s="66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</row>
    <row r="232" spans="1:24" ht="14.25" customHeight="1">
      <c r="A232" s="38"/>
      <c r="B232" s="66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</row>
    <row r="233" spans="1:24" ht="14.25" customHeight="1">
      <c r="A233" s="38"/>
      <c r="B233" s="66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</row>
    <row r="234" spans="1:24" ht="14.25" customHeight="1">
      <c r="A234" s="38"/>
      <c r="B234" s="66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</row>
    <row r="235" spans="1:24" ht="14.25" customHeight="1">
      <c r="A235" s="38"/>
      <c r="B235" s="66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</row>
    <row r="236" spans="1:24" ht="14.25" customHeight="1">
      <c r="A236" s="38"/>
      <c r="B236" s="66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</row>
    <row r="237" spans="1:24" ht="14.25" customHeight="1">
      <c r="A237" s="38"/>
      <c r="B237" s="66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</row>
    <row r="238" spans="1:24" ht="14.25" customHeight="1">
      <c r="A238" s="38"/>
      <c r="B238" s="66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</row>
    <row r="239" spans="1:24" ht="14.25" customHeight="1">
      <c r="A239" s="38"/>
      <c r="B239" s="66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</row>
    <row r="240" spans="1:24" ht="14.25" customHeight="1">
      <c r="A240" s="38"/>
      <c r="B240" s="66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</row>
    <row r="241" spans="1:24" ht="14.25" customHeight="1">
      <c r="A241" s="38"/>
      <c r="B241" s="66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</row>
    <row r="242" spans="1:24" ht="14.25" customHeight="1">
      <c r="A242" s="38"/>
      <c r="B242" s="66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</row>
    <row r="243" spans="1:24" ht="14.25" customHeight="1">
      <c r="A243" s="38"/>
      <c r="B243" s="66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</row>
    <row r="244" spans="1:24" ht="14.25" customHeight="1">
      <c r="A244" s="38"/>
      <c r="B244" s="66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</row>
    <row r="245" spans="1:24" ht="14.25" customHeight="1">
      <c r="A245" s="38"/>
      <c r="B245" s="66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</row>
    <row r="246" spans="1:24" ht="14.25" customHeight="1">
      <c r="A246" s="38"/>
      <c r="B246" s="66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</row>
    <row r="247" spans="1:24" ht="14.25" customHeight="1">
      <c r="A247" s="38"/>
      <c r="B247" s="66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</row>
    <row r="248" spans="1:24" ht="14.25" customHeight="1">
      <c r="A248" s="38"/>
      <c r="B248" s="66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</row>
    <row r="249" spans="1:24" ht="14.25" customHeight="1">
      <c r="A249" s="38"/>
      <c r="B249" s="66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</row>
    <row r="250" spans="1:24" ht="14.25" customHeight="1">
      <c r="A250" s="38"/>
      <c r="B250" s="66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</row>
    <row r="251" spans="1:24" ht="14.25" customHeight="1">
      <c r="A251" s="38"/>
      <c r="B251" s="66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</row>
    <row r="252" spans="1:24" ht="14.25" customHeight="1">
      <c r="A252" s="38"/>
      <c r="B252" s="66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</row>
    <row r="253" spans="1:24" ht="14.25" customHeight="1">
      <c r="A253" s="38"/>
      <c r="B253" s="66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</row>
    <row r="254" spans="1:24" ht="14.25" customHeight="1">
      <c r="A254" s="38"/>
      <c r="B254" s="66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</row>
    <row r="255" spans="1:24" ht="14.25" customHeight="1">
      <c r="A255" s="38"/>
      <c r="B255" s="66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</row>
    <row r="256" spans="1:24" ht="14.25" customHeight="1">
      <c r="A256" s="38"/>
      <c r="B256" s="66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</row>
    <row r="257" spans="1:24" ht="14.25" customHeight="1">
      <c r="A257" s="38"/>
      <c r="B257" s="66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</row>
    <row r="258" spans="1:24" ht="14.25" customHeight="1">
      <c r="A258" s="38"/>
      <c r="B258" s="66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</row>
    <row r="259" spans="1:24" ht="14.25" customHeight="1">
      <c r="A259" s="38"/>
      <c r="B259" s="66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</row>
    <row r="260" spans="1:24" ht="14.25" customHeight="1">
      <c r="A260" s="38"/>
      <c r="B260" s="66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</row>
    <row r="261" spans="1:24" ht="14.25" customHeight="1">
      <c r="A261" s="38"/>
      <c r="B261" s="66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</row>
    <row r="262" spans="1:24" ht="14.25" customHeight="1">
      <c r="A262" s="38"/>
      <c r="B262" s="66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</row>
    <row r="263" spans="1:24" ht="14.25" customHeight="1">
      <c r="A263" s="38"/>
      <c r="B263" s="66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</row>
    <row r="264" spans="1:24" ht="14.25" customHeight="1">
      <c r="A264" s="38"/>
      <c r="B264" s="66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</row>
    <row r="265" spans="1:24" ht="14.25" customHeight="1">
      <c r="A265" s="38"/>
      <c r="B265" s="66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</row>
    <row r="266" spans="1:24" ht="14.25" customHeight="1">
      <c r="A266" s="38"/>
      <c r="B266" s="66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</row>
    <row r="267" spans="1:24" ht="14.25" customHeight="1">
      <c r="A267" s="38"/>
      <c r="B267" s="66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</row>
    <row r="268" spans="1:24" ht="14.25" customHeight="1">
      <c r="A268" s="38"/>
      <c r="B268" s="66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</row>
    <row r="269" spans="1:24" ht="14.25" customHeight="1">
      <c r="A269" s="38"/>
      <c r="B269" s="66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</row>
    <row r="270" spans="1:24" ht="14.25" customHeight="1">
      <c r="A270" s="38"/>
      <c r="B270" s="66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</row>
    <row r="271" spans="1:24" ht="14.25" customHeight="1">
      <c r="A271" s="38"/>
      <c r="B271" s="66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</row>
    <row r="272" spans="1:24" ht="14.25" customHeight="1">
      <c r="A272" s="38"/>
      <c r="B272" s="66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</row>
    <row r="273" spans="1:24" ht="14.25" customHeight="1">
      <c r="A273" s="38"/>
      <c r="B273" s="66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</row>
    <row r="274" spans="1:24" ht="14.25" customHeight="1">
      <c r="A274" s="38"/>
      <c r="B274" s="66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</row>
    <row r="275" spans="1:24" ht="14.25" customHeight="1">
      <c r="A275" s="38"/>
      <c r="B275" s="66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</row>
    <row r="276" spans="1:24" ht="14.25" customHeight="1">
      <c r="A276" s="38"/>
      <c r="B276" s="66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</row>
    <row r="277" spans="1:24" ht="14.25" customHeight="1">
      <c r="A277" s="38"/>
      <c r="B277" s="66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</row>
    <row r="278" spans="1:24" ht="14.25" customHeight="1">
      <c r="A278" s="38"/>
      <c r="B278" s="66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</row>
    <row r="279" spans="1:24" ht="14.25" customHeight="1">
      <c r="A279" s="38"/>
      <c r="B279" s="66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</row>
    <row r="280" spans="1:24" ht="14.25" customHeight="1">
      <c r="A280" s="38"/>
      <c r="B280" s="66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</row>
    <row r="281" spans="1:24" ht="14.25" customHeight="1">
      <c r="A281" s="38"/>
      <c r="B281" s="66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</row>
    <row r="282" spans="1:24" ht="14.25" customHeight="1">
      <c r="A282" s="38"/>
      <c r="B282" s="66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</row>
    <row r="283" spans="1:24" ht="14.25" customHeight="1">
      <c r="A283" s="38"/>
      <c r="B283" s="66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</row>
    <row r="284" spans="1:24" ht="14.25" customHeight="1">
      <c r="A284" s="38"/>
      <c r="B284" s="66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</row>
    <row r="285" spans="1:24" ht="14.25" customHeight="1">
      <c r="A285" s="38"/>
      <c r="B285" s="66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</row>
    <row r="286" spans="1:24" ht="14.25" customHeight="1">
      <c r="A286" s="38"/>
      <c r="B286" s="66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</row>
    <row r="287" spans="1:24" ht="14.25" customHeight="1">
      <c r="A287" s="38"/>
      <c r="B287" s="66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</row>
    <row r="288" spans="1:24" ht="14.25" customHeight="1">
      <c r="A288" s="38"/>
      <c r="B288" s="66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</row>
    <row r="289" spans="1:24" ht="14.25" customHeight="1">
      <c r="A289" s="38"/>
      <c r="B289" s="66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</row>
    <row r="290" spans="1:24" ht="14.25" customHeight="1">
      <c r="A290" s="38"/>
      <c r="B290" s="66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</row>
    <row r="291" spans="1:24" ht="14.25" customHeight="1">
      <c r="A291" s="38"/>
      <c r="B291" s="66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</row>
    <row r="292" spans="1:24" ht="14.25" customHeight="1">
      <c r="A292" s="38"/>
      <c r="B292" s="66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</row>
    <row r="293" spans="1:24" ht="14.25" customHeight="1">
      <c r="A293" s="38"/>
      <c r="B293" s="66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</row>
    <row r="294" spans="1:24" ht="14.25" customHeight="1">
      <c r="A294" s="38"/>
      <c r="B294" s="66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</row>
    <row r="295" spans="1:24" ht="14.25" customHeight="1">
      <c r="A295" s="38"/>
      <c r="B295" s="66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</row>
    <row r="296" spans="1:24" ht="14.25" customHeight="1">
      <c r="A296" s="38"/>
      <c r="B296" s="66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</row>
    <row r="297" spans="1:24" ht="14.25" customHeight="1">
      <c r="A297" s="38"/>
      <c r="B297" s="66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</row>
    <row r="298" spans="1:24" ht="14.25" customHeight="1">
      <c r="A298" s="38"/>
      <c r="B298" s="66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</row>
    <row r="299" spans="1:24" ht="14.25" customHeight="1">
      <c r="A299" s="38"/>
      <c r="B299" s="66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</row>
    <row r="300" spans="1:24" ht="14.25" customHeight="1">
      <c r="A300" s="38"/>
      <c r="B300" s="66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</row>
    <row r="301" spans="1:24" ht="14.25" customHeight="1">
      <c r="A301" s="38"/>
      <c r="B301" s="66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</row>
    <row r="302" spans="1:24" ht="14.25" customHeight="1">
      <c r="A302" s="38"/>
      <c r="B302" s="66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</row>
    <row r="303" spans="1:24" ht="14.25" customHeight="1">
      <c r="A303" s="38"/>
      <c r="B303" s="66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</row>
    <row r="304" spans="1:24" ht="14.25" customHeight="1">
      <c r="A304" s="38"/>
      <c r="B304" s="66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</row>
    <row r="305" spans="1:24" ht="14.25" customHeight="1">
      <c r="A305" s="38"/>
      <c r="B305" s="66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</row>
    <row r="306" spans="1:24" ht="14.25" customHeight="1">
      <c r="A306" s="38"/>
      <c r="B306" s="66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</row>
    <row r="307" spans="1:24" ht="14.25" customHeight="1">
      <c r="A307" s="38"/>
      <c r="B307" s="66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</row>
    <row r="308" spans="1:24" ht="14.25" customHeight="1">
      <c r="A308" s="38"/>
      <c r="B308" s="66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</row>
    <row r="309" spans="1:24" ht="14.25" customHeight="1">
      <c r="A309" s="38"/>
      <c r="B309" s="66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</row>
    <row r="310" spans="1:24" ht="14.25" customHeight="1">
      <c r="A310" s="38"/>
      <c r="B310" s="66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</row>
    <row r="311" spans="1:24" ht="14.25" customHeight="1">
      <c r="A311" s="38"/>
      <c r="B311" s="66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</row>
    <row r="312" spans="1:24" ht="14.25" customHeight="1">
      <c r="A312" s="38"/>
      <c r="B312" s="66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</row>
    <row r="313" spans="1:24" ht="14.25" customHeight="1">
      <c r="A313" s="38"/>
      <c r="B313" s="66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</row>
    <row r="314" spans="1:24" ht="14.25" customHeight="1">
      <c r="A314" s="38"/>
      <c r="B314" s="66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</row>
    <row r="315" spans="1:24" ht="14.25" customHeight="1">
      <c r="A315" s="38"/>
      <c r="B315" s="66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</row>
    <row r="316" spans="1:24" ht="14.25" customHeight="1">
      <c r="A316" s="38"/>
      <c r="B316" s="66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</row>
    <row r="317" spans="1:24" ht="14.25" customHeight="1">
      <c r="A317" s="38"/>
      <c r="B317" s="66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</row>
    <row r="318" spans="1:24" ht="14.25" customHeight="1">
      <c r="A318" s="38"/>
      <c r="B318" s="66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</row>
    <row r="319" spans="1:24" ht="14.25" customHeight="1">
      <c r="A319" s="38"/>
      <c r="B319" s="66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</row>
    <row r="320" spans="1:24" ht="14.25" customHeight="1">
      <c r="A320" s="38"/>
      <c r="B320" s="66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</row>
    <row r="321" spans="1:24" ht="14.25" customHeight="1">
      <c r="A321" s="38"/>
      <c r="B321" s="66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</row>
    <row r="322" spans="1:24" ht="14.25" customHeight="1">
      <c r="A322" s="38"/>
      <c r="B322" s="66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</row>
    <row r="323" spans="1:24" ht="14.25" customHeight="1">
      <c r="A323" s="38"/>
      <c r="B323" s="66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</row>
    <row r="324" spans="1:24" ht="14.25" customHeight="1">
      <c r="A324" s="38"/>
      <c r="B324" s="66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</row>
    <row r="325" spans="1:24" ht="14.25" customHeight="1">
      <c r="A325" s="38"/>
      <c r="B325" s="66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</row>
    <row r="326" spans="1:24" ht="14.25" customHeight="1">
      <c r="A326" s="38"/>
      <c r="B326" s="66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</row>
    <row r="327" spans="1:24" ht="14.25" customHeight="1">
      <c r="A327" s="38"/>
      <c r="B327" s="66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</row>
    <row r="328" spans="1:24" ht="14.25" customHeight="1">
      <c r="A328" s="38"/>
      <c r="B328" s="66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</row>
    <row r="329" spans="1:24" ht="14.25" customHeight="1">
      <c r="A329" s="38"/>
      <c r="B329" s="66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</row>
    <row r="330" spans="1:24" ht="14.25" customHeight="1">
      <c r="A330" s="38"/>
      <c r="B330" s="66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</row>
    <row r="331" spans="1:24" ht="14.25" customHeight="1">
      <c r="A331" s="38"/>
      <c r="B331" s="66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</row>
    <row r="332" spans="1:24" ht="14.25" customHeight="1">
      <c r="A332" s="38"/>
      <c r="B332" s="66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</row>
    <row r="333" spans="1:24" ht="14.25" customHeight="1">
      <c r="A333" s="38"/>
      <c r="B333" s="66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</row>
    <row r="334" spans="1:24" ht="14.25" customHeight="1">
      <c r="A334" s="38"/>
      <c r="B334" s="66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</row>
    <row r="335" spans="1:24" ht="14.25" customHeight="1">
      <c r="A335" s="38"/>
      <c r="B335" s="66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</row>
    <row r="336" spans="1:24" ht="14.25" customHeight="1">
      <c r="A336" s="38"/>
      <c r="B336" s="66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</row>
    <row r="337" spans="1:24" ht="14.25" customHeight="1">
      <c r="A337" s="38"/>
      <c r="B337" s="66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</row>
    <row r="338" spans="1:24" ht="14.25" customHeight="1">
      <c r="A338" s="38"/>
      <c r="B338" s="66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</row>
    <row r="339" spans="1:24" ht="14.25" customHeight="1">
      <c r="A339" s="38"/>
      <c r="B339" s="66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</row>
    <row r="340" spans="1:24" ht="14.25" customHeight="1">
      <c r="A340" s="38"/>
      <c r="B340" s="66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</row>
    <row r="341" spans="1:24" ht="14.25" customHeight="1">
      <c r="A341" s="38"/>
      <c r="B341" s="66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</row>
    <row r="342" spans="1:24" ht="14.25" customHeight="1">
      <c r="A342" s="38"/>
      <c r="B342" s="66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</row>
    <row r="343" spans="1:24" ht="14.25" customHeight="1">
      <c r="A343" s="38"/>
      <c r="B343" s="66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</row>
    <row r="344" spans="1:24" ht="14.25" customHeight="1">
      <c r="A344" s="38"/>
      <c r="B344" s="66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</row>
    <row r="345" spans="1:24" ht="14.25" customHeight="1">
      <c r="A345" s="38"/>
      <c r="B345" s="66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</row>
    <row r="346" spans="1:24" ht="14.25" customHeight="1">
      <c r="A346" s="38"/>
      <c r="B346" s="66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</row>
    <row r="347" spans="1:24" ht="14.25" customHeight="1">
      <c r="A347" s="38"/>
      <c r="B347" s="66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</row>
    <row r="348" spans="1:24" ht="14.25" customHeight="1">
      <c r="A348" s="38"/>
      <c r="B348" s="66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</row>
    <row r="349" spans="1:24" ht="14.25" customHeight="1">
      <c r="A349" s="38"/>
      <c r="B349" s="66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</row>
    <row r="350" spans="1:24" ht="14.25" customHeight="1">
      <c r="A350" s="38"/>
      <c r="B350" s="66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</row>
    <row r="351" spans="1:24" ht="14.25" customHeight="1">
      <c r="A351" s="38"/>
      <c r="B351" s="66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</row>
    <row r="352" spans="1:24" ht="14.25" customHeight="1">
      <c r="A352" s="38"/>
      <c r="B352" s="66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</row>
    <row r="353" spans="1:24" ht="14.25" customHeight="1">
      <c r="A353" s="38"/>
      <c r="B353" s="66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</row>
    <row r="354" spans="1:24" ht="14.25" customHeight="1">
      <c r="A354" s="38"/>
      <c r="B354" s="66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</row>
    <row r="355" spans="1:24" ht="14.25" customHeight="1">
      <c r="A355" s="38"/>
      <c r="B355" s="66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</row>
    <row r="356" spans="1:24" ht="14.25" customHeight="1">
      <c r="A356" s="38"/>
      <c r="B356" s="66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</row>
    <row r="357" spans="1:24" ht="14.25" customHeight="1">
      <c r="A357" s="38"/>
      <c r="B357" s="66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</row>
    <row r="358" spans="1:24" ht="14.25" customHeight="1">
      <c r="A358" s="38"/>
      <c r="B358" s="66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</row>
    <row r="359" spans="1:24" ht="14.25" customHeight="1">
      <c r="A359" s="38"/>
      <c r="B359" s="66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</row>
    <row r="360" spans="1:24" ht="14.25" customHeight="1">
      <c r="A360" s="38"/>
      <c r="B360" s="66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</row>
    <row r="361" spans="1:24" ht="14.25" customHeight="1">
      <c r="A361" s="38"/>
      <c r="B361" s="66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</row>
    <row r="362" spans="1:24" ht="14.25" customHeight="1">
      <c r="A362" s="38"/>
      <c r="B362" s="66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</row>
    <row r="363" spans="1:24" ht="14.25" customHeight="1">
      <c r="A363" s="38"/>
      <c r="B363" s="66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</row>
    <row r="364" spans="1:24" ht="14.25" customHeight="1">
      <c r="A364" s="38"/>
      <c r="B364" s="66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</row>
    <row r="365" spans="1:24" ht="14.25" customHeight="1">
      <c r="A365" s="38"/>
      <c r="B365" s="66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</row>
    <row r="366" spans="1:24" ht="14.25" customHeight="1">
      <c r="A366" s="38"/>
      <c r="B366" s="66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</row>
    <row r="367" spans="1:24" ht="14.25" customHeight="1">
      <c r="A367" s="38"/>
      <c r="B367" s="66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</row>
    <row r="368" spans="1:24" ht="14.25" customHeight="1">
      <c r="A368" s="38"/>
      <c r="B368" s="66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</row>
    <row r="369" spans="1:24" ht="14.25" customHeight="1">
      <c r="A369" s="38"/>
      <c r="B369" s="66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</row>
    <row r="370" spans="1:24" ht="14.25" customHeight="1">
      <c r="A370" s="38"/>
      <c r="B370" s="66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</row>
    <row r="371" spans="1:24" ht="14.25" customHeight="1">
      <c r="A371" s="38"/>
      <c r="B371" s="66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</row>
    <row r="372" spans="1:24" ht="14.25" customHeight="1">
      <c r="A372" s="38"/>
      <c r="B372" s="66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</row>
    <row r="373" spans="1:24" ht="14.25" customHeight="1">
      <c r="A373" s="38"/>
      <c r="B373" s="66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</row>
    <row r="374" spans="1:24" ht="14.25" customHeight="1">
      <c r="A374" s="38"/>
      <c r="B374" s="66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</row>
    <row r="375" spans="1:24" ht="14.25" customHeight="1">
      <c r="A375" s="38"/>
      <c r="B375" s="66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</row>
    <row r="376" spans="1:24" ht="14.25" customHeight="1">
      <c r="A376" s="38"/>
      <c r="B376" s="66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</row>
    <row r="377" spans="1:24" ht="14.25" customHeight="1">
      <c r="A377" s="38"/>
      <c r="B377" s="66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</row>
    <row r="378" spans="1:24" ht="14.25" customHeight="1">
      <c r="A378" s="38"/>
      <c r="B378" s="66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</row>
    <row r="379" spans="1:24" ht="14.25" customHeight="1">
      <c r="A379" s="38"/>
      <c r="B379" s="66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</row>
    <row r="380" spans="1:24" ht="14.25" customHeight="1">
      <c r="A380" s="38"/>
      <c r="B380" s="66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</row>
    <row r="381" spans="1:24" ht="14.25" customHeight="1">
      <c r="A381" s="38"/>
      <c r="B381" s="66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</row>
    <row r="382" spans="1:24" ht="14.25" customHeight="1">
      <c r="A382" s="38"/>
      <c r="B382" s="66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</row>
    <row r="383" spans="1:24" ht="14.25" customHeight="1">
      <c r="A383" s="38"/>
      <c r="B383" s="66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</row>
    <row r="384" spans="1:24" ht="14.25" customHeight="1">
      <c r="A384" s="38"/>
      <c r="B384" s="66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</row>
    <row r="385" spans="1:24" ht="14.25" customHeight="1">
      <c r="A385" s="38"/>
      <c r="B385" s="66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</row>
    <row r="386" spans="1:24" ht="14.25" customHeight="1">
      <c r="A386" s="38"/>
      <c r="B386" s="66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</row>
    <row r="387" spans="1:24" ht="14.25" customHeight="1">
      <c r="A387" s="38"/>
      <c r="B387" s="66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</row>
    <row r="388" spans="1:24" ht="14.25" customHeight="1">
      <c r="A388" s="38"/>
      <c r="B388" s="66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</row>
    <row r="389" spans="1:24" ht="14.25" customHeight="1">
      <c r="A389" s="38"/>
      <c r="B389" s="66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</row>
    <row r="390" spans="1:24" ht="14.25" customHeight="1">
      <c r="A390" s="38"/>
      <c r="B390" s="66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</row>
    <row r="391" spans="1:24" ht="14.25" customHeight="1">
      <c r="A391" s="38"/>
      <c r="B391" s="66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</row>
    <row r="392" spans="1:24" ht="14.25" customHeight="1">
      <c r="A392" s="38"/>
      <c r="B392" s="66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</row>
    <row r="393" spans="1:24" ht="14.25" customHeight="1">
      <c r="A393" s="38"/>
      <c r="B393" s="66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</row>
    <row r="394" spans="1:24" ht="14.25" customHeight="1">
      <c r="A394" s="38"/>
      <c r="B394" s="66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</row>
    <row r="395" spans="1:24" ht="14.25" customHeight="1">
      <c r="A395" s="38"/>
      <c r="B395" s="66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</row>
    <row r="396" spans="1:24" ht="14.25" customHeight="1">
      <c r="A396" s="38"/>
      <c r="B396" s="66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</row>
    <row r="397" spans="1:24" ht="14.25" customHeight="1">
      <c r="A397" s="38"/>
      <c r="B397" s="66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</row>
    <row r="398" spans="1:24" ht="14.25" customHeight="1">
      <c r="A398" s="38"/>
      <c r="B398" s="66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</row>
    <row r="399" spans="1:24" ht="14.25" customHeight="1">
      <c r="A399" s="38"/>
      <c r="B399" s="66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</row>
    <row r="400" spans="1:24" ht="14.25" customHeight="1">
      <c r="A400" s="38"/>
      <c r="B400" s="66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</row>
    <row r="401" spans="1:24" ht="14.25" customHeight="1">
      <c r="A401" s="38"/>
      <c r="B401" s="66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</row>
    <row r="402" spans="1:24" ht="14.25" customHeight="1">
      <c r="A402" s="38"/>
      <c r="B402" s="66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</row>
    <row r="403" spans="1:24" ht="14.25" customHeight="1">
      <c r="A403" s="38"/>
      <c r="B403" s="66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</row>
    <row r="404" spans="1:24" ht="14.25" customHeight="1">
      <c r="A404" s="38"/>
      <c r="B404" s="66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</row>
    <row r="405" spans="1:24" ht="14.25" customHeight="1">
      <c r="A405" s="38"/>
      <c r="B405" s="66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</row>
    <row r="406" spans="1:24" ht="14.25" customHeight="1">
      <c r="A406" s="38"/>
      <c r="B406" s="66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</row>
    <row r="407" spans="1:24" ht="14.25" customHeight="1">
      <c r="A407" s="38"/>
      <c r="B407" s="66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</row>
    <row r="408" spans="1:24" ht="14.25" customHeight="1">
      <c r="A408" s="38"/>
      <c r="B408" s="66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</row>
    <row r="409" spans="1:24" ht="14.25" customHeight="1">
      <c r="A409" s="38"/>
      <c r="B409" s="66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</row>
    <row r="410" spans="1:24" ht="14.25" customHeight="1">
      <c r="A410" s="38"/>
      <c r="B410" s="66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</row>
    <row r="411" spans="1:24" ht="14.25" customHeight="1">
      <c r="A411" s="38"/>
      <c r="B411" s="66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</row>
    <row r="412" spans="1:24" ht="14.25" customHeight="1">
      <c r="A412" s="38"/>
      <c r="B412" s="66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</row>
    <row r="413" spans="1:24" ht="14.25" customHeight="1">
      <c r="A413" s="38"/>
      <c r="B413" s="66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</row>
    <row r="414" spans="1:24" ht="14.25" customHeight="1">
      <c r="A414" s="38"/>
      <c r="B414" s="66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</row>
    <row r="415" spans="1:24" ht="14.25" customHeight="1">
      <c r="A415" s="38"/>
      <c r="B415" s="66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</row>
    <row r="416" spans="1:24" ht="14.25" customHeight="1">
      <c r="A416" s="38"/>
      <c r="B416" s="66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</row>
    <row r="417" spans="1:24" ht="14.25" customHeight="1">
      <c r="A417" s="38"/>
      <c r="B417" s="66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</row>
    <row r="418" spans="1:24" ht="14.25" customHeight="1">
      <c r="A418" s="38"/>
      <c r="B418" s="66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</row>
    <row r="419" spans="1:24" ht="14.25" customHeight="1">
      <c r="A419" s="38"/>
      <c r="B419" s="66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</row>
    <row r="420" spans="1:24" ht="14.25" customHeight="1">
      <c r="A420" s="38"/>
      <c r="B420" s="66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</row>
    <row r="421" spans="1:24" ht="14.25" customHeight="1">
      <c r="A421" s="38"/>
      <c r="B421" s="66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</row>
    <row r="422" spans="1:24" ht="14.25" customHeight="1">
      <c r="A422" s="38"/>
      <c r="B422" s="66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</row>
    <row r="423" spans="1:24" ht="14.25" customHeight="1">
      <c r="A423" s="38"/>
      <c r="B423" s="66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</row>
    <row r="424" spans="1:24" ht="14.25" customHeight="1">
      <c r="A424" s="38"/>
      <c r="B424" s="66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</row>
    <row r="425" spans="1:24" ht="14.25" customHeight="1">
      <c r="A425" s="38"/>
      <c r="B425" s="66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</row>
    <row r="426" spans="1:24" ht="14.25" customHeight="1">
      <c r="A426" s="38"/>
      <c r="B426" s="66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</row>
    <row r="427" spans="1:24" ht="14.25" customHeight="1">
      <c r="A427" s="38"/>
      <c r="B427" s="66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</row>
    <row r="428" spans="1:24" ht="14.25" customHeight="1">
      <c r="A428" s="38"/>
      <c r="B428" s="66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</row>
    <row r="429" spans="1:24" ht="14.25" customHeight="1">
      <c r="A429" s="38"/>
      <c r="B429" s="66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</row>
    <row r="430" spans="1:24" ht="14.25" customHeight="1">
      <c r="A430" s="38"/>
      <c r="B430" s="66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</row>
    <row r="431" spans="1:24" ht="14.25" customHeight="1">
      <c r="A431" s="38"/>
      <c r="B431" s="66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</row>
    <row r="432" spans="1:24" ht="14.25" customHeight="1">
      <c r="A432" s="38"/>
      <c r="B432" s="66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</row>
    <row r="433" spans="1:24" ht="14.25" customHeight="1">
      <c r="A433" s="38"/>
      <c r="B433" s="66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</row>
    <row r="434" spans="1:24" ht="14.25" customHeight="1">
      <c r="A434" s="38"/>
      <c r="B434" s="66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</row>
    <row r="435" spans="1:24" ht="14.25" customHeight="1">
      <c r="A435" s="38"/>
      <c r="B435" s="66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</row>
    <row r="436" spans="1:24" ht="14.25" customHeight="1">
      <c r="A436" s="38"/>
      <c r="B436" s="66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</row>
    <row r="437" spans="1:24" ht="14.25" customHeight="1">
      <c r="A437" s="38"/>
      <c r="B437" s="66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</row>
    <row r="438" spans="1:24" ht="14.25" customHeight="1">
      <c r="A438" s="38"/>
      <c r="B438" s="66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</row>
    <row r="439" spans="1:24" ht="14.25" customHeight="1">
      <c r="A439" s="38"/>
      <c r="B439" s="66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</row>
    <row r="440" spans="1:24" ht="14.25" customHeight="1">
      <c r="A440" s="38"/>
      <c r="B440" s="66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</row>
    <row r="441" spans="1:24" ht="14.25" customHeight="1">
      <c r="A441" s="38"/>
      <c r="B441" s="66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</row>
    <row r="442" spans="1:24" ht="14.25" customHeight="1">
      <c r="A442" s="38"/>
      <c r="B442" s="66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</row>
    <row r="443" spans="1:24" ht="14.25" customHeight="1">
      <c r="A443" s="38"/>
      <c r="B443" s="66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</row>
    <row r="444" spans="1:24" ht="14.25" customHeight="1">
      <c r="A444" s="38"/>
      <c r="B444" s="66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</row>
    <row r="445" spans="1:24" ht="14.25" customHeight="1">
      <c r="A445" s="38"/>
      <c r="B445" s="66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</row>
    <row r="446" spans="1:24" ht="14.25" customHeight="1">
      <c r="A446" s="38"/>
      <c r="B446" s="66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</row>
    <row r="447" spans="1:24" ht="14.25" customHeight="1">
      <c r="A447" s="38"/>
      <c r="B447" s="66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</row>
    <row r="448" spans="1:24" ht="14.25" customHeight="1">
      <c r="A448" s="38"/>
      <c r="B448" s="66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</row>
    <row r="449" spans="1:24" ht="14.25" customHeight="1">
      <c r="A449" s="38"/>
      <c r="B449" s="66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</row>
    <row r="450" spans="1:24" ht="14.25" customHeight="1">
      <c r="A450" s="38"/>
      <c r="B450" s="66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</row>
    <row r="451" spans="1:24" ht="14.25" customHeight="1">
      <c r="A451" s="38"/>
      <c r="B451" s="66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</row>
    <row r="452" spans="1:24" ht="14.25" customHeight="1">
      <c r="A452" s="38"/>
      <c r="B452" s="66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</row>
    <row r="453" spans="1:24" ht="14.25" customHeight="1">
      <c r="A453" s="38"/>
      <c r="B453" s="66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</row>
    <row r="454" spans="1:24" ht="14.25" customHeight="1">
      <c r="A454" s="38"/>
      <c r="B454" s="66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</row>
    <row r="455" spans="1:24" ht="14.25" customHeight="1">
      <c r="A455" s="38"/>
      <c r="B455" s="66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</row>
    <row r="456" spans="1:24" ht="14.25" customHeight="1">
      <c r="A456" s="38"/>
      <c r="B456" s="66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</row>
    <row r="457" spans="1:24" ht="14.25" customHeight="1">
      <c r="A457" s="38"/>
      <c r="B457" s="66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</row>
    <row r="458" spans="1:24" ht="14.25" customHeight="1">
      <c r="A458" s="38"/>
      <c r="B458" s="66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</row>
    <row r="459" spans="1:24" ht="14.25" customHeight="1">
      <c r="A459" s="38"/>
      <c r="B459" s="66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</row>
    <row r="460" spans="1:24" ht="14.25" customHeight="1">
      <c r="A460" s="38"/>
      <c r="B460" s="66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</row>
    <row r="461" spans="1:24" ht="14.25" customHeight="1">
      <c r="A461" s="38"/>
      <c r="B461" s="66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</row>
    <row r="462" spans="1:24" ht="14.25" customHeight="1">
      <c r="A462" s="38"/>
      <c r="B462" s="66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</row>
    <row r="463" spans="1:24" ht="14.25" customHeight="1">
      <c r="A463" s="38"/>
      <c r="B463" s="66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</row>
    <row r="464" spans="1:24" ht="14.25" customHeight="1">
      <c r="A464" s="38"/>
      <c r="B464" s="66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</row>
    <row r="465" spans="1:24" ht="14.25" customHeight="1">
      <c r="A465" s="38"/>
      <c r="B465" s="66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</row>
    <row r="466" spans="1:24" ht="14.25" customHeight="1">
      <c r="A466" s="38"/>
      <c r="B466" s="66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</row>
    <row r="467" spans="1:24" ht="14.25" customHeight="1">
      <c r="A467" s="38"/>
      <c r="B467" s="66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</row>
    <row r="468" spans="1:24" ht="14.25" customHeight="1">
      <c r="A468" s="38"/>
      <c r="B468" s="66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</row>
    <row r="469" spans="1:24" ht="14.25" customHeight="1">
      <c r="A469" s="38"/>
      <c r="B469" s="66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</row>
    <row r="470" spans="1:24" ht="14.25" customHeight="1">
      <c r="A470" s="38"/>
      <c r="B470" s="66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</row>
    <row r="471" spans="1:24" ht="14.25" customHeight="1">
      <c r="A471" s="38"/>
      <c r="B471" s="66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</row>
    <row r="472" spans="1:24" ht="14.25" customHeight="1">
      <c r="A472" s="38"/>
      <c r="B472" s="66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</row>
    <row r="473" spans="1:24" ht="14.25" customHeight="1">
      <c r="A473" s="38"/>
      <c r="B473" s="66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</row>
    <row r="474" spans="1:24" ht="14.25" customHeight="1">
      <c r="A474" s="38"/>
      <c r="B474" s="66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</row>
    <row r="475" spans="1:24" ht="14.25" customHeight="1">
      <c r="A475" s="38"/>
      <c r="B475" s="66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</row>
    <row r="476" spans="1:24" ht="14.25" customHeight="1">
      <c r="A476" s="38"/>
      <c r="B476" s="66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</row>
    <row r="477" spans="1:24" ht="14.25" customHeight="1">
      <c r="A477" s="38"/>
      <c r="B477" s="66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</row>
    <row r="478" spans="1:24" ht="14.25" customHeight="1">
      <c r="A478" s="38"/>
      <c r="B478" s="66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</row>
    <row r="479" spans="1:24" ht="14.25" customHeight="1">
      <c r="A479" s="38"/>
      <c r="B479" s="66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</row>
    <row r="480" spans="1:24" ht="14.25" customHeight="1">
      <c r="A480" s="38"/>
      <c r="B480" s="66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</row>
    <row r="481" spans="1:24" ht="14.25" customHeight="1">
      <c r="A481" s="38"/>
      <c r="B481" s="66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</row>
    <row r="482" spans="1:24" ht="14.25" customHeight="1">
      <c r="A482" s="38"/>
      <c r="B482" s="66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</row>
    <row r="483" spans="1:24" ht="14.25" customHeight="1">
      <c r="A483" s="38"/>
      <c r="B483" s="66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</row>
    <row r="484" spans="1:24" ht="14.25" customHeight="1">
      <c r="A484" s="38"/>
      <c r="B484" s="66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</row>
    <row r="485" spans="1:24" ht="14.25" customHeight="1">
      <c r="A485" s="38"/>
      <c r="B485" s="66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</row>
    <row r="486" spans="1:24" ht="14.25" customHeight="1">
      <c r="A486" s="38"/>
      <c r="B486" s="66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</row>
    <row r="487" spans="1:24" ht="14.25" customHeight="1">
      <c r="A487" s="38"/>
      <c r="B487" s="66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</row>
    <row r="488" spans="1:24" ht="14.25" customHeight="1">
      <c r="A488" s="38"/>
      <c r="B488" s="66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</row>
    <row r="489" spans="1:24" ht="14.25" customHeight="1">
      <c r="A489" s="38"/>
      <c r="B489" s="66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</row>
    <row r="490" spans="1:24" ht="14.25" customHeight="1">
      <c r="A490" s="38"/>
      <c r="B490" s="66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</row>
    <row r="491" spans="1:24" ht="14.25" customHeight="1">
      <c r="A491" s="38"/>
      <c r="B491" s="66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</row>
    <row r="492" spans="1:24" ht="14.25" customHeight="1">
      <c r="A492" s="38"/>
      <c r="B492" s="66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</row>
    <row r="493" spans="1:24" ht="14.25" customHeight="1">
      <c r="A493" s="38"/>
      <c r="B493" s="66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</row>
    <row r="494" spans="1:24" ht="14.25" customHeight="1">
      <c r="A494" s="38"/>
      <c r="B494" s="66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</row>
    <row r="495" spans="1:24" ht="14.25" customHeight="1">
      <c r="A495" s="38"/>
      <c r="B495" s="66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</row>
    <row r="496" spans="1:24" ht="14.25" customHeight="1">
      <c r="A496" s="38"/>
      <c r="B496" s="66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</row>
    <row r="497" spans="1:24" ht="14.25" customHeight="1">
      <c r="A497" s="38"/>
      <c r="B497" s="66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</row>
    <row r="498" spans="1:24" ht="14.25" customHeight="1">
      <c r="A498" s="38"/>
      <c r="B498" s="66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</row>
    <row r="499" spans="1:24" ht="14.25" customHeight="1">
      <c r="A499" s="38"/>
      <c r="B499" s="66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</row>
    <row r="500" spans="1:24" ht="14.25" customHeight="1">
      <c r="A500" s="38"/>
      <c r="B500" s="66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</row>
    <row r="501" spans="1:24" ht="14.25" customHeight="1">
      <c r="A501" s="38"/>
      <c r="B501" s="66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</row>
    <row r="502" spans="1:24" ht="14.25" customHeight="1">
      <c r="A502" s="38"/>
      <c r="B502" s="66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</row>
    <row r="503" spans="1:24" ht="14.25" customHeight="1">
      <c r="A503" s="38"/>
      <c r="B503" s="66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</row>
    <row r="504" spans="1:24" ht="14.25" customHeight="1">
      <c r="A504" s="38"/>
      <c r="B504" s="66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</row>
    <row r="505" spans="1:24" ht="14.25" customHeight="1">
      <c r="A505" s="38"/>
      <c r="B505" s="66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</row>
    <row r="506" spans="1:24" ht="14.25" customHeight="1">
      <c r="A506" s="38"/>
      <c r="B506" s="66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</row>
    <row r="507" spans="1:24" ht="14.25" customHeight="1">
      <c r="A507" s="38"/>
      <c r="B507" s="66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</row>
    <row r="508" spans="1:24" ht="14.25" customHeight="1">
      <c r="A508" s="38"/>
      <c r="B508" s="66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</row>
    <row r="509" spans="1:24" ht="14.25" customHeight="1">
      <c r="A509" s="38"/>
      <c r="B509" s="66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</row>
    <row r="510" spans="1:24" ht="14.25" customHeight="1">
      <c r="A510" s="38"/>
      <c r="B510" s="66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</row>
    <row r="511" spans="1:24" ht="14.25" customHeight="1">
      <c r="A511" s="38"/>
      <c r="B511" s="66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</row>
    <row r="512" spans="1:24" ht="14.25" customHeight="1">
      <c r="A512" s="38"/>
      <c r="B512" s="66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</row>
    <row r="513" spans="1:24" ht="14.25" customHeight="1">
      <c r="A513" s="38"/>
      <c r="B513" s="66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</row>
    <row r="514" spans="1:24" ht="14.25" customHeight="1">
      <c r="A514" s="38"/>
      <c r="B514" s="66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</row>
    <row r="515" spans="1:24" ht="14.25" customHeight="1">
      <c r="A515" s="38"/>
      <c r="B515" s="66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</row>
    <row r="516" spans="1:24" ht="14.25" customHeight="1">
      <c r="A516" s="38"/>
      <c r="B516" s="66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</row>
    <row r="517" spans="1:24" ht="14.25" customHeight="1">
      <c r="A517" s="38"/>
      <c r="B517" s="66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</row>
    <row r="518" spans="1:24" ht="14.25" customHeight="1">
      <c r="A518" s="38"/>
      <c r="B518" s="66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</row>
    <row r="519" spans="1:24" ht="14.25" customHeight="1">
      <c r="A519" s="38"/>
      <c r="B519" s="66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</row>
    <row r="520" spans="1:24" ht="14.25" customHeight="1">
      <c r="A520" s="38"/>
      <c r="B520" s="66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</row>
    <row r="521" spans="1:24" ht="14.25" customHeight="1">
      <c r="A521" s="38"/>
      <c r="B521" s="66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</row>
    <row r="522" spans="1:24" ht="14.25" customHeight="1">
      <c r="A522" s="38"/>
      <c r="B522" s="66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</row>
    <row r="523" spans="1:24" ht="14.25" customHeight="1">
      <c r="A523" s="38"/>
      <c r="B523" s="66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</row>
    <row r="524" spans="1:24" ht="14.25" customHeight="1">
      <c r="A524" s="38"/>
      <c r="B524" s="66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</row>
    <row r="525" spans="1:24" ht="14.25" customHeight="1">
      <c r="A525" s="38"/>
      <c r="B525" s="66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</row>
    <row r="526" spans="1:24" ht="14.25" customHeight="1">
      <c r="A526" s="38"/>
      <c r="B526" s="66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</row>
    <row r="527" spans="1:24" ht="14.25" customHeight="1">
      <c r="A527" s="38"/>
      <c r="B527" s="66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</row>
    <row r="528" spans="1:24" ht="14.25" customHeight="1">
      <c r="A528" s="38"/>
      <c r="B528" s="66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</row>
    <row r="529" spans="1:24" ht="14.25" customHeight="1">
      <c r="A529" s="38"/>
      <c r="B529" s="66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</row>
    <row r="530" spans="1:24" ht="14.25" customHeight="1">
      <c r="A530" s="38"/>
      <c r="B530" s="66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</row>
    <row r="531" spans="1:24" ht="14.25" customHeight="1">
      <c r="A531" s="38"/>
      <c r="B531" s="66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</row>
    <row r="532" spans="1:24" ht="14.25" customHeight="1">
      <c r="A532" s="38"/>
      <c r="B532" s="66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</row>
    <row r="533" spans="1:24" ht="14.25" customHeight="1">
      <c r="A533" s="38"/>
      <c r="B533" s="66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</row>
    <row r="534" spans="1:24" ht="14.25" customHeight="1">
      <c r="A534" s="38"/>
      <c r="B534" s="66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</row>
    <row r="535" spans="1:24" ht="14.25" customHeight="1">
      <c r="A535" s="38"/>
      <c r="B535" s="66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</row>
    <row r="536" spans="1:24" ht="14.25" customHeight="1">
      <c r="A536" s="38"/>
      <c r="B536" s="66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</row>
    <row r="537" spans="1:24" ht="14.25" customHeight="1">
      <c r="A537" s="38"/>
      <c r="B537" s="66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</row>
    <row r="538" spans="1:24" ht="14.25" customHeight="1">
      <c r="A538" s="38"/>
      <c r="B538" s="66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</row>
    <row r="539" spans="1:24" ht="14.25" customHeight="1">
      <c r="A539" s="38"/>
      <c r="B539" s="66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</row>
    <row r="540" spans="1:24" ht="14.25" customHeight="1">
      <c r="A540" s="38"/>
      <c r="B540" s="66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</row>
    <row r="541" spans="1:24" ht="14.25" customHeight="1">
      <c r="A541" s="38"/>
      <c r="B541" s="66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</row>
    <row r="542" spans="1:24" ht="14.25" customHeight="1">
      <c r="A542" s="38"/>
      <c r="B542" s="66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</row>
    <row r="543" spans="1:24" ht="14.25" customHeight="1">
      <c r="A543" s="38"/>
      <c r="B543" s="66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</row>
    <row r="544" spans="1:24" ht="14.25" customHeight="1">
      <c r="A544" s="38"/>
      <c r="B544" s="66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</row>
    <row r="545" spans="1:24" ht="14.25" customHeight="1">
      <c r="A545" s="38"/>
      <c r="B545" s="66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</row>
    <row r="546" spans="1:24" ht="14.25" customHeight="1">
      <c r="A546" s="38"/>
      <c r="B546" s="66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</row>
    <row r="547" spans="1:24" ht="14.25" customHeight="1">
      <c r="A547" s="38"/>
      <c r="B547" s="66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</row>
    <row r="548" spans="1:24" ht="14.25" customHeight="1">
      <c r="A548" s="38"/>
      <c r="B548" s="66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</row>
    <row r="549" spans="1:24" ht="14.25" customHeight="1">
      <c r="A549" s="38"/>
      <c r="B549" s="66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</row>
    <row r="550" spans="1:24" ht="14.25" customHeight="1">
      <c r="A550" s="38"/>
      <c r="B550" s="66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</row>
    <row r="551" spans="1:24" ht="14.25" customHeight="1">
      <c r="A551" s="38"/>
      <c r="B551" s="66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</row>
    <row r="552" spans="1:24" ht="14.25" customHeight="1">
      <c r="A552" s="38"/>
      <c r="B552" s="66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</row>
    <row r="553" spans="1:24" ht="14.25" customHeight="1">
      <c r="A553" s="38"/>
      <c r="B553" s="66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</row>
    <row r="554" spans="1:24" ht="14.25" customHeight="1">
      <c r="A554" s="38"/>
      <c r="B554" s="66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</row>
    <row r="555" spans="1:24" ht="14.25" customHeight="1">
      <c r="A555" s="38"/>
      <c r="B555" s="66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</row>
    <row r="556" spans="1:24" ht="14.25" customHeight="1">
      <c r="A556" s="38"/>
      <c r="B556" s="66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</row>
    <row r="557" spans="1:24" ht="14.25" customHeight="1">
      <c r="A557" s="38"/>
      <c r="B557" s="66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</row>
    <row r="558" spans="1:24" ht="14.25" customHeight="1">
      <c r="A558" s="38"/>
      <c r="B558" s="66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</row>
    <row r="559" spans="1:24" ht="14.25" customHeight="1">
      <c r="A559" s="38"/>
      <c r="B559" s="66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</row>
    <row r="560" spans="1:24" ht="14.25" customHeight="1">
      <c r="A560" s="38"/>
      <c r="B560" s="66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</row>
    <row r="561" spans="1:24" ht="14.25" customHeight="1">
      <c r="A561" s="38"/>
      <c r="B561" s="66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</row>
    <row r="562" spans="1:24" ht="14.25" customHeight="1">
      <c r="A562" s="38"/>
      <c r="B562" s="66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</row>
    <row r="563" spans="1:24" ht="14.25" customHeight="1">
      <c r="A563" s="38"/>
      <c r="B563" s="66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</row>
    <row r="564" spans="1:24" ht="14.25" customHeight="1">
      <c r="A564" s="38"/>
      <c r="B564" s="66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</row>
    <row r="565" spans="1:24" ht="14.25" customHeight="1">
      <c r="A565" s="38"/>
      <c r="B565" s="66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</row>
    <row r="566" spans="1:24" ht="14.25" customHeight="1">
      <c r="A566" s="38"/>
      <c r="B566" s="66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</row>
    <row r="567" spans="1:24" ht="14.25" customHeight="1">
      <c r="A567" s="38"/>
      <c r="B567" s="66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</row>
    <row r="568" spans="1:24" ht="14.25" customHeight="1">
      <c r="A568" s="38"/>
      <c r="B568" s="66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</row>
    <row r="569" spans="1:24" ht="14.25" customHeight="1">
      <c r="A569" s="38"/>
      <c r="B569" s="66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</row>
    <row r="570" spans="1:24" ht="14.25" customHeight="1">
      <c r="A570" s="38"/>
      <c r="B570" s="66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</row>
    <row r="571" spans="1:24" ht="14.25" customHeight="1">
      <c r="A571" s="38"/>
      <c r="B571" s="66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</row>
    <row r="572" spans="1:24" ht="14.25" customHeight="1">
      <c r="A572" s="38"/>
      <c r="B572" s="66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</row>
    <row r="573" spans="1:24" ht="14.25" customHeight="1">
      <c r="A573" s="38"/>
      <c r="B573" s="66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</row>
    <row r="574" spans="1:24" ht="14.25" customHeight="1">
      <c r="A574" s="38"/>
      <c r="B574" s="66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</row>
    <row r="575" spans="1:24" ht="14.25" customHeight="1">
      <c r="A575" s="38"/>
      <c r="B575" s="66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</row>
    <row r="576" spans="1:24" ht="14.25" customHeight="1">
      <c r="A576" s="38"/>
      <c r="B576" s="66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</row>
    <row r="577" spans="1:24" ht="14.25" customHeight="1">
      <c r="A577" s="38"/>
      <c r="B577" s="66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</row>
    <row r="578" spans="1:24" ht="14.25" customHeight="1">
      <c r="A578" s="38"/>
      <c r="B578" s="66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</row>
    <row r="579" spans="1:24" ht="14.25" customHeight="1">
      <c r="A579" s="38"/>
      <c r="B579" s="66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</row>
    <row r="580" spans="1:24" ht="14.25" customHeight="1">
      <c r="A580" s="38"/>
      <c r="B580" s="66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</row>
    <row r="581" spans="1:24" ht="14.25" customHeight="1">
      <c r="A581" s="38"/>
      <c r="B581" s="66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</row>
    <row r="582" spans="1:24" ht="14.25" customHeight="1">
      <c r="A582" s="38"/>
      <c r="B582" s="66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</row>
    <row r="583" spans="1:24" ht="14.25" customHeight="1">
      <c r="A583" s="38"/>
      <c r="B583" s="66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</row>
    <row r="584" spans="1:24" ht="14.25" customHeight="1">
      <c r="A584" s="38"/>
      <c r="B584" s="66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</row>
    <row r="585" spans="1:24" ht="14.25" customHeight="1">
      <c r="A585" s="38"/>
      <c r="B585" s="66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</row>
    <row r="586" spans="1:24" ht="14.25" customHeight="1">
      <c r="A586" s="38"/>
      <c r="B586" s="66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</row>
    <row r="587" spans="1:24" ht="14.25" customHeight="1">
      <c r="A587" s="38"/>
      <c r="B587" s="66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</row>
    <row r="588" spans="1:24" ht="14.25" customHeight="1">
      <c r="A588" s="38"/>
      <c r="B588" s="66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</row>
    <row r="589" spans="1:24" ht="14.25" customHeight="1">
      <c r="A589" s="38"/>
      <c r="B589" s="66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</row>
    <row r="590" spans="1:24" ht="14.25" customHeight="1">
      <c r="A590" s="38"/>
      <c r="B590" s="66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</row>
    <row r="591" spans="1:24" ht="14.25" customHeight="1">
      <c r="A591" s="38"/>
      <c r="B591" s="66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</row>
    <row r="592" spans="1:24" ht="14.25" customHeight="1">
      <c r="A592" s="38"/>
      <c r="B592" s="66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</row>
    <row r="593" spans="1:24" ht="14.25" customHeight="1">
      <c r="A593" s="38"/>
      <c r="B593" s="66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</row>
    <row r="594" spans="1:24" ht="14.25" customHeight="1">
      <c r="A594" s="38"/>
      <c r="B594" s="66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</row>
    <row r="595" spans="1:24" ht="14.25" customHeight="1">
      <c r="A595" s="38"/>
      <c r="B595" s="66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</row>
    <row r="596" spans="1:24" ht="14.25" customHeight="1">
      <c r="A596" s="38"/>
      <c r="B596" s="66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</row>
    <row r="597" spans="1:24" ht="14.25" customHeight="1">
      <c r="A597" s="38"/>
      <c r="B597" s="66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</row>
    <row r="598" spans="1:24" ht="14.25" customHeight="1">
      <c r="A598" s="38"/>
      <c r="B598" s="66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</row>
    <row r="599" spans="1:24" ht="14.25" customHeight="1">
      <c r="A599" s="38"/>
      <c r="B599" s="66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</row>
    <row r="600" spans="1:24" ht="14.25" customHeight="1">
      <c r="A600" s="38"/>
      <c r="B600" s="66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</row>
    <row r="601" spans="1:24" ht="14.25" customHeight="1">
      <c r="A601" s="38"/>
      <c r="B601" s="66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</row>
    <row r="602" spans="1:24" ht="14.25" customHeight="1">
      <c r="A602" s="38"/>
      <c r="B602" s="66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</row>
    <row r="603" spans="1:24" ht="14.25" customHeight="1">
      <c r="A603" s="38"/>
      <c r="B603" s="66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</row>
    <row r="604" spans="1:24" ht="14.25" customHeight="1">
      <c r="A604" s="38"/>
      <c r="B604" s="66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</row>
    <row r="605" spans="1:24" ht="14.25" customHeight="1">
      <c r="A605" s="38"/>
      <c r="B605" s="66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</row>
    <row r="606" spans="1:24" ht="14.25" customHeight="1">
      <c r="A606" s="38"/>
      <c r="B606" s="66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</row>
    <row r="607" spans="1:24" ht="14.25" customHeight="1">
      <c r="A607" s="38"/>
      <c r="B607" s="66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</row>
    <row r="608" spans="1:24" ht="14.25" customHeight="1">
      <c r="A608" s="38"/>
      <c r="B608" s="66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</row>
    <row r="609" spans="1:24" ht="14.25" customHeight="1">
      <c r="A609" s="38"/>
      <c r="B609" s="66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</row>
    <row r="610" spans="1:24" ht="14.25" customHeight="1">
      <c r="A610" s="38"/>
      <c r="B610" s="66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</row>
    <row r="611" spans="1:24" ht="14.25" customHeight="1">
      <c r="A611" s="38"/>
      <c r="B611" s="66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</row>
    <row r="612" spans="1:24" ht="14.25" customHeight="1">
      <c r="A612" s="38"/>
      <c r="B612" s="66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</row>
    <row r="613" spans="1:24" ht="14.25" customHeight="1">
      <c r="A613" s="38"/>
      <c r="B613" s="66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</row>
    <row r="614" spans="1:24" ht="14.25" customHeight="1">
      <c r="A614" s="38"/>
      <c r="B614" s="66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</row>
    <row r="615" spans="1:24" ht="14.25" customHeight="1">
      <c r="A615" s="38"/>
      <c r="B615" s="66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</row>
    <row r="616" spans="1:24" ht="14.25" customHeight="1">
      <c r="A616" s="38"/>
      <c r="B616" s="66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</row>
    <row r="617" spans="1:24" ht="14.25" customHeight="1">
      <c r="A617" s="38"/>
      <c r="B617" s="66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</row>
    <row r="618" spans="1:24" ht="14.25" customHeight="1">
      <c r="A618" s="38"/>
      <c r="B618" s="66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</row>
    <row r="619" spans="1:24" ht="14.25" customHeight="1">
      <c r="A619" s="38"/>
      <c r="B619" s="66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</row>
    <row r="620" spans="1:24" ht="14.25" customHeight="1">
      <c r="A620" s="38"/>
      <c r="B620" s="66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</row>
    <row r="621" spans="1:24" ht="14.25" customHeight="1">
      <c r="A621" s="38"/>
      <c r="B621" s="66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</row>
    <row r="622" spans="1:24" ht="14.25" customHeight="1">
      <c r="A622" s="38"/>
      <c r="B622" s="66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</row>
    <row r="623" spans="1:24" ht="14.25" customHeight="1">
      <c r="A623" s="38"/>
      <c r="B623" s="66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</row>
    <row r="624" spans="1:24" ht="14.25" customHeight="1">
      <c r="A624" s="38"/>
      <c r="B624" s="66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</row>
    <row r="625" spans="1:24" ht="14.25" customHeight="1">
      <c r="A625" s="38"/>
      <c r="B625" s="66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</row>
    <row r="626" spans="1:24" ht="14.25" customHeight="1">
      <c r="A626" s="38"/>
      <c r="B626" s="66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</row>
    <row r="627" spans="1:24" ht="14.25" customHeight="1">
      <c r="A627" s="38"/>
      <c r="B627" s="66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</row>
    <row r="628" spans="1:24" ht="14.25" customHeight="1">
      <c r="A628" s="38"/>
      <c r="B628" s="66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</row>
    <row r="629" spans="1:24" ht="14.25" customHeight="1">
      <c r="A629" s="38"/>
      <c r="B629" s="66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</row>
    <row r="630" spans="1:24" ht="14.25" customHeight="1">
      <c r="A630" s="38"/>
      <c r="B630" s="66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</row>
    <row r="631" spans="1:24" ht="14.25" customHeight="1">
      <c r="A631" s="38"/>
      <c r="B631" s="66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</row>
    <row r="632" spans="1:24" ht="14.25" customHeight="1">
      <c r="A632" s="38"/>
      <c r="B632" s="66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</row>
    <row r="633" spans="1:24" ht="14.25" customHeight="1">
      <c r="A633" s="38"/>
      <c r="B633" s="66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</row>
    <row r="634" spans="1:24" ht="14.25" customHeight="1">
      <c r="A634" s="38"/>
      <c r="B634" s="66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</row>
    <row r="635" spans="1:24" ht="14.25" customHeight="1">
      <c r="A635" s="38"/>
      <c r="B635" s="66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</row>
    <row r="636" spans="1:24" ht="14.25" customHeight="1">
      <c r="A636" s="38"/>
      <c r="B636" s="66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</row>
    <row r="637" spans="1:24" ht="14.25" customHeight="1">
      <c r="A637" s="38"/>
      <c r="B637" s="66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</row>
    <row r="638" spans="1:24" ht="14.25" customHeight="1">
      <c r="A638" s="38"/>
      <c r="B638" s="66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</row>
    <row r="639" spans="1:24" ht="14.25" customHeight="1">
      <c r="A639" s="38"/>
      <c r="B639" s="66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</row>
    <row r="640" spans="1:24" ht="14.25" customHeight="1">
      <c r="A640" s="38"/>
      <c r="B640" s="66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</row>
    <row r="641" spans="1:24" ht="14.25" customHeight="1">
      <c r="A641" s="38"/>
      <c r="B641" s="66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</row>
    <row r="642" spans="1:24" ht="14.25" customHeight="1">
      <c r="A642" s="38"/>
      <c r="B642" s="66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</row>
    <row r="643" spans="1:24" ht="14.25" customHeight="1">
      <c r="A643" s="38"/>
      <c r="B643" s="66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</row>
    <row r="644" spans="1:24" ht="14.25" customHeight="1">
      <c r="A644" s="38"/>
      <c r="B644" s="66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</row>
    <row r="645" spans="1:24" ht="14.25" customHeight="1">
      <c r="A645" s="38"/>
      <c r="B645" s="66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</row>
    <row r="646" spans="1:24" ht="14.25" customHeight="1">
      <c r="A646" s="38"/>
      <c r="B646" s="66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</row>
    <row r="647" spans="1:24" ht="14.25" customHeight="1">
      <c r="A647" s="38"/>
      <c r="B647" s="66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</row>
    <row r="648" spans="1:24" ht="14.25" customHeight="1">
      <c r="A648" s="38"/>
      <c r="B648" s="66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</row>
    <row r="649" spans="1:24" ht="14.25" customHeight="1">
      <c r="A649" s="38"/>
      <c r="B649" s="66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</row>
    <row r="650" spans="1:24" ht="14.25" customHeight="1">
      <c r="A650" s="38"/>
      <c r="B650" s="66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</row>
    <row r="651" spans="1:24" ht="14.25" customHeight="1">
      <c r="A651" s="38"/>
      <c r="B651" s="66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</row>
    <row r="652" spans="1:24" ht="14.25" customHeight="1">
      <c r="A652" s="38"/>
      <c r="B652" s="66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</row>
    <row r="653" spans="1:24" ht="14.25" customHeight="1">
      <c r="A653" s="38"/>
      <c r="B653" s="66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</row>
    <row r="654" spans="1:24" ht="14.25" customHeight="1">
      <c r="A654" s="38"/>
      <c r="B654" s="66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</row>
    <row r="655" spans="1:24" ht="14.25" customHeight="1">
      <c r="A655" s="38"/>
      <c r="B655" s="66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</row>
    <row r="656" spans="1:24" ht="14.25" customHeight="1">
      <c r="A656" s="38"/>
      <c r="B656" s="66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</row>
    <row r="657" spans="1:24" ht="14.25" customHeight="1">
      <c r="A657" s="38"/>
      <c r="B657" s="66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</row>
    <row r="658" spans="1:24" ht="14.25" customHeight="1">
      <c r="A658" s="38"/>
      <c r="B658" s="66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</row>
    <row r="659" spans="1:24" ht="14.25" customHeight="1">
      <c r="A659" s="38"/>
      <c r="B659" s="66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</row>
    <row r="660" spans="1:24" ht="14.25" customHeight="1">
      <c r="A660" s="38"/>
      <c r="B660" s="66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</row>
    <row r="661" spans="1:24" ht="14.25" customHeight="1">
      <c r="A661" s="38"/>
      <c r="B661" s="66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</row>
    <row r="662" spans="1:24" ht="14.25" customHeight="1">
      <c r="A662" s="38"/>
      <c r="B662" s="66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</row>
    <row r="663" spans="1:24" ht="14.25" customHeight="1">
      <c r="A663" s="38"/>
      <c r="B663" s="66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</row>
    <row r="664" spans="1:24" ht="14.25" customHeight="1">
      <c r="A664" s="38"/>
      <c r="B664" s="66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</row>
    <row r="665" spans="1:24" ht="14.25" customHeight="1">
      <c r="A665" s="38"/>
      <c r="B665" s="66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</row>
    <row r="666" spans="1:24" ht="14.25" customHeight="1">
      <c r="A666" s="38"/>
      <c r="B666" s="66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</row>
    <row r="667" spans="1:24" ht="14.25" customHeight="1">
      <c r="A667" s="38"/>
      <c r="B667" s="66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</row>
    <row r="668" spans="1:24" ht="14.25" customHeight="1">
      <c r="A668" s="38"/>
      <c r="B668" s="66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</row>
    <row r="669" spans="1:24" ht="14.25" customHeight="1">
      <c r="A669" s="38"/>
      <c r="B669" s="66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</row>
    <row r="670" spans="1:24" ht="14.25" customHeight="1">
      <c r="A670" s="38"/>
      <c r="B670" s="66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</row>
    <row r="671" spans="1:24" ht="14.25" customHeight="1">
      <c r="A671" s="38"/>
      <c r="B671" s="66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</row>
    <row r="672" spans="1:24" ht="14.25" customHeight="1">
      <c r="A672" s="38"/>
      <c r="B672" s="66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</row>
    <row r="673" spans="1:24" ht="14.25" customHeight="1">
      <c r="A673" s="38"/>
      <c r="B673" s="66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</row>
    <row r="674" spans="1:24" ht="14.25" customHeight="1">
      <c r="A674" s="38"/>
      <c r="B674" s="66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</row>
    <row r="675" spans="1:24" ht="14.25" customHeight="1">
      <c r="A675" s="38"/>
      <c r="B675" s="66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</row>
    <row r="676" spans="1:24" ht="14.25" customHeight="1">
      <c r="A676" s="38"/>
      <c r="B676" s="66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</row>
    <row r="677" spans="1:24" ht="14.25" customHeight="1">
      <c r="A677" s="38"/>
      <c r="B677" s="66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</row>
    <row r="678" spans="1:24" ht="14.25" customHeight="1">
      <c r="A678" s="38"/>
      <c r="B678" s="66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</row>
    <row r="679" spans="1:24" ht="14.25" customHeight="1">
      <c r="A679" s="38"/>
      <c r="B679" s="66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</row>
    <row r="680" spans="1:24" ht="14.25" customHeight="1">
      <c r="A680" s="38"/>
      <c r="B680" s="66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</row>
    <row r="681" spans="1:24" ht="14.25" customHeight="1">
      <c r="A681" s="38"/>
      <c r="B681" s="66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</row>
    <row r="682" spans="1:24" ht="14.25" customHeight="1">
      <c r="A682" s="38"/>
      <c r="B682" s="66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</row>
    <row r="683" spans="1:24" ht="14.25" customHeight="1">
      <c r="A683" s="38"/>
      <c r="B683" s="66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</row>
    <row r="684" spans="1:24" ht="14.25" customHeight="1">
      <c r="A684" s="38"/>
      <c r="B684" s="66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</row>
    <row r="685" spans="1:24" ht="14.25" customHeight="1">
      <c r="A685" s="38"/>
      <c r="B685" s="66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</row>
    <row r="686" spans="1:24" ht="14.25" customHeight="1">
      <c r="A686" s="38"/>
      <c r="B686" s="66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</row>
    <row r="687" spans="1:24" ht="14.25" customHeight="1">
      <c r="A687" s="38"/>
      <c r="B687" s="66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</row>
    <row r="688" spans="1:24" ht="14.25" customHeight="1">
      <c r="A688" s="38"/>
      <c r="B688" s="66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</row>
    <row r="689" spans="1:24" ht="14.25" customHeight="1">
      <c r="A689" s="38"/>
      <c r="B689" s="66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</row>
    <row r="690" spans="1:24" ht="14.25" customHeight="1">
      <c r="A690" s="38"/>
      <c r="B690" s="66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</row>
    <row r="691" spans="1:24" ht="14.25" customHeight="1">
      <c r="A691" s="38"/>
      <c r="B691" s="66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</row>
    <row r="692" spans="1:24" ht="14.25" customHeight="1">
      <c r="A692" s="38"/>
      <c r="B692" s="66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</row>
    <row r="693" spans="1:24" ht="14.25" customHeight="1">
      <c r="A693" s="38"/>
      <c r="B693" s="66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</row>
    <row r="694" spans="1:24" ht="14.25" customHeight="1">
      <c r="A694" s="38"/>
      <c r="B694" s="66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</row>
    <row r="695" spans="1:24" ht="14.25" customHeight="1">
      <c r="A695" s="38"/>
      <c r="B695" s="66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</row>
    <row r="696" spans="1:24" ht="14.25" customHeight="1">
      <c r="A696" s="38"/>
      <c r="B696" s="66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</row>
    <row r="697" spans="1:24" ht="14.25" customHeight="1">
      <c r="A697" s="38"/>
      <c r="B697" s="66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</row>
    <row r="698" spans="1:24" ht="14.25" customHeight="1">
      <c r="A698" s="38"/>
      <c r="B698" s="66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</row>
    <row r="699" spans="1:24" ht="14.25" customHeight="1">
      <c r="A699" s="38"/>
      <c r="B699" s="66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</row>
    <row r="700" spans="1:24" ht="14.25" customHeight="1">
      <c r="A700" s="38"/>
      <c r="B700" s="66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</row>
    <row r="701" spans="1:24" ht="14.25" customHeight="1">
      <c r="A701" s="38"/>
      <c r="B701" s="66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</row>
    <row r="702" spans="1:24" ht="14.25" customHeight="1">
      <c r="A702" s="38"/>
      <c r="B702" s="66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</row>
    <row r="703" spans="1:24" ht="14.25" customHeight="1">
      <c r="A703" s="38"/>
      <c r="B703" s="66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</row>
    <row r="704" spans="1:24" ht="14.25" customHeight="1">
      <c r="A704" s="38"/>
      <c r="B704" s="66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</row>
    <row r="705" spans="1:24" ht="14.25" customHeight="1">
      <c r="A705" s="38"/>
      <c r="B705" s="66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</row>
    <row r="706" spans="1:24" ht="14.25" customHeight="1">
      <c r="A706" s="38"/>
      <c r="B706" s="66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</row>
    <row r="707" spans="1:24" ht="14.25" customHeight="1">
      <c r="A707" s="38"/>
      <c r="B707" s="66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</row>
    <row r="708" spans="1:24" ht="14.25" customHeight="1">
      <c r="A708" s="38"/>
      <c r="B708" s="66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</row>
    <row r="709" spans="1:24" ht="14.25" customHeight="1">
      <c r="A709" s="38"/>
      <c r="B709" s="66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</row>
    <row r="710" spans="1:24" ht="14.25" customHeight="1">
      <c r="A710" s="38"/>
      <c r="B710" s="66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</row>
    <row r="711" spans="1:24" ht="14.25" customHeight="1">
      <c r="A711" s="38"/>
      <c r="B711" s="66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</row>
    <row r="712" spans="1:24" ht="14.25" customHeight="1">
      <c r="A712" s="38"/>
      <c r="B712" s="66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</row>
    <row r="713" spans="1:24" ht="14.25" customHeight="1">
      <c r="A713" s="38"/>
      <c r="B713" s="66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</row>
    <row r="714" spans="1:24" ht="14.25" customHeight="1">
      <c r="A714" s="38"/>
      <c r="B714" s="66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</row>
    <row r="715" spans="1:24" ht="14.25" customHeight="1">
      <c r="A715" s="38"/>
      <c r="B715" s="66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</row>
    <row r="716" spans="1:24" ht="14.25" customHeight="1">
      <c r="A716" s="38"/>
      <c r="B716" s="66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</row>
    <row r="717" spans="1:24" ht="14.25" customHeight="1">
      <c r="A717" s="38"/>
      <c r="B717" s="66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</row>
    <row r="718" spans="1:24" ht="14.25" customHeight="1">
      <c r="A718" s="38"/>
      <c r="B718" s="66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</row>
    <row r="719" spans="1:24" ht="14.25" customHeight="1">
      <c r="A719" s="38"/>
      <c r="B719" s="66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</row>
    <row r="720" spans="1:24" ht="14.25" customHeight="1">
      <c r="A720" s="38"/>
      <c r="B720" s="66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</row>
    <row r="721" spans="1:24" ht="14.25" customHeight="1">
      <c r="A721" s="38"/>
      <c r="B721" s="66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</row>
    <row r="722" spans="1:24" ht="14.25" customHeight="1">
      <c r="A722" s="38"/>
      <c r="B722" s="66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</row>
    <row r="723" spans="1:24" ht="14.25" customHeight="1">
      <c r="A723" s="38"/>
      <c r="B723" s="66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</row>
    <row r="724" spans="1:24" ht="14.25" customHeight="1">
      <c r="A724" s="38"/>
      <c r="B724" s="66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</row>
    <row r="725" spans="1:24" ht="14.25" customHeight="1">
      <c r="A725" s="38"/>
      <c r="B725" s="66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</row>
    <row r="726" spans="1:24" ht="14.25" customHeight="1">
      <c r="A726" s="38"/>
      <c r="B726" s="66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</row>
    <row r="727" spans="1:24" ht="14.25" customHeight="1">
      <c r="A727" s="38"/>
      <c r="B727" s="66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</row>
    <row r="728" spans="1:24" ht="14.25" customHeight="1">
      <c r="A728" s="38"/>
      <c r="B728" s="66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</row>
    <row r="729" spans="1:24" ht="14.25" customHeight="1">
      <c r="A729" s="38"/>
      <c r="B729" s="66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</row>
    <row r="730" spans="1:24" ht="14.25" customHeight="1">
      <c r="A730" s="38"/>
      <c r="B730" s="66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</row>
    <row r="731" spans="1:24" ht="14.25" customHeight="1">
      <c r="A731" s="38"/>
      <c r="B731" s="66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</row>
    <row r="732" spans="1:24" ht="14.25" customHeight="1">
      <c r="A732" s="38"/>
      <c r="B732" s="66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</row>
    <row r="733" spans="1:24" ht="14.25" customHeight="1">
      <c r="A733" s="38"/>
      <c r="B733" s="66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</row>
    <row r="734" spans="1:24" ht="14.25" customHeight="1">
      <c r="A734" s="38"/>
      <c r="B734" s="66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</row>
    <row r="735" spans="1:24" ht="14.25" customHeight="1">
      <c r="A735" s="38"/>
      <c r="B735" s="66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</row>
    <row r="736" spans="1:24" ht="14.25" customHeight="1">
      <c r="A736" s="38"/>
      <c r="B736" s="66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</row>
    <row r="737" spans="1:24" ht="14.25" customHeight="1">
      <c r="A737" s="38"/>
      <c r="B737" s="66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</row>
    <row r="738" spans="1:24" ht="14.25" customHeight="1">
      <c r="A738" s="38"/>
      <c r="B738" s="66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</row>
    <row r="739" spans="1:24" ht="14.25" customHeight="1">
      <c r="A739" s="38"/>
      <c r="B739" s="66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</row>
    <row r="740" spans="1:24" ht="14.25" customHeight="1">
      <c r="A740" s="38"/>
      <c r="B740" s="66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</row>
    <row r="741" spans="1:24" ht="14.25" customHeight="1">
      <c r="A741" s="38"/>
      <c r="B741" s="66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</row>
    <row r="742" spans="1:24" ht="14.25" customHeight="1">
      <c r="A742" s="38"/>
      <c r="B742" s="66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</row>
    <row r="743" spans="1:24" ht="14.25" customHeight="1">
      <c r="A743" s="38"/>
      <c r="B743" s="66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</row>
    <row r="744" spans="1:24" ht="14.25" customHeight="1">
      <c r="A744" s="38"/>
      <c r="B744" s="66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</row>
    <row r="745" spans="1:24" ht="14.25" customHeight="1">
      <c r="A745" s="38"/>
      <c r="B745" s="66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</row>
    <row r="746" spans="1:24" ht="14.25" customHeight="1">
      <c r="A746" s="38"/>
      <c r="B746" s="66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</row>
    <row r="747" spans="1:24" ht="14.25" customHeight="1">
      <c r="A747" s="38"/>
      <c r="B747" s="66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</row>
    <row r="748" spans="1:24" ht="14.25" customHeight="1">
      <c r="A748" s="38"/>
      <c r="B748" s="66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</row>
    <row r="749" spans="1:24" ht="14.25" customHeight="1">
      <c r="A749" s="38"/>
      <c r="B749" s="66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</row>
    <row r="750" spans="1:24" ht="14.25" customHeight="1">
      <c r="A750" s="38"/>
      <c r="B750" s="66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</row>
    <row r="751" spans="1:24" ht="14.25" customHeight="1">
      <c r="A751" s="38"/>
      <c r="B751" s="66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</row>
    <row r="752" spans="1:24" ht="14.25" customHeight="1">
      <c r="A752" s="38"/>
      <c r="B752" s="66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</row>
    <row r="753" spans="1:24" ht="14.25" customHeight="1">
      <c r="A753" s="38"/>
      <c r="B753" s="66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</row>
    <row r="754" spans="1:24" ht="14.25" customHeight="1">
      <c r="A754" s="38"/>
      <c r="B754" s="66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</row>
    <row r="755" spans="1:24" ht="14.25" customHeight="1">
      <c r="A755" s="38"/>
      <c r="B755" s="66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</row>
    <row r="756" spans="1:24" ht="14.25" customHeight="1">
      <c r="A756" s="38"/>
      <c r="B756" s="66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</row>
    <row r="757" spans="1:24" ht="14.25" customHeight="1">
      <c r="A757" s="38"/>
      <c r="B757" s="66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</row>
    <row r="758" spans="1:24" ht="14.25" customHeight="1">
      <c r="A758" s="38"/>
      <c r="B758" s="66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</row>
    <row r="759" spans="1:24" ht="14.25" customHeight="1">
      <c r="A759" s="38"/>
      <c r="B759" s="66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</row>
    <row r="760" spans="1:24" ht="14.25" customHeight="1">
      <c r="A760" s="38"/>
      <c r="B760" s="66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</row>
    <row r="761" spans="1:24" ht="14.25" customHeight="1">
      <c r="A761" s="38"/>
      <c r="B761" s="66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</row>
    <row r="762" spans="1:24" ht="14.25" customHeight="1">
      <c r="A762" s="38"/>
      <c r="B762" s="66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</row>
    <row r="763" spans="1:24" ht="14.25" customHeight="1">
      <c r="A763" s="38"/>
      <c r="B763" s="66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</row>
    <row r="764" spans="1:24" ht="14.25" customHeight="1">
      <c r="A764" s="38"/>
      <c r="B764" s="66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</row>
    <row r="765" spans="1:24" ht="14.25" customHeight="1">
      <c r="A765" s="38"/>
      <c r="B765" s="66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</row>
    <row r="766" spans="1:24" ht="14.25" customHeight="1">
      <c r="A766" s="38"/>
      <c r="B766" s="66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</row>
    <row r="767" spans="1:24" ht="14.25" customHeight="1">
      <c r="A767" s="38"/>
      <c r="B767" s="66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</row>
    <row r="768" spans="1:24" ht="14.25" customHeight="1">
      <c r="A768" s="38"/>
      <c r="B768" s="66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</row>
    <row r="769" spans="1:24" ht="14.25" customHeight="1">
      <c r="A769" s="38"/>
      <c r="B769" s="66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</row>
    <row r="770" spans="1:24" ht="14.25" customHeight="1">
      <c r="A770" s="38"/>
      <c r="B770" s="66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</row>
    <row r="771" spans="1:24" ht="14.25" customHeight="1">
      <c r="A771" s="38"/>
      <c r="B771" s="66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</row>
    <row r="772" spans="1:24" ht="14.25" customHeight="1">
      <c r="A772" s="38"/>
      <c r="B772" s="66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</row>
    <row r="773" spans="1:24" ht="14.25" customHeight="1">
      <c r="A773" s="38"/>
      <c r="B773" s="66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</row>
    <row r="774" spans="1:24" ht="14.25" customHeight="1">
      <c r="A774" s="38"/>
      <c r="B774" s="66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</row>
    <row r="775" spans="1:24" ht="14.25" customHeight="1">
      <c r="A775" s="38"/>
      <c r="B775" s="66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</row>
    <row r="776" spans="1:24" ht="14.25" customHeight="1">
      <c r="A776" s="38"/>
      <c r="B776" s="66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</row>
    <row r="777" spans="1:24" ht="14.25" customHeight="1">
      <c r="A777" s="38"/>
      <c r="B777" s="66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</row>
    <row r="778" spans="1:24" ht="14.25" customHeight="1">
      <c r="A778" s="38"/>
      <c r="B778" s="66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</row>
    <row r="779" spans="1:24" ht="14.25" customHeight="1">
      <c r="A779" s="38"/>
      <c r="B779" s="66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</row>
    <row r="780" spans="1:24" ht="14.25" customHeight="1">
      <c r="A780" s="38"/>
      <c r="B780" s="66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</row>
    <row r="781" spans="1:24" ht="14.25" customHeight="1">
      <c r="A781" s="38"/>
      <c r="B781" s="66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</row>
    <row r="782" spans="1:24" ht="14.25" customHeight="1">
      <c r="A782" s="38"/>
      <c r="B782" s="66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</row>
    <row r="783" spans="1:24" ht="14.25" customHeight="1">
      <c r="A783" s="38"/>
      <c r="B783" s="66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</row>
    <row r="784" spans="1:24" ht="14.25" customHeight="1">
      <c r="A784" s="38"/>
      <c r="B784" s="66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</row>
    <row r="785" spans="1:24" ht="14.25" customHeight="1">
      <c r="A785" s="38"/>
      <c r="B785" s="66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</row>
    <row r="786" spans="1:24" ht="14.25" customHeight="1">
      <c r="A786" s="38"/>
      <c r="B786" s="66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</row>
    <row r="787" spans="1:24" ht="14.25" customHeight="1">
      <c r="A787" s="38"/>
      <c r="B787" s="66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</row>
    <row r="788" spans="1:24" ht="14.25" customHeight="1">
      <c r="A788" s="38"/>
      <c r="B788" s="66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</row>
    <row r="789" spans="1:24" ht="14.25" customHeight="1">
      <c r="A789" s="38"/>
      <c r="B789" s="66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</row>
    <row r="790" spans="1:24" ht="14.25" customHeight="1">
      <c r="A790" s="38"/>
      <c r="B790" s="66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</row>
    <row r="791" spans="1:24" ht="14.25" customHeight="1">
      <c r="A791" s="38"/>
      <c r="B791" s="66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</row>
    <row r="792" spans="1:24" ht="14.25" customHeight="1">
      <c r="A792" s="38"/>
      <c r="B792" s="66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</row>
    <row r="793" spans="1:24" ht="14.25" customHeight="1">
      <c r="A793" s="38"/>
      <c r="B793" s="66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</row>
    <row r="794" spans="1:24" ht="14.25" customHeight="1">
      <c r="A794" s="38"/>
      <c r="B794" s="66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</row>
    <row r="795" spans="1:24" ht="14.25" customHeight="1">
      <c r="A795" s="38"/>
      <c r="B795" s="66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</row>
    <row r="796" spans="1:24" ht="14.25" customHeight="1">
      <c r="A796" s="38"/>
      <c r="B796" s="66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</row>
    <row r="797" spans="1:24" ht="14.25" customHeight="1">
      <c r="A797" s="38"/>
      <c r="B797" s="66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</row>
    <row r="798" spans="1:24" ht="14.25" customHeight="1">
      <c r="A798" s="38"/>
      <c r="B798" s="66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</row>
    <row r="799" spans="1:24" ht="14.25" customHeight="1">
      <c r="A799" s="38"/>
      <c r="B799" s="66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</row>
    <row r="800" spans="1:24" ht="14.25" customHeight="1">
      <c r="A800" s="38"/>
      <c r="B800" s="66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</row>
    <row r="801" spans="1:24" ht="14.25" customHeight="1">
      <c r="A801" s="38"/>
      <c r="B801" s="66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</row>
    <row r="802" spans="1:24" ht="14.25" customHeight="1">
      <c r="A802" s="38"/>
      <c r="B802" s="66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</row>
    <row r="803" spans="1:24" ht="14.25" customHeight="1">
      <c r="A803" s="38"/>
      <c r="B803" s="66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</row>
    <row r="804" spans="1:24" ht="14.25" customHeight="1">
      <c r="A804" s="38"/>
      <c r="B804" s="66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</row>
    <row r="805" spans="1:24" ht="14.25" customHeight="1">
      <c r="A805" s="38"/>
      <c r="B805" s="66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</row>
    <row r="806" spans="1:24" ht="14.25" customHeight="1">
      <c r="A806" s="38"/>
      <c r="B806" s="66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</row>
    <row r="807" spans="1:24" ht="14.25" customHeight="1">
      <c r="A807" s="38"/>
      <c r="B807" s="66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</row>
    <row r="808" spans="1:24" ht="14.25" customHeight="1">
      <c r="A808" s="38"/>
      <c r="B808" s="66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</row>
    <row r="809" spans="1:24" ht="14.25" customHeight="1">
      <c r="A809" s="38"/>
      <c r="B809" s="66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</row>
    <row r="810" spans="1:24" ht="14.25" customHeight="1">
      <c r="A810" s="38"/>
      <c r="B810" s="66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</row>
    <row r="811" spans="1:24" ht="14.25" customHeight="1">
      <c r="A811" s="38"/>
      <c r="B811" s="66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</row>
    <row r="812" spans="1:24" ht="14.25" customHeight="1">
      <c r="A812" s="38"/>
      <c r="B812" s="66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</row>
    <row r="813" spans="1:24" ht="14.25" customHeight="1">
      <c r="A813" s="38"/>
      <c r="B813" s="66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</row>
    <row r="814" spans="1:24" ht="14.25" customHeight="1">
      <c r="A814" s="38"/>
      <c r="B814" s="66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</row>
    <row r="815" spans="1:24" ht="14.25" customHeight="1">
      <c r="A815" s="38"/>
      <c r="B815" s="66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</row>
    <row r="816" spans="1:24" ht="14.25" customHeight="1">
      <c r="A816" s="38"/>
      <c r="B816" s="66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</row>
    <row r="817" spans="1:24" ht="14.25" customHeight="1">
      <c r="A817" s="38"/>
      <c r="B817" s="66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</row>
    <row r="818" spans="1:24" ht="14.25" customHeight="1">
      <c r="A818" s="38"/>
      <c r="B818" s="66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</row>
    <row r="819" spans="1:24" ht="14.25" customHeight="1">
      <c r="A819" s="38"/>
      <c r="B819" s="66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</row>
    <row r="820" spans="1:24" ht="14.25" customHeight="1">
      <c r="A820" s="38"/>
      <c r="B820" s="66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</row>
    <row r="821" spans="1:24" ht="14.25" customHeight="1">
      <c r="A821" s="38"/>
      <c r="B821" s="66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</row>
    <row r="822" spans="1:24" ht="14.25" customHeight="1">
      <c r="A822" s="38"/>
      <c r="B822" s="66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</row>
    <row r="823" spans="1:24" ht="14.25" customHeight="1">
      <c r="A823" s="38"/>
      <c r="B823" s="66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</row>
    <row r="824" spans="1:24" ht="14.25" customHeight="1">
      <c r="A824" s="38"/>
      <c r="B824" s="66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</row>
    <row r="825" spans="1:24" ht="14.25" customHeight="1">
      <c r="A825" s="38"/>
      <c r="B825" s="66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</row>
    <row r="826" spans="1:24" ht="14.25" customHeight="1">
      <c r="A826" s="38"/>
      <c r="B826" s="66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</row>
    <row r="827" spans="1:24" ht="14.25" customHeight="1">
      <c r="A827" s="38"/>
      <c r="B827" s="66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</row>
    <row r="828" spans="1:24" ht="14.25" customHeight="1">
      <c r="A828" s="38"/>
      <c r="B828" s="66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</row>
    <row r="829" spans="1:24" ht="14.25" customHeight="1">
      <c r="A829" s="38"/>
      <c r="B829" s="66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</row>
    <row r="830" spans="1:24" ht="14.25" customHeight="1">
      <c r="A830" s="38"/>
      <c r="B830" s="66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</row>
    <row r="831" spans="1:24" ht="14.25" customHeight="1">
      <c r="A831" s="38"/>
      <c r="B831" s="66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</row>
    <row r="832" spans="1:24" ht="14.25" customHeight="1">
      <c r="A832" s="38"/>
      <c r="B832" s="66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</row>
    <row r="833" spans="1:24" ht="14.25" customHeight="1">
      <c r="A833" s="38"/>
      <c r="B833" s="66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</row>
    <row r="834" spans="1:24" ht="14.25" customHeight="1">
      <c r="A834" s="38"/>
      <c r="B834" s="66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</row>
    <row r="835" spans="1:24" ht="14.25" customHeight="1">
      <c r="A835" s="38"/>
      <c r="B835" s="66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</row>
    <row r="836" spans="1:24" ht="14.25" customHeight="1">
      <c r="A836" s="38"/>
      <c r="B836" s="66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</row>
    <row r="837" spans="1:24" ht="14.25" customHeight="1">
      <c r="A837" s="38"/>
      <c r="B837" s="66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</row>
    <row r="838" spans="1:24" ht="14.25" customHeight="1">
      <c r="A838" s="38"/>
      <c r="B838" s="66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</row>
    <row r="839" spans="1:24" ht="14.25" customHeight="1">
      <c r="A839" s="38"/>
      <c r="B839" s="66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</row>
    <row r="840" spans="1:24" ht="14.25" customHeight="1">
      <c r="A840" s="38"/>
      <c r="B840" s="66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</row>
    <row r="841" spans="1:24" ht="14.25" customHeight="1">
      <c r="A841" s="38"/>
      <c r="B841" s="66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</row>
    <row r="842" spans="1:24" ht="14.25" customHeight="1">
      <c r="A842" s="38"/>
      <c r="B842" s="66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</row>
    <row r="843" spans="1:24" ht="14.25" customHeight="1">
      <c r="A843" s="38"/>
      <c r="B843" s="66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</row>
    <row r="844" spans="1:24" ht="14.25" customHeight="1">
      <c r="A844" s="38"/>
      <c r="B844" s="66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</row>
    <row r="845" spans="1:24" ht="14.25" customHeight="1">
      <c r="A845" s="38"/>
      <c r="B845" s="66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</row>
    <row r="846" spans="1:24" ht="14.25" customHeight="1">
      <c r="A846" s="38"/>
      <c r="B846" s="66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</row>
    <row r="847" spans="1:24" ht="14.25" customHeight="1">
      <c r="A847" s="38"/>
      <c r="B847" s="66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</row>
    <row r="848" spans="1:24" ht="14.25" customHeight="1">
      <c r="A848" s="38"/>
      <c r="B848" s="66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</row>
    <row r="849" spans="1:24" ht="14.25" customHeight="1">
      <c r="A849" s="38"/>
      <c r="B849" s="66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</row>
    <row r="850" spans="1:24" ht="14.25" customHeight="1">
      <c r="A850" s="38"/>
      <c r="B850" s="66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</row>
    <row r="851" spans="1:24" ht="14.25" customHeight="1">
      <c r="A851" s="38"/>
      <c r="B851" s="66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</row>
    <row r="852" spans="1:24" ht="14.25" customHeight="1">
      <c r="A852" s="38"/>
      <c r="B852" s="66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</row>
    <row r="853" spans="1:24" ht="14.25" customHeight="1">
      <c r="A853" s="38"/>
      <c r="B853" s="66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</row>
    <row r="854" spans="1:24" ht="14.25" customHeight="1">
      <c r="A854" s="38"/>
      <c r="B854" s="66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</row>
    <row r="855" spans="1:24" ht="14.25" customHeight="1">
      <c r="A855" s="38"/>
      <c r="B855" s="66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</row>
    <row r="856" spans="1:24" ht="14.25" customHeight="1">
      <c r="A856" s="38"/>
      <c r="B856" s="66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</row>
    <row r="857" spans="1:24" ht="14.25" customHeight="1">
      <c r="A857" s="38"/>
      <c r="B857" s="66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</row>
    <row r="858" spans="1:24" ht="14.25" customHeight="1">
      <c r="A858" s="38"/>
      <c r="B858" s="66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</row>
    <row r="859" spans="1:24" ht="14.25" customHeight="1">
      <c r="A859" s="38"/>
      <c r="B859" s="66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</row>
    <row r="860" spans="1:24" ht="14.25" customHeight="1">
      <c r="A860" s="38"/>
      <c r="B860" s="66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</row>
    <row r="861" spans="1:24" ht="14.25" customHeight="1">
      <c r="A861" s="38"/>
      <c r="B861" s="66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</row>
    <row r="862" spans="1:24" ht="14.25" customHeight="1">
      <c r="A862" s="38"/>
      <c r="B862" s="66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</row>
    <row r="863" spans="1:24" ht="14.25" customHeight="1">
      <c r="A863" s="38"/>
      <c r="B863" s="66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</row>
    <row r="864" spans="1:24" ht="14.25" customHeight="1">
      <c r="A864" s="38"/>
      <c r="B864" s="66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</row>
    <row r="865" spans="1:24" ht="14.25" customHeight="1">
      <c r="A865" s="38"/>
      <c r="B865" s="66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</row>
    <row r="866" spans="1:24" ht="14.25" customHeight="1">
      <c r="A866" s="38"/>
      <c r="B866" s="66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</row>
    <row r="867" spans="1:24" ht="14.25" customHeight="1">
      <c r="A867" s="38"/>
      <c r="B867" s="66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</row>
    <row r="868" spans="1:24" ht="14.25" customHeight="1">
      <c r="A868" s="38"/>
      <c r="B868" s="66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</row>
    <row r="869" spans="1:24" ht="14.25" customHeight="1">
      <c r="A869" s="38"/>
      <c r="B869" s="66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</row>
    <row r="870" spans="1:24" ht="14.25" customHeight="1">
      <c r="A870" s="38"/>
      <c r="B870" s="66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</row>
    <row r="871" spans="1:24" ht="14.25" customHeight="1">
      <c r="A871" s="38"/>
      <c r="B871" s="66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</row>
    <row r="872" spans="1:24" ht="14.25" customHeight="1">
      <c r="A872" s="38"/>
      <c r="B872" s="66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</row>
    <row r="873" spans="1:24" ht="14.25" customHeight="1">
      <c r="A873" s="38"/>
      <c r="B873" s="66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</row>
    <row r="874" spans="1:24" ht="14.25" customHeight="1">
      <c r="A874" s="38"/>
      <c r="B874" s="66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</row>
    <row r="875" spans="1:24" ht="14.25" customHeight="1">
      <c r="A875" s="38"/>
      <c r="B875" s="66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</row>
    <row r="876" spans="1:24" ht="14.25" customHeight="1">
      <c r="A876" s="38"/>
      <c r="B876" s="66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</row>
    <row r="877" spans="1:24" ht="14.25" customHeight="1">
      <c r="A877" s="38"/>
      <c r="B877" s="66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</row>
    <row r="878" spans="1:24" ht="14.25" customHeight="1">
      <c r="A878" s="38"/>
      <c r="B878" s="66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</row>
    <row r="879" spans="1:24" ht="14.25" customHeight="1">
      <c r="A879" s="38"/>
      <c r="B879" s="66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</row>
    <row r="880" spans="1:24" ht="14.25" customHeight="1">
      <c r="A880" s="38"/>
      <c r="B880" s="66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</row>
    <row r="881" spans="1:24" ht="14.25" customHeight="1">
      <c r="A881" s="38"/>
      <c r="B881" s="66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</row>
    <row r="882" spans="1:24" ht="14.25" customHeight="1">
      <c r="A882" s="38"/>
      <c r="B882" s="66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</row>
    <row r="883" spans="1:24" ht="14.25" customHeight="1">
      <c r="A883" s="38"/>
      <c r="B883" s="66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</row>
    <row r="884" spans="1:24" ht="14.25" customHeight="1">
      <c r="A884" s="38"/>
      <c r="B884" s="66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</row>
    <row r="885" spans="1:24" ht="14.25" customHeight="1">
      <c r="A885" s="38"/>
      <c r="B885" s="66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</row>
    <row r="886" spans="1:24" ht="14.25" customHeight="1">
      <c r="A886" s="38"/>
      <c r="B886" s="66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</row>
    <row r="887" spans="1:24" ht="14.25" customHeight="1">
      <c r="A887" s="38"/>
      <c r="B887" s="66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</row>
    <row r="888" spans="1:24" ht="14.25" customHeight="1">
      <c r="A888" s="38"/>
      <c r="B888" s="66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</row>
    <row r="889" spans="1:24" ht="14.25" customHeight="1">
      <c r="A889" s="38"/>
      <c r="B889" s="66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</row>
    <row r="890" spans="1:24" ht="14.25" customHeight="1">
      <c r="A890" s="38"/>
      <c r="B890" s="66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</row>
    <row r="891" spans="1:24" ht="14.25" customHeight="1">
      <c r="A891" s="38"/>
      <c r="B891" s="66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</row>
    <row r="892" spans="1:24" ht="14.25" customHeight="1">
      <c r="A892" s="38"/>
      <c r="B892" s="66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</row>
    <row r="893" spans="1:24" ht="14.25" customHeight="1">
      <c r="A893" s="38"/>
      <c r="B893" s="66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</row>
    <row r="894" spans="1:24" ht="14.25" customHeight="1">
      <c r="A894" s="38"/>
      <c r="B894" s="66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</row>
    <row r="895" spans="1:24" ht="14.25" customHeight="1">
      <c r="A895" s="38"/>
      <c r="B895" s="66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</row>
    <row r="896" spans="1:24" ht="14.25" customHeight="1">
      <c r="A896" s="38"/>
      <c r="B896" s="66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</row>
    <row r="897" spans="1:24" ht="14.25" customHeight="1">
      <c r="A897" s="38"/>
      <c r="B897" s="66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</row>
    <row r="898" spans="1:24" ht="14.25" customHeight="1">
      <c r="A898" s="38"/>
      <c r="B898" s="66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</row>
    <row r="899" spans="1:24" ht="14.25" customHeight="1">
      <c r="A899" s="38"/>
      <c r="B899" s="66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</row>
    <row r="900" spans="1:24" ht="14.25" customHeight="1">
      <c r="A900" s="38"/>
      <c r="B900" s="66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</row>
    <row r="901" spans="1:24" ht="14.25" customHeight="1">
      <c r="A901" s="38"/>
      <c r="B901" s="66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</row>
    <row r="902" spans="1:24" ht="14.25" customHeight="1">
      <c r="A902" s="38"/>
      <c r="B902" s="66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</row>
    <row r="903" spans="1:24" ht="14.25" customHeight="1">
      <c r="A903" s="38"/>
      <c r="B903" s="66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</row>
    <row r="904" spans="1:24" ht="14.25" customHeight="1">
      <c r="A904" s="38"/>
      <c r="B904" s="66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</row>
    <row r="905" spans="1:24" ht="14.25" customHeight="1">
      <c r="A905" s="38"/>
      <c r="B905" s="66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</row>
    <row r="906" spans="1:24" ht="14.25" customHeight="1">
      <c r="A906" s="38"/>
      <c r="B906" s="66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</row>
    <row r="907" spans="1:24" ht="14.25" customHeight="1">
      <c r="A907" s="38"/>
      <c r="B907" s="66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</row>
    <row r="908" spans="1:24" ht="14.25" customHeight="1">
      <c r="A908" s="38"/>
      <c r="B908" s="66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</row>
    <row r="909" spans="1:24" ht="14.25" customHeight="1">
      <c r="A909" s="38"/>
      <c r="B909" s="66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</row>
    <row r="910" spans="1:24" ht="14.25" customHeight="1">
      <c r="A910" s="38"/>
      <c r="B910" s="66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</row>
    <row r="911" spans="1:24" ht="14.25" customHeight="1">
      <c r="A911" s="38"/>
      <c r="B911" s="66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</row>
    <row r="912" spans="1:24" ht="14.25" customHeight="1">
      <c r="A912" s="38"/>
      <c r="B912" s="66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</row>
    <row r="913" spans="1:24" ht="14.25" customHeight="1">
      <c r="A913" s="38"/>
      <c r="B913" s="66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</row>
    <row r="914" spans="1:24" ht="14.25" customHeight="1">
      <c r="A914" s="38"/>
      <c r="B914" s="66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</row>
    <row r="915" spans="1:24" ht="14.25" customHeight="1">
      <c r="A915" s="38"/>
      <c r="B915" s="66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</row>
    <row r="916" spans="1:24" ht="14.25" customHeight="1">
      <c r="A916" s="38"/>
      <c r="B916" s="66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</row>
    <row r="917" spans="1:24" ht="14.25" customHeight="1">
      <c r="A917" s="38"/>
      <c r="B917" s="66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</row>
    <row r="918" spans="1:24" ht="14.25" customHeight="1">
      <c r="A918" s="38"/>
      <c r="B918" s="66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</row>
    <row r="919" spans="1:24" ht="14.25" customHeight="1">
      <c r="A919" s="38"/>
      <c r="B919" s="66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</row>
    <row r="920" spans="1:24" ht="14.25" customHeight="1">
      <c r="A920" s="38"/>
      <c r="B920" s="66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</row>
    <row r="921" spans="1:24" ht="14.25" customHeight="1">
      <c r="A921" s="38"/>
      <c r="B921" s="66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</row>
    <row r="922" spans="1:24" ht="14.25" customHeight="1">
      <c r="A922" s="38"/>
      <c r="B922" s="66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</row>
    <row r="923" spans="1:24" ht="14.25" customHeight="1">
      <c r="A923" s="38"/>
      <c r="B923" s="66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</row>
    <row r="924" spans="1:24" ht="14.25" customHeight="1">
      <c r="A924" s="38"/>
      <c r="B924" s="66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</row>
    <row r="925" spans="1:24" ht="14.25" customHeight="1">
      <c r="A925" s="38"/>
      <c r="B925" s="66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</row>
    <row r="926" spans="1:24" ht="14.25" customHeight="1">
      <c r="A926" s="38"/>
      <c r="B926" s="66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</row>
    <row r="927" spans="1:24" ht="14.25" customHeight="1">
      <c r="A927" s="38"/>
      <c r="B927" s="66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</row>
    <row r="928" spans="1:24" ht="14.25" customHeight="1">
      <c r="A928" s="38"/>
      <c r="B928" s="66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</row>
    <row r="929" spans="1:24" ht="14.25" customHeight="1">
      <c r="A929" s="38"/>
      <c r="B929" s="66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</row>
    <row r="930" spans="1:24" ht="14.25" customHeight="1">
      <c r="A930" s="38"/>
      <c r="B930" s="66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</row>
    <row r="931" spans="1:24" ht="14.25" customHeight="1">
      <c r="A931" s="38"/>
      <c r="B931" s="66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</row>
    <row r="932" spans="1:24" ht="14.25" customHeight="1">
      <c r="A932" s="38"/>
      <c r="B932" s="66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</row>
    <row r="933" spans="1:24" ht="14.25" customHeight="1">
      <c r="A933" s="38"/>
      <c r="B933" s="66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</row>
    <row r="934" spans="1:24" ht="14.25" customHeight="1">
      <c r="A934" s="38"/>
      <c r="B934" s="66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</row>
    <row r="935" spans="1:24" ht="14.25" customHeight="1">
      <c r="A935" s="38"/>
      <c r="B935" s="66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</row>
    <row r="936" spans="1:24" ht="14.25" customHeight="1">
      <c r="A936" s="38"/>
      <c r="B936" s="66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</row>
    <row r="937" spans="1:24" ht="14.25" customHeight="1">
      <c r="A937" s="38"/>
      <c r="B937" s="66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</row>
    <row r="938" spans="1:24" ht="14.25" customHeight="1">
      <c r="A938" s="38"/>
      <c r="B938" s="66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</row>
    <row r="939" spans="1:24" ht="14.25" customHeight="1">
      <c r="A939" s="38"/>
      <c r="B939" s="66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</row>
    <row r="940" spans="1:24" ht="14.25" customHeight="1">
      <c r="A940" s="38"/>
      <c r="B940" s="66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</row>
    <row r="941" spans="1:24" ht="14.25" customHeight="1">
      <c r="A941" s="38"/>
      <c r="B941" s="66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</row>
    <row r="942" spans="1:24" ht="14.25" customHeight="1">
      <c r="A942" s="38"/>
      <c r="B942" s="66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</row>
    <row r="943" spans="1:24" ht="14.25" customHeight="1">
      <c r="A943" s="38"/>
      <c r="B943" s="66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</row>
    <row r="944" spans="1:24" ht="14.25" customHeight="1">
      <c r="A944" s="38"/>
      <c r="B944" s="66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</row>
    <row r="945" spans="1:24" ht="14.25" customHeight="1">
      <c r="A945" s="38"/>
      <c r="B945" s="66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</row>
    <row r="946" spans="1:24" ht="14.25" customHeight="1">
      <c r="A946" s="38"/>
      <c r="B946" s="66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</row>
    <row r="947" spans="1:24" ht="14.25" customHeight="1">
      <c r="A947" s="38"/>
      <c r="B947" s="66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</row>
    <row r="948" spans="1:24" ht="14.25" customHeight="1">
      <c r="A948" s="38"/>
      <c r="B948" s="66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</row>
    <row r="949" spans="1:24" ht="14.25" customHeight="1">
      <c r="A949" s="38"/>
      <c r="B949" s="66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</row>
    <row r="950" spans="1:24" ht="14.25" customHeight="1">
      <c r="A950" s="38"/>
      <c r="B950" s="66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</row>
    <row r="951" spans="1:24" ht="14.25" customHeight="1">
      <c r="A951" s="38"/>
      <c r="B951" s="66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</row>
    <row r="952" spans="1:24" ht="14.25" customHeight="1">
      <c r="A952" s="38"/>
      <c r="B952" s="66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</row>
    <row r="953" spans="1:24" ht="14.25" customHeight="1">
      <c r="A953" s="38"/>
      <c r="B953" s="66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</row>
    <row r="954" spans="1:24" ht="14.25" customHeight="1">
      <c r="A954" s="38"/>
      <c r="B954" s="66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</row>
    <row r="955" spans="1:24" ht="14.25" customHeight="1">
      <c r="A955" s="38"/>
      <c r="B955" s="66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</row>
    <row r="956" spans="1:24" ht="14.25" customHeight="1">
      <c r="A956" s="38"/>
      <c r="B956" s="66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</row>
    <row r="957" spans="1:24" ht="14.25" customHeight="1">
      <c r="A957" s="38"/>
      <c r="B957" s="66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</row>
    <row r="958" spans="1:24" ht="14.25" customHeight="1">
      <c r="A958" s="38"/>
      <c r="B958" s="66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</row>
    <row r="959" spans="1:24" ht="14.25" customHeight="1">
      <c r="A959" s="38"/>
      <c r="B959" s="66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</row>
    <row r="960" spans="1:24" ht="14.25" customHeight="1">
      <c r="A960" s="38"/>
      <c r="B960" s="66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</row>
    <row r="961" spans="1:24" ht="14.25" customHeight="1">
      <c r="A961" s="38"/>
      <c r="B961" s="66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</row>
    <row r="962" spans="1:24" ht="14.25" customHeight="1">
      <c r="A962" s="38"/>
      <c r="B962" s="66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</row>
    <row r="963" spans="1:24" ht="14.25" customHeight="1">
      <c r="A963" s="38"/>
      <c r="B963" s="66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</row>
    <row r="964" spans="1:24" ht="14.25" customHeight="1">
      <c r="A964" s="38"/>
      <c r="B964" s="66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</row>
    <row r="965" spans="1:24" ht="14.25" customHeight="1">
      <c r="A965" s="38"/>
      <c r="B965" s="66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</row>
    <row r="966" spans="1:24" ht="14.25" customHeight="1">
      <c r="A966" s="38"/>
      <c r="B966" s="66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</row>
    <row r="967" spans="1:24" ht="14.25" customHeight="1">
      <c r="A967" s="38"/>
      <c r="B967" s="66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</row>
    <row r="968" spans="1:24" ht="14.25" customHeight="1">
      <c r="A968" s="38"/>
      <c r="B968" s="66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</row>
    <row r="969" spans="1:24" ht="14.25" customHeight="1">
      <c r="A969" s="38"/>
      <c r="B969" s="66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</row>
    <row r="970" spans="1:24" ht="14.25" customHeight="1">
      <c r="A970" s="38"/>
      <c r="B970" s="66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</row>
    <row r="971" spans="1:24" ht="14.25" customHeight="1">
      <c r="A971" s="38"/>
      <c r="B971" s="66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</row>
    <row r="972" spans="1:24" ht="14.25" customHeight="1">
      <c r="A972" s="38"/>
      <c r="B972" s="66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</row>
    <row r="973" spans="1:24" ht="14.25" customHeight="1">
      <c r="A973" s="38"/>
      <c r="B973" s="66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</row>
    <row r="974" spans="1:24" ht="14.25" customHeight="1">
      <c r="A974" s="38"/>
      <c r="B974" s="66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</row>
    <row r="975" spans="1:24" ht="14.25" customHeight="1">
      <c r="A975" s="38"/>
      <c r="B975" s="66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</row>
    <row r="976" spans="1:24" ht="14.25" customHeight="1">
      <c r="A976" s="38"/>
      <c r="B976" s="66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</row>
    <row r="977" spans="1:24" ht="14.25" customHeight="1">
      <c r="A977" s="38"/>
      <c r="B977" s="66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</row>
    <row r="978" spans="1:24" ht="14.25" customHeight="1">
      <c r="A978" s="38"/>
      <c r="B978" s="66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</row>
    <row r="979" spans="1:24" ht="14.25" customHeight="1">
      <c r="A979" s="38"/>
      <c r="B979" s="66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</row>
    <row r="980" spans="1:24" ht="14.25" customHeight="1">
      <c r="A980" s="38"/>
      <c r="B980" s="66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</row>
    <row r="981" spans="1:24" ht="14.25" customHeight="1">
      <c r="A981" s="38"/>
      <c r="B981" s="66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</row>
    <row r="982" spans="1:24" ht="14.25" customHeight="1">
      <c r="A982" s="38"/>
      <c r="B982" s="66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</row>
    <row r="983" spans="1:24" ht="14.25" customHeight="1">
      <c r="A983" s="38"/>
      <c r="B983" s="66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</row>
    <row r="984" spans="1:24" ht="14.25" customHeight="1">
      <c r="A984" s="38"/>
      <c r="B984" s="66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</row>
    <row r="985" spans="1:24" ht="14.25" customHeight="1">
      <c r="A985" s="38"/>
      <c r="B985" s="66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</row>
    <row r="986" spans="1:24" ht="14.25" customHeight="1">
      <c r="A986" s="38"/>
      <c r="B986" s="66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</row>
    <row r="987" spans="1:24" ht="14.25" customHeight="1">
      <c r="A987" s="38"/>
      <c r="B987" s="66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</row>
    <row r="988" spans="1:24" ht="14.25" customHeight="1">
      <c r="A988" s="38"/>
      <c r="B988" s="66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</row>
    <row r="989" spans="1:24" ht="14.25" customHeight="1">
      <c r="A989" s="38"/>
      <c r="B989" s="66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</row>
    <row r="990" spans="1:24" ht="14.25" customHeight="1">
      <c r="A990" s="38"/>
      <c r="B990" s="66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</row>
    <row r="991" spans="1:24" ht="14.25" customHeight="1">
      <c r="A991" s="38"/>
      <c r="B991" s="66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</row>
    <row r="992" spans="1:24" ht="14.25" customHeight="1">
      <c r="A992" s="38"/>
      <c r="B992" s="66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</row>
    <row r="993" spans="1:24" ht="14.25" customHeight="1">
      <c r="A993" s="38"/>
      <c r="B993" s="66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</row>
    <row r="994" spans="1:24" ht="14.25" customHeight="1">
      <c r="A994" s="38"/>
      <c r="B994" s="66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</row>
    <row r="995" spans="1:24" ht="14.25" customHeight="1">
      <c r="A995" s="38"/>
      <c r="B995" s="66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</row>
    <row r="996" spans="1:24" ht="14.25" customHeight="1">
      <c r="A996" s="38"/>
      <c r="B996" s="66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</row>
    <row r="997" spans="1:24" ht="14.25" customHeight="1">
      <c r="A997" s="38"/>
      <c r="B997" s="66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</row>
    <row r="998" spans="1:24" ht="14.25" customHeight="1">
      <c r="A998" s="38"/>
      <c r="B998" s="66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</row>
    <row r="999" spans="1:24" ht="14.25" customHeight="1">
      <c r="A999" s="38"/>
      <c r="B999" s="66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</row>
    <row r="1000" spans="1:24" ht="14.25" customHeight="1">
      <c r="A1000" s="38"/>
      <c r="B1000" s="66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</row>
  </sheetData>
  <mergeCells count="54">
    <mergeCell ref="A55:B55"/>
    <mergeCell ref="C55:F55"/>
    <mergeCell ref="G55:J55"/>
    <mergeCell ref="K55:N55"/>
    <mergeCell ref="A56:P56"/>
    <mergeCell ref="A53:B53"/>
    <mergeCell ref="C53:F53"/>
    <mergeCell ref="G53:J53"/>
    <mergeCell ref="K53:N53"/>
    <mergeCell ref="A54:B54"/>
    <mergeCell ref="C54:F54"/>
    <mergeCell ref="G54:J54"/>
    <mergeCell ref="K54:N54"/>
    <mergeCell ref="A51:B51"/>
    <mergeCell ref="C51:F51"/>
    <mergeCell ref="G51:J51"/>
    <mergeCell ref="K51:N51"/>
    <mergeCell ref="A52:B52"/>
    <mergeCell ref="C52:F52"/>
    <mergeCell ref="G52:J52"/>
    <mergeCell ref="K52:N52"/>
    <mergeCell ref="A49:B50"/>
    <mergeCell ref="C49:F49"/>
    <mergeCell ref="G49:J49"/>
    <mergeCell ref="K49:N49"/>
    <mergeCell ref="C50:F50"/>
    <mergeCell ref="G50:J50"/>
    <mergeCell ref="K50:N50"/>
    <mergeCell ref="A44:B44"/>
    <mergeCell ref="A46:N46"/>
    <mergeCell ref="A47:F47"/>
    <mergeCell ref="G47:N47"/>
    <mergeCell ref="A48:B48"/>
    <mergeCell ref="C48:F48"/>
    <mergeCell ref="G48:J48"/>
    <mergeCell ref="K48:N48"/>
    <mergeCell ref="A42:V42"/>
    <mergeCell ref="A6:V6"/>
    <mergeCell ref="A10:V10"/>
    <mergeCell ref="A19:V19"/>
    <mergeCell ref="A21:V21"/>
    <mergeCell ref="A24:V24"/>
    <mergeCell ref="A26:V26"/>
    <mergeCell ref="A30:V30"/>
    <mergeCell ref="A32:V32"/>
    <mergeCell ref="A34:V34"/>
    <mergeCell ref="A36:V36"/>
    <mergeCell ref="A39:V39"/>
    <mergeCell ref="A1:V1"/>
    <mergeCell ref="A2:V2"/>
    <mergeCell ref="A3:B3"/>
    <mergeCell ref="C3:U3"/>
    <mergeCell ref="V3:V5"/>
    <mergeCell ref="A4:B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C45B0-C185-42E6-96EE-3FC8CA218C44}">
  <dimension ref="A1:V56"/>
  <sheetViews>
    <sheetView topLeftCell="A5" workbookViewId="0">
      <selection activeCell="P53" sqref="P53"/>
    </sheetView>
  </sheetViews>
  <sheetFormatPr defaultRowHeight="14.4"/>
  <cols>
    <col min="1" max="22" width="9" customWidth="1"/>
  </cols>
  <sheetData>
    <row r="1" spans="1:22" ht="27" customHeight="1">
      <c r="A1" s="176" t="s">
        <v>0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6"/>
    </row>
    <row r="2" spans="1:22" ht="27" customHeight="1">
      <c r="A2" s="176" t="s">
        <v>111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6"/>
    </row>
    <row r="3" spans="1:22" ht="27" customHeight="1">
      <c r="A3" s="176" t="s">
        <v>98</v>
      </c>
      <c r="B3" s="166"/>
      <c r="C3" s="176" t="s">
        <v>99</v>
      </c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80" t="s">
        <v>1</v>
      </c>
    </row>
    <row r="4" spans="1:22" ht="27" customHeight="1">
      <c r="A4" s="183" t="s">
        <v>2</v>
      </c>
      <c r="B4" s="184"/>
      <c r="C4" s="67">
        <v>1</v>
      </c>
      <c r="D4" s="67">
        <v>2</v>
      </c>
      <c r="E4" s="67">
        <v>3</v>
      </c>
      <c r="F4" s="67">
        <v>4</v>
      </c>
      <c r="G4" s="67">
        <v>5</v>
      </c>
      <c r="H4" s="67">
        <v>6</v>
      </c>
      <c r="I4" s="67">
        <v>7</v>
      </c>
      <c r="J4" s="67">
        <v>8</v>
      </c>
      <c r="K4" s="67">
        <v>9</v>
      </c>
      <c r="L4" s="67">
        <v>10</v>
      </c>
      <c r="M4" s="67">
        <v>11</v>
      </c>
      <c r="N4" s="67">
        <v>12</v>
      </c>
      <c r="O4" s="67">
        <v>13</v>
      </c>
      <c r="P4" s="67">
        <v>14</v>
      </c>
      <c r="Q4" s="67">
        <v>15</v>
      </c>
      <c r="R4" s="67">
        <v>16</v>
      </c>
      <c r="S4" s="67">
        <v>17</v>
      </c>
      <c r="T4" s="67">
        <v>18</v>
      </c>
      <c r="U4" s="67">
        <v>19</v>
      </c>
      <c r="V4" s="181"/>
    </row>
    <row r="5" spans="1:22" ht="27" customHeight="1">
      <c r="A5" s="185"/>
      <c r="B5" s="186"/>
      <c r="C5" s="68" t="s">
        <v>79</v>
      </c>
      <c r="D5" s="68" t="s">
        <v>80</v>
      </c>
      <c r="E5" s="69" t="s">
        <v>81</v>
      </c>
      <c r="F5" s="69" t="s">
        <v>82</v>
      </c>
      <c r="G5" s="69" t="s">
        <v>84</v>
      </c>
      <c r="H5" s="70" t="s">
        <v>85</v>
      </c>
      <c r="I5" s="69" t="s">
        <v>86</v>
      </c>
      <c r="J5" s="69" t="s">
        <v>101</v>
      </c>
      <c r="K5" s="69" t="s">
        <v>87</v>
      </c>
      <c r="L5" s="69" t="s">
        <v>88</v>
      </c>
      <c r="M5" s="69" t="s">
        <v>89</v>
      </c>
      <c r="N5" s="69" t="s">
        <v>102</v>
      </c>
      <c r="O5" s="69" t="s">
        <v>90</v>
      </c>
      <c r="P5" s="69" t="s">
        <v>91</v>
      </c>
      <c r="Q5" s="69" t="s">
        <v>92</v>
      </c>
      <c r="R5" s="68" t="s">
        <v>103</v>
      </c>
      <c r="S5" s="69" t="s">
        <v>93</v>
      </c>
      <c r="T5" s="69" t="s">
        <v>94</v>
      </c>
      <c r="U5" s="68" t="s">
        <v>104</v>
      </c>
      <c r="V5" s="182"/>
    </row>
    <row r="6" spans="1:22" ht="27" customHeight="1">
      <c r="A6" s="178" t="s">
        <v>3</v>
      </c>
      <c r="B6" s="165"/>
      <c r="C6" s="165"/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6"/>
    </row>
    <row r="7" spans="1:22" ht="27" customHeight="1">
      <c r="A7" s="71" t="s">
        <v>107</v>
      </c>
      <c r="B7" s="71" t="s">
        <v>5</v>
      </c>
      <c r="C7" s="72">
        <v>2.5</v>
      </c>
      <c r="D7" s="72">
        <v>2</v>
      </c>
      <c r="E7" s="72">
        <v>2.5</v>
      </c>
      <c r="F7" s="72">
        <v>2.5</v>
      </c>
      <c r="G7" s="72">
        <v>2.5</v>
      </c>
      <c r="H7" s="72">
        <v>2</v>
      </c>
      <c r="I7" s="72">
        <v>2</v>
      </c>
      <c r="J7" s="72">
        <v>2</v>
      </c>
      <c r="K7" s="72">
        <v>2</v>
      </c>
      <c r="L7" s="72">
        <v>3</v>
      </c>
      <c r="M7" s="72">
        <v>2.5</v>
      </c>
      <c r="N7" s="72" t="s">
        <v>6</v>
      </c>
      <c r="O7" s="72">
        <v>2.5</v>
      </c>
      <c r="P7" s="72">
        <v>2.5</v>
      </c>
      <c r="Q7" s="72">
        <v>2.5</v>
      </c>
      <c r="R7" s="72">
        <v>1</v>
      </c>
      <c r="S7" s="72">
        <v>2.5</v>
      </c>
      <c r="T7" s="72">
        <v>2.5</v>
      </c>
      <c r="U7" s="72">
        <v>2.5</v>
      </c>
      <c r="V7" s="73">
        <f>AVERAGE(C7:U7)</f>
        <v>2.3055555555555554</v>
      </c>
    </row>
    <row r="8" spans="1:22" ht="27" customHeight="1">
      <c r="A8" s="71" t="s">
        <v>7</v>
      </c>
      <c r="B8" s="74" t="s">
        <v>8</v>
      </c>
      <c r="C8" s="72">
        <v>3</v>
      </c>
      <c r="D8" s="72">
        <v>3</v>
      </c>
      <c r="E8" s="72">
        <v>2</v>
      </c>
      <c r="F8" s="72">
        <v>3</v>
      </c>
      <c r="G8" s="72">
        <v>2</v>
      </c>
      <c r="H8" s="72">
        <v>3</v>
      </c>
      <c r="I8" s="72">
        <v>3</v>
      </c>
      <c r="J8" s="72">
        <v>3</v>
      </c>
      <c r="K8" s="72">
        <v>3</v>
      </c>
      <c r="L8" s="72">
        <v>3</v>
      </c>
      <c r="M8" s="72">
        <v>3</v>
      </c>
      <c r="N8" s="72" t="s">
        <v>6</v>
      </c>
      <c r="O8" s="72">
        <v>3</v>
      </c>
      <c r="P8" s="72">
        <v>3</v>
      </c>
      <c r="Q8" s="72">
        <v>3</v>
      </c>
      <c r="R8" s="72">
        <v>3</v>
      </c>
      <c r="S8" s="72">
        <v>3</v>
      </c>
      <c r="T8" s="72">
        <v>1</v>
      </c>
      <c r="U8" s="72">
        <v>2</v>
      </c>
      <c r="V8" s="75">
        <f>AVERAGE(C8:U8)</f>
        <v>2.7222222222222223</v>
      </c>
    </row>
    <row r="9" spans="1:22" ht="27" customHeight="1">
      <c r="A9" s="71" t="s">
        <v>9</v>
      </c>
      <c r="B9" s="74" t="s">
        <v>10</v>
      </c>
      <c r="C9" s="76">
        <v>3</v>
      </c>
      <c r="D9" s="76">
        <v>3</v>
      </c>
      <c r="E9" s="76">
        <v>3</v>
      </c>
      <c r="F9" s="76">
        <v>3</v>
      </c>
      <c r="G9" s="76">
        <v>3</v>
      </c>
      <c r="H9" s="76">
        <v>3</v>
      </c>
      <c r="I9" s="76">
        <v>3</v>
      </c>
      <c r="J9" s="76">
        <v>1</v>
      </c>
      <c r="K9" s="76">
        <v>3</v>
      </c>
      <c r="L9" s="76">
        <v>3</v>
      </c>
      <c r="M9" s="76">
        <v>3</v>
      </c>
      <c r="N9" s="76" t="s">
        <v>6</v>
      </c>
      <c r="O9" s="76">
        <v>3</v>
      </c>
      <c r="P9" s="76">
        <v>1</v>
      </c>
      <c r="Q9" s="76">
        <v>3</v>
      </c>
      <c r="R9" s="76">
        <v>3</v>
      </c>
      <c r="S9" s="76">
        <v>3</v>
      </c>
      <c r="T9" s="76">
        <v>1</v>
      </c>
      <c r="U9" s="76">
        <v>3</v>
      </c>
      <c r="V9" s="75">
        <f>AVERAGE(C9:U9)</f>
        <v>2.6666666666666665</v>
      </c>
    </row>
    <row r="10" spans="1:22" ht="27" customHeight="1">
      <c r="A10" s="178">
        <v>2</v>
      </c>
      <c r="B10" s="165"/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6"/>
    </row>
    <row r="11" spans="1:22" ht="27" customHeight="1">
      <c r="A11" s="71" t="s">
        <v>11</v>
      </c>
      <c r="B11" s="74" t="s">
        <v>12</v>
      </c>
      <c r="C11" s="77">
        <v>3</v>
      </c>
      <c r="D11" s="77">
        <v>3</v>
      </c>
      <c r="E11" s="77">
        <v>3</v>
      </c>
      <c r="F11" s="77">
        <v>3</v>
      </c>
      <c r="G11" s="77">
        <v>3</v>
      </c>
      <c r="H11" s="77">
        <v>3</v>
      </c>
      <c r="I11" s="77">
        <v>3</v>
      </c>
      <c r="J11" s="77">
        <v>3</v>
      </c>
      <c r="K11" s="77">
        <v>3</v>
      </c>
      <c r="L11" s="77">
        <v>3</v>
      </c>
      <c r="M11" s="77">
        <v>3</v>
      </c>
      <c r="N11" s="77" t="s">
        <v>6</v>
      </c>
      <c r="O11" s="77">
        <v>3</v>
      </c>
      <c r="P11" s="77">
        <v>3</v>
      </c>
      <c r="Q11" s="77">
        <v>3</v>
      </c>
      <c r="R11" s="77">
        <v>3</v>
      </c>
      <c r="S11" s="77">
        <v>3</v>
      </c>
      <c r="T11" s="77">
        <v>3</v>
      </c>
      <c r="U11" s="77">
        <v>3</v>
      </c>
      <c r="V11" s="75">
        <f>AVERAGE(C11:U11)</f>
        <v>3</v>
      </c>
    </row>
    <row r="12" spans="1:22" ht="27" customHeight="1">
      <c r="A12" s="71" t="s">
        <v>13</v>
      </c>
      <c r="B12" s="74" t="s">
        <v>14</v>
      </c>
      <c r="C12" s="77">
        <v>0</v>
      </c>
      <c r="D12" s="77">
        <v>0</v>
      </c>
      <c r="E12" s="77">
        <v>0</v>
      </c>
      <c r="F12" s="77">
        <v>0</v>
      </c>
      <c r="G12" s="77">
        <v>0</v>
      </c>
      <c r="H12" s="77">
        <v>0</v>
      </c>
      <c r="I12" s="77">
        <v>0</v>
      </c>
      <c r="J12" s="77">
        <v>0</v>
      </c>
      <c r="K12" s="77">
        <v>0</v>
      </c>
      <c r="L12" s="77">
        <v>0</v>
      </c>
      <c r="M12" s="77">
        <v>0</v>
      </c>
      <c r="N12" s="77" t="s">
        <v>6</v>
      </c>
      <c r="O12" s="77">
        <v>0</v>
      </c>
      <c r="P12" s="77">
        <v>0</v>
      </c>
      <c r="Q12" s="77">
        <v>0</v>
      </c>
      <c r="R12" s="77">
        <v>0</v>
      </c>
      <c r="S12" s="77">
        <v>0</v>
      </c>
      <c r="T12" s="77">
        <v>0</v>
      </c>
      <c r="U12" s="77">
        <v>0</v>
      </c>
      <c r="V12" s="77">
        <v>0</v>
      </c>
    </row>
    <row r="13" spans="1:22" ht="27" customHeight="1">
      <c r="A13" s="71" t="s">
        <v>15</v>
      </c>
      <c r="B13" s="74" t="s">
        <v>16</v>
      </c>
      <c r="C13" s="77">
        <v>2</v>
      </c>
      <c r="D13" s="77">
        <v>2</v>
      </c>
      <c r="E13" s="77">
        <v>2</v>
      </c>
      <c r="F13" s="77">
        <v>2</v>
      </c>
      <c r="G13" s="77">
        <v>2</v>
      </c>
      <c r="H13" s="77">
        <v>2</v>
      </c>
      <c r="I13" s="77">
        <v>2</v>
      </c>
      <c r="J13" s="77">
        <v>2</v>
      </c>
      <c r="K13" s="77">
        <v>2</v>
      </c>
      <c r="L13" s="77">
        <v>2</v>
      </c>
      <c r="M13" s="77">
        <v>2</v>
      </c>
      <c r="N13" s="77" t="s">
        <v>6</v>
      </c>
      <c r="O13" s="77">
        <v>2</v>
      </c>
      <c r="P13" s="77">
        <v>2</v>
      </c>
      <c r="Q13" s="77">
        <v>2</v>
      </c>
      <c r="R13" s="77">
        <v>2</v>
      </c>
      <c r="S13" s="77">
        <v>2</v>
      </c>
      <c r="T13" s="77">
        <v>2</v>
      </c>
      <c r="U13" s="77">
        <v>2</v>
      </c>
      <c r="V13" s="78">
        <f>AVERAGE(C13:U13)</f>
        <v>2</v>
      </c>
    </row>
    <row r="14" spans="1:22" ht="27" customHeight="1">
      <c r="A14" s="71" t="s">
        <v>17</v>
      </c>
      <c r="B14" s="74" t="s">
        <v>18</v>
      </c>
      <c r="C14" s="77">
        <v>2</v>
      </c>
      <c r="D14" s="77">
        <v>2</v>
      </c>
      <c r="E14" s="77">
        <v>2</v>
      </c>
      <c r="F14" s="77">
        <v>2</v>
      </c>
      <c r="G14" s="77">
        <v>2</v>
      </c>
      <c r="H14" s="77">
        <v>2</v>
      </c>
      <c r="I14" s="77">
        <v>2</v>
      </c>
      <c r="J14" s="77">
        <v>2</v>
      </c>
      <c r="K14" s="77">
        <v>2</v>
      </c>
      <c r="L14" s="77">
        <v>2</v>
      </c>
      <c r="M14" s="77">
        <v>2</v>
      </c>
      <c r="N14" s="77" t="s">
        <v>6</v>
      </c>
      <c r="O14" s="77">
        <v>2</v>
      </c>
      <c r="P14" s="77">
        <v>2</v>
      </c>
      <c r="Q14" s="77">
        <v>2</v>
      </c>
      <c r="R14" s="77">
        <v>2</v>
      </c>
      <c r="S14" s="77">
        <v>2</v>
      </c>
      <c r="T14" s="77">
        <v>2</v>
      </c>
      <c r="U14" s="77">
        <v>2</v>
      </c>
      <c r="V14" s="78">
        <f>AVERAGE(C14:U14)</f>
        <v>2</v>
      </c>
    </row>
    <row r="15" spans="1:22" ht="27" customHeight="1">
      <c r="A15" s="71" t="s">
        <v>19</v>
      </c>
      <c r="B15" s="74" t="s">
        <v>20</v>
      </c>
      <c r="C15" s="77" t="s">
        <v>6</v>
      </c>
      <c r="D15" s="77" t="s">
        <v>6</v>
      </c>
      <c r="E15" s="77" t="s">
        <v>6</v>
      </c>
      <c r="F15" s="77" t="s">
        <v>6</v>
      </c>
      <c r="G15" s="77" t="s">
        <v>6</v>
      </c>
      <c r="H15" s="77" t="s">
        <v>6</v>
      </c>
      <c r="I15" s="77" t="s">
        <v>6</v>
      </c>
      <c r="J15" s="77" t="s">
        <v>6</v>
      </c>
      <c r="K15" s="77" t="s">
        <v>6</v>
      </c>
      <c r="L15" s="77" t="s">
        <v>6</v>
      </c>
      <c r="M15" s="77" t="s">
        <v>6</v>
      </c>
      <c r="N15" s="77" t="s">
        <v>6</v>
      </c>
      <c r="O15" s="77" t="s">
        <v>6</v>
      </c>
      <c r="P15" s="77" t="s">
        <v>6</v>
      </c>
      <c r="Q15" s="77" t="s">
        <v>6</v>
      </c>
      <c r="R15" s="77" t="s">
        <v>6</v>
      </c>
      <c r="S15" s="77" t="s">
        <v>6</v>
      </c>
      <c r="T15" s="77" t="s">
        <v>6</v>
      </c>
      <c r="U15" s="77" t="s">
        <v>6</v>
      </c>
      <c r="V15" s="77" t="s">
        <v>6</v>
      </c>
    </row>
    <row r="16" spans="1:22" ht="27" customHeight="1">
      <c r="A16" s="71" t="s">
        <v>21</v>
      </c>
      <c r="B16" s="74" t="s">
        <v>22</v>
      </c>
      <c r="C16" s="77" t="s">
        <v>6</v>
      </c>
      <c r="D16" s="77" t="s">
        <v>6</v>
      </c>
      <c r="E16" s="77" t="s">
        <v>6</v>
      </c>
      <c r="F16" s="77" t="s">
        <v>6</v>
      </c>
      <c r="G16" s="77" t="s">
        <v>6</v>
      </c>
      <c r="H16" s="77" t="s">
        <v>6</v>
      </c>
      <c r="I16" s="77" t="s">
        <v>6</v>
      </c>
      <c r="J16" s="77" t="s">
        <v>6</v>
      </c>
      <c r="K16" s="77" t="s">
        <v>6</v>
      </c>
      <c r="L16" s="77" t="s">
        <v>6</v>
      </c>
      <c r="M16" s="77" t="s">
        <v>6</v>
      </c>
      <c r="N16" s="77" t="s">
        <v>6</v>
      </c>
      <c r="O16" s="77" t="s">
        <v>6</v>
      </c>
      <c r="P16" s="77" t="s">
        <v>6</v>
      </c>
      <c r="Q16" s="77" t="s">
        <v>6</v>
      </c>
      <c r="R16" s="77" t="s">
        <v>6</v>
      </c>
      <c r="S16" s="77" t="s">
        <v>6</v>
      </c>
      <c r="T16" s="77" t="s">
        <v>6</v>
      </c>
      <c r="U16" s="77" t="s">
        <v>6</v>
      </c>
      <c r="V16" s="79" t="s">
        <v>6</v>
      </c>
    </row>
    <row r="17" spans="1:22" ht="27" customHeight="1">
      <c r="A17" s="71" t="s">
        <v>23</v>
      </c>
      <c r="B17" s="74" t="s">
        <v>24</v>
      </c>
      <c r="C17" s="77" t="s">
        <v>6</v>
      </c>
      <c r="D17" s="77" t="s">
        <v>6</v>
      </c>
      <c r="E17" s="77" t="s">
        <v>6</v>
      </c>
      <c r="F17" s="77" t="s">
        <v>6</v>
      </c>
      <c r="G17" s="77" t="s">
        <v>6</v>
      </c>
      <c r="H17" s="77" t="s">
        <v>6</v>
      </c>
      <c r="I17" s="77" t="s">
        <v>6</v>
      </c>
      <c r="J17" s="77" t="s">
        <v>6</v>
      </c>
      <c r="K17" s="77" t="s">
        <v>6</v>
      </c>
      <c r="L17" s="77" t="s">
        <v>6</v>
      </c>
      <c r="M17" s="77" t="s">
        <v>6</v>
      </c>
      <c r="N17" s="77" t="s">
        <v>6</v>
      </c>
      <c r="O17" s="77" t="s">
        <v>6</v>
      </c>
      <c r="P17" s="77" t="s">
        <v>6</v>
      </c>
      <c r="Q17" s="77" t="s">
        <v>6</v>
      </c>
      <c r="R17" s="77" t="s">
        <v>6</v>
      </c>
      <c r="S17" s="77" t="s">
        <v>6</v>
      </c>
      <c r="T17" s="77" t="s">
        <v>6</v>
      </c>
      <c r="U17" s="77" t="s">
        <v>6</v>
      </c>
      <c r="V17" s="79" t="s">
        <v>6</v>
      </c>
    </row>
    <row r="18" spans="1:22" ht="27" customHeight="1">
      <c r="A18" s="71" t="s">
        <v>25</v>
      </c>
      <c r="B18" s="74" t="s">
        <v>26</v>
      </c>
      <c r="C18" s="76">
        <v>3</v>
      </c>
      <c r="D18" s="76">
        <v>2</v>
      </c>
      <c r="E18" s="76">
        <v>3</v>
      </c>
      <c r="F18" s="76">
        <v>2</v>
      </c>
      <c r="G18" s="76">
        <v>3</v>
      </c>
      <c r="H18" s="76">
        <v>3</v>
      </c>
      <c r="I18" s="76">
        <v>3</v>
      </c>
      <c r="J18" s="76">
        <v>3</v>
      </c>
      <c r="K18" s="76">
        <v>3</v>
      </c>
      <c r="L18" s="76">
        <v>3</v>
      </c>
      <c r="M18" s="76">
        <v>3</v>
      </c>
      <c r="N18" s="76" t="s">
        <v>6</v>
      </c>
      <c r="O18" s="76">
        <v>3</v>
      </c>
      <c r="P18" s="76">
        <v>2</v>
      </c>
      <c r="Q18" s="76">
        <v>3</v>
      </c>
      <c r="R18" s="76">
        <v>3</v>
      </c>
      <c r="S18" s="76">
        <v>3</v>
      </c>
      <c r="T18" s="76">
        <v>3</v>
      </c>
      <c r="U18" s="76">
        <v>3</v>
      </c>
      <c r="V18" s="80">
        <f>AVERAGE(C18:U18)</f>
        <v>2.8333333333333335</v>
      </c>
    </row>
    <row r="19" spans="1:22" ht="27" customHeight="1">
      <c r="A19" s="179" t="s">
        <v>27</v>
      </c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6"/>
    </row>
    <row r="20" spans="1:22" ht="27" customHeight="1">
      <c r="A20" s="71" t="s">
        <v>28</v>
      </c>
      <c r="B20" s="74" t="s">
        <v>29</v>
      </c>
      <c r="C20" s="77">
        <v>3</v>
      </c>
      <c r="D20" s="77">
        <v>2</v>
      </c>
      <c r="E20" s="77">
        <v>2</v>
      </c>
      <c r="F20" s="77">
        <v>2</v>
      </c>
      <c r="G20" s="77">
        <v>2</v>
      </c>
      <c r="H20" s="77">
        <v>2</v>
      </c>
      <c r="I20" s="77">
        <v>3</v>
      </c>
      <c r="J20" s="77">
        <v>2</v>
      </c>
      <c r="K20" s="77">
        <v>2</v>
      </c>
      <c r="L20" s="77">
        <v>2</v>
      </c>
      <c r="M20" s="77">
        <v>3</v>
      </c>
      <c r="N20" s="77" t="s">
        <v>6</v>
      </c>
      <c r="O20" s="77">
        <v>3</v>
      </c>
      <c r="P20" s="77">
        <v>2</v>
      </c>
      <c r="Q20" s="77">
        <v>3</v>
      </c>
      <c r="R20" s="77">
        <v>3</v>
      </c>
      <c r="S20" s="77">
        <v>3</v>
      </c>
      <c r="T20" s="77">
        <v>2</v>
      </c>
      <c r="U20" s="77">
        <v>2</v>
      </c>
      <c r="V20" s="75">
        <f>AVERAGE(C20:U20)</f>
        <v>2.3888888888888888</v>
      </c>
    </row>
    <row r="21" spans="1:22" ht="27" customHeight="1">
      <c r="A21" s="178" t="s">
        <v>30</v>
      </c>
      <c r="B21" s="165"/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6"/>
    </row>
    <row r="22" spans="1:22" ht="27" customHeight="1">
      <c r="A22" s="71" t="s">
        <v>31</v>
      </c>
      <c r="B22" s="74" t="s">
        <v>32</v>
      </c>
      <c r="C22" s="77">
        <v>3</v>
      </c>
      <c r="D22" s="77">
        <v>3</v>
      </c>
      <c r="E22" s="77">
        <v>3</v>
      </c>
      <c r="F22" s="77">
        <v>2</v>
      </c>
      <c r="G22" s="77">
        <v>3</v>
      </c>
      <c r="H22" s="77">
        <v>3</v>
      </c>
      <c r="I22" s="77">
        <v>2</v>
      </c>
      <c r="J22" s="77">
        <v>2</v>
      </c>
      <c r="K22" s="77">
        <v>3</v>
      </c>
      <c r="L22" s="77">
        <v>3</v>
      </c>
      <c r="M22" s="77">
        <v>3</v>
      </c>
      <c r="N22" s="77" t="s">
        <v>6</v>
      </c>
      <c r="O22" s="77">
        <v>2</v>
      </c>
      <c r="P22" s="77">
        <v>2</v>
      </c>
      <c r="Q22" s="77">
        <v>3</v>
      </c>
      <c r="R22" s="77">
        <v>3</v>
      </c>
      <c r="S22" s="77">
        <v>3</v>
      </c>
      <c r="T22" s="77">
        <v>2</v>
      </c>
      <c r="U22" s="77">
        <v>2</v>
      </c>
      <c r="V22" s="75">
        <f>AVERAGE(C22:U22)</f>
        <v>2.6111111111111112</v>
      </c>
    </row>
    <row r="23" spans="1:22" ht="27" customHeight="1">
      <c r="A23" s="71" t="s">
        <v>33</v>
      </c>
      <c r="B23" s="74" t="s">
        <v>34</v>
      </c>
      <c r="C23" s="77">
        <v>3</v>
      </c>
      <c r="D23" s="77">
        <v>3</v>
      </c>
      <c r="E23" s="77">
        <v>3</v>
      </c>
      <c r="F23" s="77">
        <v>3</v>
      </c>
      <c r="G23" s="77">
        <v>3</v>
      </c>
      <c r="H23" s="77">
        <v>3</v>
      </c>
      <c r="I23" s="77">
        <v>2</v>
      </c>
      <c r="J23" s="77">
        <v>3</v>
      </c>
      <c r="K23" s="77">
        <v>3</v>
      </c>
      <c r="L23" s="77">
        <v>3</v>
      </c>
      <c r="M23" s="77">
        <v>3</v>
      </c>
      <c r="N23" s="77" t="s">
        <v>6</v>
      </c>
      <c r="O23" s="77">
        <v>2</v>
      </c>
      <c r="P23" s="77">
        <v>2</v>
      </c>
      <c r="Q23" s="77">
        <v>3</v>
      </c>
      <c r="R23" s="77">
        <v>3</v>
      </c>
      <c r="S23" s="77">
        <v>3</v>
      </c>
      <c r="T23" s="77">
        <v>3</v>
      </c>
      <c r="U23" s="77">
        <v>3</v>
      </c>
      <c r="V23" s="75">
        <f>AVERAGE(C23:U23)</f>
        <v>2.8333333333333335</v>
      </c>
    </row>
    <row r="24" spans="1:22" ht="27" customHeight="1">
      <c r="A24" s="178">
        <v>5</v>
      </c>
      <c r="B24" s="165"/>
      <c r="C24" s="165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66"/>
    </row>
    <row r="25" spans="1:22" ht="27" customHeight="1">
      <c r="A25" s="71" t="s">
        <v>36</v>
      </c>
      <c r="B25" s="74" t="s">
        <v>37</v>
      </c>
      <c r="C25" s="76">
        <v>3</v>
      </c>
      <c r="D25" s="76">
        <v>2</v>
      </c>
      <c r="E25" s="76">
        <v>3</v>
      </c>
      <c r="F25" s="76">
        <v>3</v>
      </c>
      <c r="G25" s="76">
        <v>3</v>
      </c>
      <c r="H25" s="76">
        <v>2</v>
      </c>
      <c r="I25" s="76">
        <v>3</v>
      </c>
      <c r="J25" s="76">
        <v>2</v>
      </c>
      <c r="K25" s="76">
        <v>3</v>
      </c>
      <c r="L25" s="76">
        <v>3</v>
      </c>
      <c r="M25" s="76">
        <v>3</v>
      </c>
      <c r="N25" s="76" t="s">
        <v>6</v>
      </c>
      <c r="O25" s="76">
        <v>2</v>
      </c>
      <c r="P25" s="76">
        <v>3</v>
      </c>
      <c r="Q25" s="76">
        <v>3</v>
      </c>
      <c r="R25" s="76">
        <v>3</v>
      </c>
      <c r="S25" s="76">
        <v>3</v>
      </c>
      <c r="T25" s="76">
        <v>2</v>
      </c>
      <c r="U25" s="76">
        <v>2</v>
      </c>
      <c r="V25" s="75">
        <f>AVERAGE(C25:U25)</f>
        <v>2.6666666666666665</v>
      </c>
    </row>
    <row r="26" spans="1:22" ht="27" customHeight="1">
      <c r="A26" s="179" t="s">
        <v>38</v>
      </c>
      <c r="B26" s="165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6"/>
    </row>
    <row r="27" spans="1:22" ht="27" customHeight="1">
      <c r="A27" s="71" t="s">
        <v>39</v>
      </c>
      <c r="B27" s="74" t="s">
        <v>40</v>
      </c>
      <c r="C27" s="77">
        <v>3</v>
      </c>
      <c r="D27" s="77">
        <v>3</v>
      </c>
      <c r="E27" s="77">
        <v>3</v>
      </c>
      <c r="F27" s="77">
        <v>3</v>
      </c>
      <c r="G27" s="77">
        <v>3</v>
      </c>
      <c r="H27" s="77">
        <v>3</v>
      </c>
      <c r="I27" s="77">
        <v>3</v>
      </c>
      <c r="J27" s="77">
        <v>3</v>
      </c>
      <c r="K27" s="77">
        <v>3</v>
      </c>
      <c r="L27" s="77">
        <v>3</v>
      </c>
      <c r="M27" s="77">
        <v>3</v>
      </c>
      <c r="N27" s="77" t="s">
        <v>6</v>
      </c>
      <c r="O27" s="77">
        <v>3</v>
      </c>
      <c r="P27" s="77">
        <v>3</v>
      </c>
      <c r="Q27" s="77">
        <v>3</v>
      </c>
      <c r="R27" s="77">
        <v>3</v>
      </c>
      <c r="S27" s="77">
        <v>3</v>
      </c>
      <c r="T27" s="77">
        <v>2</v>
      </c>
      <c r="U27" s="77">
        <v>2</v>
      </c>
      <c r="V27" s="75">
        <f>AVERAGE(C27:U27)</f>
        <v>2.8888888888888888</v>
      </c>
    </row>
    <row r="28" spans="1:22" ht="27" customHeight="1">
      <c r="A28" s="71" t="s">
        <v>41</v>
      </c>
      <c r="B28" s="74" t="s">
        <v>42</v>
      </c>
      <c r="C28" s="77">
        <v>3</v>
      </c>
      <c r="D28" s="77">
        <v>3</v>
      </c>
      <c r="E28" s="77">
        <v>3</v>
      </c>
      <c r="F28" s="77">
        <v>2</v>
      </c>
      <c r="G28" s="77">
        <v>3</v>
      </c>
      <c r="H28" s="77">
        <v>2</v>
      </c>
      <c r="I28" s="77">
        <v>3</v>
      </c>
      <c r="J28" s="77">
        <v>3</v>
      </c>
      <c r="K28" s="77">
        <v>3</v>
      </c>
      <c r="L28" s="77">
        <v>3</v>
      </c>
      <c r="M28" s="77">
        <v>3</v>
      </c>
      <c r="N28" s="77" t="s">
        <v>6</v>
      </c>
      <c r="O28" s="77">
        <v>2</v>
      </c>
      <c r="P28" s="77">
        <v>0</v>
      </c>
      <c r="Q28" s="77">
        <v>3</v>
      </c>
      <c r="R28" s="77">
        <v>2</v>
      </c>
      <c r="S28" s="77">
        <v>3</v>
      </c>
      <c r="T28" s="77">
        <v>2</v>
      </c>
      <c r="U28" s="77">
        <v>2</v>
      </c>
      <c r="V28" s="75">
        <f>AVERAGE(C28:U28)</f>
        <v>2.5</v>
      </c>
    </row>
    <row r="29" spans="1:22" ht="27" customHeight="1">
      <c r="A29" s="71" t="s">
        <v>43</v>
      </c>
      <c r="B29" s="74" t="s">
        <v>44</v>
      </c>
      <c r="C29" s="77">
        <v>3</v>
      </c>
      <c r="D29" s="77">
        <v>2</v>
      </c>
      <c r="E29" s="77">
        <v>3</v>
      </c>
      <c r="F29" s="77">
        <v>3</v>
      </c>
      <c r="G29" s="77">
        <v>2</v>
      </c>
      <c r="H29" s="77">
        <v>2</v>
      </c>
      <c r="I29" s="77">
        <v>3</v>
      </c>
      <c r="J29" s="77">
        <v>3</v>
      </c>
      <c r="K29" s="77">
        <v>3</v>
      </c>
      <c r="L29" s="77">
        <v>2</v>
      </c>
      <c r="M29" s="77">
        <v>3</v>
      </c>
      <c r="N29" s="77" t="s">
        <v>6</v>
      </c>
      <c r="O29" s="77">
        <v>2</v>
      </c>
      <c r="P29" s="77">
        <v>2</v>
      </c>
      <c r="Q29" s="77">
        <v>3</v>
      </c>
      <c r="R29" s="77">
        <v>2</v>
      </c>
      <c r="S29" s="77">
        <v>3</v>
      </c>
      <c r="T29" s="77">
        <v>0</v>
      </c>
      <c r="U29" s="77">
        <v>2</v>
      </c>
      <c r="V29" s="75">
        <f>AVERAGE(C29:U29)</f>
        <v>2.3888888888888888</v>
      </c>
    </row>
    <row r="30" spans="1:22" ht="27" customHeight="1">
      <c r="A30" s="179" t="s">
        <v>45</v>
      </c>
      <c r="B30" s="165"/>
      <c r="C30" s="165"/>
      <c r="D30" s="165"/>
      <c r="E30" s="165"/>
      <c r="F30" s="165"/>
      <c r="G30" s="165"/>
      <c r="H30" s="165"/>
      <c r="I30" s="165"/>
      <c r="J30" s="165"/>
      <c r="K30" s="165"/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6"/>
    </row>
    <row r="31" spans="1:22" ht="27" customHeight="1">
      <c r="A31" s="71" t="s">
        <v>46</v>
      </c>
      <c r="B31" s="74" t="s">
        <v>47</v>
      </c>
      <c r="C31" s="76">
        <v>3</v>
      </c>
      <c r="D31" s="76">
        <v>2</v>
      </c>
      <c r="E31" s="76">
        <v>2</v>
      </c>
      <c r="F31" s="76">
        <v>2</v>
      </c>
      <c r="G31" s="76">
        <v>2</v>
      </c>
      <c r="H31" s="76">
        <v>0</v>
      </c>
      <c r="I31" s="76">
        <v>2</v>
      </c>
      <c r="J31" s="76">
        <v>2</v>
      </c>
      <c r="K31" s="76">
        <v>2</v>
      </c>
      <c r="L31" s="76">
        <v>3</v>
      </c>
      <c r="M31" s="76">
        <v>2</v>
      </c>
      <c r="N31" s="76" t="s">
        <v>6</v>
      </c>
      <c r="O31" s="76">
        <v>3</v>
      </c>
      <c r="P31" s="76">
        <v>2</v>
      </c>
      <c r="Q31" s="76">
        <v>3</v>
      </c>
      <c r="R31" s="76">
        <v>3</v>
      </c>
      <c r="S31" s="76">
        <v>3</v>
      </c>
      <c r="T31" s="76">
        <v>2</v>
      </c>
      <c r="U31" s="76">
        <v>0</v>
      </c>
      <c r="V31" s="75">
        <f>AVERAGE(C31:U31)</f>
        <v>2.1111111111111112</v>
      </c>
    </row>
    <row r="32" spans="1:22" ht="27" customHeight="1">
      <c r="A32" s="178" t="s">
        <v>48</v>
      </c>
      <c r="B32" s="165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6"/>
    </row>
    <row r="33" spans="1:22" ht="27" customHeight="1">
      <c r="A33" s="71" t="s">
        <v>49</v>
      </c>
      <c r="B33" s="74" t="s">
        <v>50</v>
      </c>
      <c r="C33" s="77">
        <v>3</v>
      </c>
      <c r="D33" s="77">
        <v>3</v>
      </c>
      <c r="E33" s="77">
        <v>3</v>
      </c>
      <c r="F33" s="77">
        <v>3</v>
      </c>
      <c r="G33" s="77">
        <v>3</v>
      </c>
      <c r="H33" s="77">
        <v>3</v>
      </c>
      <c r="I33" s="77">
        <v>3</v>
      </c>
      <c r="J33" s="77">
        <v>3</v>
      </c>
      <c r="K33" s="77">
        <v>3</v>
      </c>
      <c r="L33" s="77">
        <v>3</v>
      </c>
      <c r="M33" s="77">
        <v>3</v>
      </c>
      <c r="N33" s="77" t="s">
        <v>6</v>
      </c>
      <c r="O33" s="77">
        <v>3</v>
      </c>
      <c r="P33" s="77">
        <v>3</v>
      </c>
      <c r="Q33" s="77">
        <v>1</v>
      </c>
      <c r="R33" s="77">
        <v>3</v>
      </c>
      <c r="S33" s="77">
        <v>3</v>
      </c>
      <c r="T33" s="77">
        <v>3</v>
      </c>
      <c r="U33" s="77">
        <v>3</v>
      </c>
      <c r="V33" s="75">
        <f>AVERAGE(C33:U33)</f>
        <v>2.8888888888888888</v>
      </c>
    </row>
    <row r="34" spans="1:22" ht="27" customHeight="1">
      <c r="A34" s="178" t="s">
        <v>51</v>
      </c>
      <c r="B34" s="165"/>
      <c r="C34" s="165"/>
      <c r="D34" s="165"/>
      <c r="E34" s="165"/>
      <c r="F34" s="165"/>
      <c r="G34" s="165"/>
      <c r="H34" s="165"/>
      <c r="I34" s="165"/>
      <c r="J34" s="165"/>
      <c r="K34" s="165"/>
      <c r="L34" s="165"/>
      <c r="M34" s="165"/>
      <c r="N34" s="165"/>
      <c r="O34" s="165"/>
      <c r="P34" s="165"/>
      <c r="Q34" s="165"/>
      <c r="R34" s="165"/>
      <c r="S34" s="165"/>
      <c r="T34" s="165"/>
      <c r="U34" s="165"/>
      <c r="V34" s="166"/>
    </row>
    <row r="35" spans="1:22" ht="27" customHeight="1">
      <c r="A35" s="71" t="s">
        <v>52</v>
      </c>
      <c r="B35" s="74" t="s">
        <v>78</v>
      </c>
      <c r="C35" s="76">
        <v>3</v>
      </c>
      <c r="D35" s="76">
        <v>2.5</v>
      </c>
      <c r="E35" s="76">
        <v>2</v>
      </c>
      <c r="F35" s="76">
        <v>2.5</v>
      </c>
      <c r="G35" s="76">
        <v>2</v>
      </c>
      <c r="H35" s="76">
        <v>2</v>
      </c>
      <c r="I35" s="76">
        <v>2</v>
      </c>
      <c r="J35" s="76">
        <v>2</v>
      </c>
      <c r="K35" s="76">
        <v>3</v>
      </c>
      <c r="L35" s="76">
        <v>2.5</v>
      </c>
      <c r="M35" s="76">
        <v>3</v>
      </c>
      <c r="N35" s="76" t="s">
        <v>6</v>
      </c>
      <c r="O35" s="76">
        <v>2.5</v>
      </c>
      <c r="P35" s="76">
        <v>1</v>
      </c>
      <c r="Q35" s="76">
        <v>2</v>
      </c>
      <c r="R35" s="76">
        <v>2</v>
      </c>
      <c r="S35" s="76">
        <v>3</v>
      </c>
      <c r="T35" s="76">
        <v>1</v>
      </c>
      <c r="U35" s="76">
        <v>2</v>
      </c>
      <c r="V35" s="80">
        <f>AVERAGE(C35:U35)</f>
        <v>2.2222222222222223</v>
      </c>
    </row>
    <row r="36" spans="1:22" ht="27" customHeight="1">
      <c r="A36" s="178" t="s">
        <v>54</v>
      </c>
      <c r="B36" s="165"/>
      <c r="C36" s="165"/>
      <c r="D36" s="165"/>
      <c r="E36" s="165"/>
      <c r="F36" s="165"/>
      <c r="G36" s="165"/>
      <c r="H36" s="165"/>
      <c r="I36" s="165"/>
      <c r="J36" s="165"/>
      <c r="K36" s="165"/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6"/>
    </row>
    <row r="37" spans="1:22" ht="27" customHeight="1">
      <c r="A37" s="71" t="s">
        <v>55</v>
      </c>
      <c r="B37" s="74" t="s">
        <v>56</v>
      </c>
      <c r="C37" s="77" t="s">
        <v>6</v>
      </c>
      <c r="D37" s="77" t="s">
        <v>6</v>
      </c>
      <c r="E37" s="77" t="s">
        <v>6</v>
      </c>
      <c r="F37" s="77" t="s">
        <v>6</v>
      </c>
      <c r="G37" s="77" t="s">
        <v>6</v>
      </c>
      <c r="H37" s="77" t="s">
        <v>6</v>
      </c>
      <c r="I37" s="77" t="s">
        <v>6</v>
      </c>
      <c r="J37" s="77" t="s">
        <v>6</v>
      </c>
      <c r="K37" s="77" t="s">
        <v>6</v>
      </c>
      <c r="L37" s="77" t="s">
        <v>6</v>
      </c>
      <c r="M37" s="77" t="s">
        <v>6</v>
      </c>
      <c r="N37" s="77" t="s">
        <v>6</v>
      </c>
      <c r="O37" s="77" t="s">
        <v>6</v>
      </c>
      <c r="P37" s="77" t="s">
        <v>6</v>
      </c>
      <c r="Q37" s="77" t="s">
        <v>6</v>
      </c>
      <c r="R37" s="77" t="s">
        <v>6</v>
      </c>
      <c r="S37" s="77" t="s">
        <v>6</v>
      </c>
      <c r="T37" s="77" t="s">
        <v>6</v>
      </c>
      <c r="U37" s="77" t="s">
        <v>6</v>
      </c>
      <c r="V37" s="77" t="s">
        <v>6</v>
      </c>
    </row>
    <row r="38" spans="1:22" ht="27" customHeight="1">
      <c r="A38" s="71" t="s">
        <v>57</v>
      </c>
      <c r="B38" s="74" t="s">
        <v>58</v>
      </c>
      <c r="C38" s="77" t="s">
        <v>6</v>
      </c>
      <c r="D38" s="77" t="s">
        <v>6</v>
      </c>
      <c r="E38" s="77" t="s">
        <v>6</v>
      </c>
      <c r="F38" s="77" t="s">
        <v>6</v>
      </c>
      <c r="G38" s="77" t="s">
        <v>6</v>
      </c>
      <c r="H38" s="77" t="s">
        <v>6</v>
      </c>
      <c r="I38" s="77" t="s">
        <v>6</v>
      </c>
      <c r="J38" s="77" t="s">
        <v>6</v>
      </c>
      <c r="K38" s="77" t="s">
        <v>6</v>
      </c>
      <c r="L38" s="77" t="s">
        <v>6</v>
      </c>
      <c r="M38" s="77" t="s">
        <v>6</v>
      </c>
      <c r="N38" s="77" t="s">
        <v>6</v>
      </c>
      <c r="O38" s="77" t="s">
        <v>6</v>
      </c>
      <c r="P38" s="77" t="s">
        <v>6</v>
      </c>
      <c r="Q38" s="77" t="s">
        <v>6</v>
      </c>
      <c r="R38" s="77" t="s">
        <v>6</v>
      </c>
      <c r="S38" s="77" t="s">
        <v>6</v>
      </c>
      <c r="T38" s="77" t="s">
        <v>6</v>
      </c>
      <c r="U38" s="77" t="s">
        <v>6</v>
      </c>
      <c r="V38" s="77" t="s">
        <v>6</v>
      </c>
    </row>
    <row r="39" spans="1:22" ht="27" customHeight="1">
      <c r="A39" s="178" t="s">
        <v>59</v>
      </c>
      <c r="B39" s="165"/>
      <c r="C39" s="165"/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5"/>
      <c r="P39" s="165"/>
      <c r="Q39" s="165"/>
      <c r="R39" s="165"/>
      <c r="S39" s="165"/>
      <c r="T39" s="165"/>
      <c r="U39" s="165"/>
      <c r="V39" s="166"/>
    </row>
    <row r="40" spans="1:22" ht="27" customHeight="1">
      <c r="A40" s="71" t="s">
        <v>60</v>
      </c>
      <c r="B40" s="74" t="s">
        <v>61</v>
      </c>
      <c r="C40" s="76">
        <v>2</v>
      </c>
      <c r="D40" s="76">
        <v>3</v>
      </c>
      <c r="E40" s="76">
        <v>2</v>
      </c>
      <c r="F40" s="76">
        <v>3</v>
      </c>
      <c r="G40" s="76">
        <v>2</v>
      </c>
      <c r="H40" s="76">
        <v>2</v>
      </c>
      <c r="I40" s="76">
        <v>2</v>
      </c>
      <c r="J40" s="76">
        <v>2</v>
      </c>
      <c r="K40" s="76">
        <v>2</v>
      </c>
      <c r="L40" s="76">
        <v>2</v>
      </c>
      <c r="M40" s="76">
        <v>2</v>
      </c>
      <c r="N40" s="76" t="s">
        <v>6</v>
      </c>
      <c r="O40" s="76">
        <v>3</v>
      </c>
      <c r="P40" s="76">
        <v>3</v>
      </c>
      <c r="Q40" s="76">
        <v>2</v>
      </c>
      <c r="R40" s="76">
        <v>2</v>
      </c>
      <c r="S40" s="76">
        <v>3</v>
      </c>
      <c r="T40" s="76">
        <v>2</v>
      </c>
      <c r="U40" s="76">
        <v>2</v>
      </c>
      <c r="V40" s="75">
        <f>AVERAGE(C40:U40)</f>
        <v>2.2777777777777777</v>
      </c>
    </row>
    <row r="41" spans="1:22" ht="27" customHeight="1">
      <c r="A41" s="71" t="s">
        <v>62</v>
      </c>
      <c r="B41" s="74" t="s">
        <v>63</v>
      </c>
      <c r="C41" s="76">
        <v>3</v>
      </c>
      <c r="D41" s="76">
        <v>3</v>
      </c>
      <c r="E41" s="76">
        <v>3</v>
      </c>
      <c r="F41" s="76">
        <v>3</v>
      </c>
      <c r="G41" s="76">
        <v>3</v>
      </c>
      <c r="H41" s="76">
        <v>3</v>
      </c>
      <c r="I41" s="76">
        <v>3</v>
      </c>
      <c r="J41" s="76">
        <v>3</v>
      </c>
      <c r="K41" s="76">
        <v>3</v>
      </c>
      <c r="L41" s="76">
        <v>3</v>
      </c>
      <c r="M41" s="76">
        <v>3</v>
      </c>
      <c r="N41" s="76" t="s">
        <v>6</v>
      </c>
      <c r="O41" s="76">
        <v>3</v>
      </c>
      <c r="P41" s="76">
        <v>3</v>
      </c>
      <c r="Q41" s="76">
        <v>3</v>
      </c>
      <c r="R41" s="76">
        <v>3</v>
      </c>
      <c r="S41" s="76">
        <v>3</v>
      </c>
      <c r="T41" s="76">
        <v>3</v>
      </c>
      <c r="U41" s="76">
        <v>3</v>
      </c>
      <c r="V41" s="75">
        <f>AVERAGE(C41:U41)</f>
        <v>3</v>
      </c>
    </row>
    <row r="42" spans="1:22" ht="27" customHeight="1">
      <c r="A42" s="178" t="s">
        <v>64</v>
      </c>
      <c r="B42" s="165"/>
      <c r="C42" s="165"/>
      <c r="D42" s="165"/>
      <c r="E42" s="165"/>
      <c r="F42" s="165"/>
      <c r="G42" s="165"/>
      <c r="H42" s="165"/>
      <c r="I42" s="165"/>
      <c r="J42" s="165"/>
      <c r="K42" s="165"/>
      <c r="L42" s="165"/>
      <c r="M42" s="165"/>
      <c r="N42" s="165"/>
      <c r="O42" s="165"/>
      <c r="P42" s="165"/>
      <c r="Q42" s="165"/>
      <c r="R42" s="165"/>
      <c r="S42" s="165"/>
      <c r="T42" s="165"/>
      <c r="U42" s="165"/>
      <c r="V42" s="166"/>
    </row>
    <row r="43" spans="1:22" ht="27" customHeight="1">
      <c r="A43" s="71" t="s">
        <v>65</v>
      </c>
      <c r="B43" s="74" t="s">
        <v>66</v>
      </c>
      <c r="C43" s="77" t="s">
        <v>6</v>
      </c>
      <c r="D43" s="77" t="s">
        <v>6</v>
      </c>
      <c r="E43" s="77" t="s">
        <v>6</v>
      </c>
      <c r="F43" s="77" t="s">
        <v>6</v>
      </c>
      <c r="G43" s="77" t="s">
        <v>6</v>
      </c>
      <c r="H43" s="77" t="s">
        <v>6</v>
      </c>
      <c r="I43" s="77" t="s">
        <v>6</v>
      </c>
      <c r="J43" s="77" t="s">
        <v>6</v>
      </c>
      <c r="K43" s="77" t="s">
        <v>6</v>
      </c>
      <c r="L43" s="77" t="s">
        <v>6</v>
      </c>
      <c r="M43" s="77" t="s">
        <v>6</v>
      </c>
      <c r="N43" s="77" t="s">
        <v>6</v>
      </c>
      <c r="O43" s="77" t="s">
        <v>6</v>
      </c>
      <c r="P43" s="77" t="s">
        <v>6</v>
      </c>
      <c r="Q43" s="77" t="s">
        <v>6</v>
      </c>
      <c r="R43" s="77" t="s">
        <v>6</v>
      </c>
      <c r="S43" s="77" t="s">
        <v>6</v>
      </c>
      <c r="T43" s="77" t="s">
        <v>6</v>
      </c>
      <c r="U43" s="77" t="s">
        <v>6</v>
      </c>
      <c r="V43" s="77" t="s">
        <v>6</v>
      </c>
    </row>
    <row r="44" spans="1:22" ht="27" customHeight="1">
      <c r="A44" s="176"/>
      <c r="B44" s="166"/>
      <c r="C44" s="90">
        <f t="shared" ref="C44:M44" si="0">AVERAGE(C7:C43)</f>
        <v>2.6749999999999998</v>
      </c>
      <c r="D44" s="81">
        <f t="shared" si="0"/>
        <v>2.4249999999999998</v>
      </c>
      <c r="E44" s="82">
        <f t="shared" si="0"/>
        <v>2.4750000000000001</v>
      </c>
      <c r="F44" s="82">
        <f t="shared" si="0"/>
        <v>2.4500000000000002</v>
      </c>
      <c r="G44" s="82">
        <f t="shared" si="0"/>
        <v>2.4249999999999998</v>
      </c>
      <c r="H44" s="82">
        <f t="shared" si="0"/>
        <v>2.25</v>
      </c>
      <c r="I44" s="82">
        <f t="shared" si="0"/>
        <v>2.4500000000000002</v>
      </c>
      <c r="J44" s="82">
        <f t="shared" si="0"/>
        <v>2.2999999999999998</v>
      </c>
      <c r="K44" s="82">
        <f t="shared" si="0"/>
        <v>2.5499999999999998</v>
      </c>
      <c r="L44" s="82">
        <f t="shared" si="0"/>
        <v>2.5750000000000002</v>
      </c>
      <c r="M44" s="90">
        <f t="shared" si="0"/>
        <v>2.625</v>
      </c>
      <c r="N44" s="79" t="s">
        <v>6</v>
      </c>
      <c r="O44" s="82">
        <f t="shared" ref="O44:U44" si="1">AVERAGE(O7:O43)</f>
        <v>2.4500000000000002</v>
      </c>
      <c r="P44" s="83">
        <f t="shared" si="1"/>
        <v>2.0750000000000002</v>
      </c>
      <c r="Q44" s="82">
        <f t="shared" si="1"/>
        <v>2.5249999999999999</v>
      </c>
      <c r="R44" s="82">
        <f t="shared" si="1"/>
        <v>2.4500000000000002</v>
      </c>
      <c r="S44" s="89">
        <f t="shared" si="1"/>
        <v>2.7250000000000001</v>
      </c>
      <c r="T44" s="82">
        <f t="shared" si="1"/>
        <v>1.925</v>
      </c>
      <c r="U44" s="82">
        <f t="shared" si="1"/>
        <v>2.125</v>
      </c>
      <c r="V44" s="84">
        <f>AVERAGE(C44:U44)</f>
        <v>2.4152777777777779</v>
      </c>
    </row>
    <row r="45" spans="1:22">
      <c r="A45" s="85"/>
      <c r="B45" s="85"/>
      <c r="C45" s="86"/>
      <c r="D45" s="86"/>
      <c r="E45" s="86"/>
      <c r="F45" s="86"/>
      <c r="G45" s="86"/>
      <c r="H45" s="86"/>
      <c r="I45" s="87"/>
      <c r="J45" s="86"/>
      <c r="K45" s="86"/>
      <c r="L45" s="86"/>
      <c r="M45" s="86"/>
      <c r="N45" s="86"/>
      <c r="O45" s="87"/>
      <c r="P45" s="86"/>
      <c r="Q45" s="86"/>
      <c r="R45" s="86"/>
      <c r="S45" s="86"/>
      <c r="T45" s="86"/>
      <c r="U45" s="86"/>
      <c r="V45" s="87"/>
    </row>
    <row r="46" spans="1:22">
      <c r="A46" s="167" t="s">
        <v>111</v>
      </c>
      <c r="B46" s="165"/>
      <c r="C46" s="165"/>
      <c r="D46" s="165"/>
      <c r="E46" s="165"/>
      <c r="F46" s="165"/>
      <c r="G46" s="165"/>
      <c r="H46" s="165"/>
      <c r="I46" s="165"/>
      <c r="J46" s="165"/>
      <c r="K46" s="165"/>
      <c r="L46" s="165"/>
      <c r="M46" s="165"/>
      <c r="N46" s="166"/>
      <c r="O46" s="88"/>
      <c r="P46" s="88"/>
      <c r="Q46" s="88"/>
      <c r="R46" s="88"/>
      <c r="S46" s="88"/>
      <c r="T46" s="88"/>
      <c r="U46" s="88"/>
      <c r="V46" s="88"/>
    </row>
    <row r="47" spans="1:22">
      <c r="A47" s="177" t="s">
        <v>98</v>
      </c>
      <c r="B47" s="165"/>
      <c r="C47" s="165"/>
      <c r="D47" s="165"/>
      <c r="E47" s="165"/>
      <c r="F47" s="166"/>
      <c r="G47" s="176" t="s">
        <v>109</v>
      </c>
      <c r="H47" s="165"/>
      <c r="I47" s="165"/>
      <c r="J47" s="165"/>
      <c r="K47" s="165"/>
      <c r="L47" s="165"/>
      <c r="M47" s="165"/>
      <c r="N47" s="166"/>
      <c r="O47" s="88"/>
      <c r="P47" s="88"/>
      <c r="Q47" s="88"/>
      <c r="R47" s="88"/>
      <c r="S47" s="88"/>
      <c r="T47" s="88"/>
      <c r="U47" s="88"/>
      <c r="V47" s="88"/>
    </row>
    <row r="48" spans="1:22">
      <c r="A48" s="167" t="s">
        <v>67</v>
      </c>
      <c r="B48" s="166"/>
      <c r="C48" s="176" t="s">
        <v>68</v>
      </c>
      <c r="D48" s="165"/>
      <c r="E48" s="165"/>
      <c r="F48" s="166"/>
      <c r="G48" s="176" t="s">
        <v>69</v>
      </c>
      <c r="H48" s="165"/>
      <c r="I48" s="165"/>
      <c r="J48" s="166"/>
      <c r="K48" s="176" t="s">
        <v>70</v>
      </c>
      <c r="L48" s="165"/>
      <c r="M48" s="165"/>
      <c r="N48" s="166"/>
      <c r="O48" s="88"/>
      <c r="P48" s="88"/>
      <c r="Q48" s="88"/>
      <c r="R48" s="88"/>
      <c r="S48" s="88"/>
      <c r="T48" s="88"/>
      <c r="U48" s="88"/>
      <c r="V48" s="88"/>
    </row>
    <row r="49" spans="1:22">
      <c r="A49" s="172" t="s">
        <v>71</v>
      </c>
      <c r="B49" s="173"/>
      <c r="C49" s="168" t="s">
        <v>93</v>
      </c>
      <c r="D49" s="165"/>
      <c r="E49" s="165"/>
      <c r="F49" s="166"/>
      <c r="G49" s="168" t="s">
        <v>79</v>
      </c>
      <c r="H49" s="169"/>
      <c r="I49" s="169"/>
      <c r="J49" s="170"/>
      <c r="K49" s="171" t="s">
        <v>89</v>
      </c>
      <c r="L49" s="165"/>
      <c r="M49" s="165"/>
      <c r="N49" s="166"/>
      <c r="O49" s="88"/>
      <c r="P49" s="88"/>
      <c r="Q49" s="88"/>
      <c r="R49" s="88"/>
      <c r="S49" s="88"/>
      <c r="T49" s="88"/>
      <c r="U49" s="88"/>
      <c r="V49" s="88"/>
    </row>
    <row r="50" spans="1:22">
      <c r="A50" s="174"/>
      <c r="B50" s="175"/>
      <c r="C50" s="168">
        <v>2.7250000000000001</v>
      </c>
      <c r="D50" s="165"/>
      <c r="E50" s="165"/>
      <c r="F50" s="166"/>
      <c r="G50" s="168">
        <v>2.6749999999999998</v>
      </c>
      <c r="H50" s="165"/>
      <c r="I50" s="165"/>
      <c r="J50" s="166"/>
      <c r="K50" s="168">
        <v>2.625</v>
      </c>
      <c r="L50" s="165"/>
      <c r="M50" s="165"/>
      <c r="N50" s="166"/>
      <c r="O50" s="88"/>
      <c r="P50" s="88"/>
      <c r="Q50" s="88"/>
      <c r="R50" s="88"/>
      <c r="S50" s="88"/>
      <c r="T50" s="88"/>
      <c r="U50" s="88"/>
      <c r="V50" s="88"/>
    </row>
    <row r="51" spans="1:22">
      <c r="A51" s="167" t="s">
        <v>72</v>
      </c>
      <c r="B51" s="166"/>
      <c r="C51" s="168" t="s">
        <v>93</v>
      </c>
      <c r="D51" s="165"/>
      <c r="E51" s="165"/>
      <c r="F51" s="166"/>
      <c r="G51" s="168" t="s">
        <v>79</v>
      </c>
      <c r="H51" s="169"/>
      <c r="I51" s="169"/>
      <c r="J51" s="170"/>
      <c r="K51" s="171" t="s">
        <v>89</v>
      </c>
      <c r="L51" s="165"/>
      <c r="M51" s="165"/>
      <c r="N51" s="166"/>
      <c r="O51" s="88"/>
      <c r="P51" s="88"/>
      <c r="Q51" s="88"/>
      <c r="R51" s="88"/>
      <c r="S51" s="88"/>
      <c r="T51" s="88"/>
      <c r="U51" s="88"/>
      <c r="V51" s="88"/>
    </row>
    <row r="52" spans="1:22">
      <c r="A52" s="167" t="s">
        <v>73</v>
      </c>
      <c r="B52" s="166"/>
      <c r="C52" s="168" t="s">
        <v>94</v>
      </c>
      <c r="D52" s="165"/>
      <c r="E52" s="165"/>
      <c r="F52" s="166"/>
      <c r="G52" s="168" t="s">
        <v>85</v>
      </c>
      <c r="H52" s="165"/>
      <c r="I52" s="165"/>
      <c r="J52" s="166"/>
      <c r="K52" s="168" t="s">
        <v>101</v>
      </c>
      <c r="L52" s="165"/>
      <c r="M52" s="165"/>
      <c r="N52" s="166"/>
      <c r="O52" s="88"/>
      <c r="P52" s="88"/>
      <c r="Q52" s="88"/>
      <c r="R52" s="88"/>
      <c r="S52" s="88"/>
      <c r="T52" s="88"/>
      <c r="U52" s="88"/>
      <c r="V52" s="88"/>
    </row>
    <row r="53" spans="1:22">
      <c r="A53" s="167" t="s">
        <v>74</v>
      </c>
      <c r="B53" s="166"/>
      <c r="C53" s="168" t="s">
        <v>82</v>
      </c>
      <c r="D53" s="165"/>
      <c r="E53" s="165"/>
      <c r="F53" s="166"/>
      <c r="G53" s="168" t="s">
        <v>81</v>
      </c>
      <c r="H53" s="165"/>
      <c r="I53" s="165"/>
      <c r="J53" s="166"/>
      <c r="K53" s="168" t="s">
        <v>104</v>
      </c>
      <c r="L53" s="169"/>
      <c r="M53" s="169"/>
      <c r="N53" s="170"/>
      <c r="O53" s="88"/>
      <c r="P53" s="88"/>
      <c r="Q53" s="88"/>
      <c r="R53" s="88"/>
      <c r="S53" s="88"/>
      <c r="T53" s="88"/>
      <c r="U53" s="88"/>
      <c r="V53" s="88"/>
    </row>
    <row r="54" spans="1:22">
      <c r="A54" s="167" t="s">
        <v>75</v>
      </c>
      <c r="B54" s="166"/>
      <c r="C54" s="168" t="s">
        <v>92</v>
      </c>
      <c r="D54" s="165"/>
      <c r="E54" s="165"/>
      <c r="F54" s="166"/>
      <c r="G54" s="168" t="s">
        <v>85</v>
      </c>
      <c r="H54" s="165"/>
      <c r="I54" s="165"/>
      <c r="J54" s="166"/>
      <c r="K54" s="168" t="s">
        <v>86</v>
      </c>
      <c r="L54" s="165"/>
      <c r="M54" s="165"/>
      <c r="N54" s="166"/>
      <c r="O54" s="88"/>
      <c r="P54" s="88"/>
      <c r="Q54" s="88"/>
      <c r="R54" s="88"/>
      <c r="S54" s="88"/>
      <c r="T54" s="88"/>
      <c r="U54" s="88"/>
      <c r="V54" s="88"/>
    </row>
    <row r="55" spans="1:22">
      <c r="A55" s="167" t="s">
        <v>76</v>
      </c>
      <c r="B55" s="166"/>
      <c r="C55" s="168" t="s">
        <v>6</v>
      </c>
      <c r="D55" s="165"/>
      <c r="E55" s="165"/>
      <c r="F55" s="166"/>
      <c r="G55" s="168" t="s">
        <v>6</v>
      </c>
      <c r="H55" s="165"/>
      <c r="I55" s="165"/>
      <c r="J55" s="166"/>
      <c r="K55" s="168" t="s">
        <v>6</v>
      </c>
      <c r="L55" s="165"/>
      <c r="M55" s="165"/>
      <c r="N55" s="166"/>
      <c r="O55" s="88"/>
      <c r="P55" s="88"/>
      <c r="Q55" s="88"/>
      <c r="R55" s="88"/>
      <c r="S55" s="88"/>
      <c r="T55" s="88"/>
      <c r="U55" s="88"/>
      <c r="V55" s="88"/>
    </row>
    <row r="56" spans="1:22">
      <c r="A56" s="122" t="s">
        <v>112</v>
      </c>
      <c r="B56" s="165"/>
      <c r="C56" s="165"/>
      <c r="D56" s="165"/>
      <c r="E56" s="165"/>
      <c r="F56" s="165"/>
      <c r="G56" s="165"/>
      <c r="H56" s="165"/>
      <c r="I56" s="165"/>
      <c r="J56" s="165"/>
      <c r="K56" s="165"/>
      <c r="L56" s="165"/>
      <c r="M56" s="165"/>
      <c r="N56" s="166"/>
      <c r="O56" s="88"/>
      <c r="P56" s="88"/>
      <c r="Q56" s="88"/>
      <c r="R56" s="88"/>
      <c r="S56" s="88"/>
      <c r="T56" s="88"/>
      <c r="U56" s="88"/>
      <c r="V56" s="88"/>
    </row>
  </sheetData>
  <mergeCells count="54">
    <mergeCell ref="A1:V1"/>
    <mergeCell ref="A2:V2"/>
    <mergeCell ref="A3:B3"/>
    <mergeCell ref="C3:U3"/>
    <mergeCell ref="V3:V5"/>
    <mergeCell ref="A4:B5"/>
    <mergeCell ref="A42:V42"/>
    <mergeCell ref="A6:V6"/>
    <mergeCell ref="A10:V10"/>
    <mergeCell ref="A19:V19"/>
    <mergeCell ref="A21:V21"/>
    <mergeCell ref="A24:V24"/>
    <mergeCell ref="A26:V26"/>
    <mergeCell ref="A30:V30"/>
    <mergeCell ref="A32:V32"/>
    <mergeCell ref="A34:V34"/>
    <mergeCell ref="A36:V36"/>
    <mergeCell ref="A39:V39"/>
    <mergeCell ref="A44:B44"/>
    <mergeCell ref="A46:N46"/>
    <mergeCell ref="A47:F47"/>
    <mergeCell ref="G47:N47"/>
    <mergeCell ref="A48:B48"/>
    <mergeCell ref="C48:F48"/>
    <mergeCell ref="G48:J48"/>
    <mergeCell ref="K48:N48"/>
    <mergeCell ref="A49:B50"/>
    <mergeCell ref="C49:F49"/>
    <mergeCell ref="G49:J49"/>
    <mergeCell ref="K49:N49"/>
    <mergeCell ref="C50:F50"/>
    <mergeCell ref="G50:J50"/>
    <mergeCell ref="K50:N50"/>
    <mergeCell ref="A51:B51"/>
    <mergeCell ref="C51:F51"/>
    <mergeCell ref="G51:J51"/>
    <mergeCell ref="K51:N51"/>
    <mergeCell ref="A52:B52"/>
    <mergeCell ref="C52:F52"/>
    <mergeCell ref="G52:J52"/>
    <mergeCell ref="K52:N52"/>
    <mergeCell ref="A53:B53"/>
    <mergeCell ref="C53:F53"/>
    <mergeCell ref="G53:J53"/>
    <mergeCell ref="K53:N53"/>
    <mergeCell ref="A54:B54"/>
    <mergeCell ref="C54:F54"/>
    <mergeCell ref="G54:J54"/>
    <mergeCell ref="K54:N54"/>
    <mergeCell ref="A55:B55"/>
    <mergeCell ref="C55:F55"/>
    <mergeCell ref="G55:J55"/>
    <mergeCell ref="K55:N55"/>
    <mergeCell ref="A56:N5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AE13C-E883-4337-A419-7CF5815B6629}">
  <dimension ref="A1:U56"/>
  <sheetViews>
    <sheetView workbookViewId="0">
      <selection activeCell="V4" sqref="V4"/>
    </sheetView>
  </sheetViews>
  <sheetFormatPr defaultRowHeight="14.4"/>
  <sheetData>
    <row r="1" spans="1:21">
      <c r="A1" s="190" t="s">
        <v>113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2"/>
    </row>
    <row r="2" spans="1:21">
      <c r="A2" s="190" t="s">
        <v>98</v>
      </c>
      <c r="B2" s="192"/>
      <c r="C2" s="190" t="s">
        <v>99</v>
      </c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3" t="s">
        <v>1</v>
      </c>
    </row>
    <row r="3" spans="1:21">
      <c r="A3" s="196" t="s">
        <v>2</v>
      </c>
      <c r="B3" s="197"/>
      <c r="C3" s="92">
        <v>1</v>
      </c>
      <c r="D3" s="92">
        <v>2</v>
      </c>
      <c r="E3" s="92">
        <v>3</v>
      </c>
      <c r="F3" s="92">
        <v>4</v>
      </c>
      <c r="G3" s="92">
        <v>5</v>
      </c>
      <c r="H3" s="92">
        <v>6</v>
      </c>
      <c r="I3" s="92">
        <v>7</v>
      </c>
      <c r="J3" s="92">
        <v>8</v>
      </c>
      <c r="K3" s="92">
        <v>9</v>
      </c>
      <c r="L3" s="92">
        <v>10</v>
      </c>
      <c r="M3" s="92">
        <v>11</v>
      </c>
      <c r="N3" s="92">
        <v>12</v>
      </c>
      <c r="O3" s="92">
        <v>13</v>
      </c>
      <c r="P3" s="92">
        <v>14</v>
      </c>
      <c r="Q3" s="92">
        <v>15</v>
      </c>
      <c r="R3" s="92">
        <v>16</v>
      </c>
      <c r="S3" s="92">
        <v>17</v>
      </c>
      <c r="T3" s="92">
        <v>18</v>
      </c>
      <c r="U3" s="194"/>
    </row>
    <row r="4" spans="1:21" ht="94.8">
      <c r="A4" s="198"/>
      <c r="B4" s="199"/>
      <c r="C4" s="93" t="s">
        <v>79</v>
      </c>
      <c r="D4" s="93" t="s">
        <v>80</v>
      </c>
      <c r="E4" s="94" t="s">
        <v>81</v>
      </c>
      <c r="F4" s="94" t="s">
        <v>82</v>
      </c>
      <c r="G4" s="94" t="s">
        <v>84</v>
      </c>
      <c r="H4" s="94" t="s">
        <v>85</v>
      </c>
      <c r="I4" s="94" t="s">
        <v>86</v>
      </c>
      <c r="J4" s="94" t="s">
        <v>101</v>
      </c>
      <c r="K4" s="94" t="s">
        <v>87</v>
      </c>
      <c r="L4" s="94" t="s">
        <v>88</v>
      </c>
      <c r="M4" s="94" t="s">
        <v>89</v>
      </c>
      <c r="N4" s="94" t="s">
        <v>102</v>
      </c>
      <c r="O4" s="94" t="s">
        <v>90</v>
      </c>
      <c r="P4" s="94" t="s">
        <v>91</v>
      </c>
      <c r="Q4" s="94" t="s">
        <v>92</v>
      </c>
      <c r="R4" s="94" t="s">
        <v>93</v>
      </c>
      <c r="S4" s="94" t="s">
        <v>94</v>
      </c>
      <c r="T4" s="93" t="s">
        <v>104</v>
      </c>
      <c r="U4" s="195"/>
    </row>
    <row r="5" spans="1:21">
      <c r="A5" s="187" t="s">
        <v>3</v>
      </c>
      <c r="B5" s="188"/>
      <c r="C5" s="188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9"/>
    </row>
    <row r="6" spans="1:21" ht="26.4">
      <c r="A6" s="95" t="s">
        <v>107</v>
      </c>
      <c r="B6" s="95" t="s">
        <v>5</v>
      </c>
      <c r="C6" s="96">
        <v>3</v>
      </c>
      <c r="D6" s="96">
        <v>2</v>
      </c>
      <c r="E6" s="96">
        <v>2.5</v>
      </c>
      <c r="F6" s="96">
        <v>3</v>
      </c>
      <c r="G6" s="96">
        <v>3</v>
      </c>
      <c r="H6" s="96">
        <v>3</v>
      </c>
      <c r="I6" s="96">
        <v>3</v>
      </c>
      <c r="J6" s="96">
        <v>2.5</v>
      </c>
      <c r="K6" s="96">
        <v>3</v>
      </c>
      <c r="L6" s="96">
        <v>3</v>
      </c>
      <c r="M6" s="96">
        <v>3</v>
      </c>
      <c r="N6" s="96" t="s">
        <v>6</v>
      </c>
      <c r="O6" s="96">
        <v>2.5</v>
      </c>
      <c r="P6" s="96">
        <v>2.5</v>
      </c>
      <c r="Q6" s="96">
        <v>2.5</v>
      </c>
      <c r="R6" s="96">
        <v>2.5</v>
      </c>
      <c r="S6" s="96">
        <v>3</v>
      </c>
      <c r="T6" s="96">
        <v>2</v>
      </c>
      <c r="U6" s="97">
        <f>AVERAGE(C6:T6)</f>
        <v>2.7058823529411766</v>
      </c>
    </row>
    <row r="7" spans="1:21" ht="92.4">
      <c r="A7" s="95" t="s">
        <v>7</v>
      </c>
      <c r="B7" s="98" t="s">
        <v>8</v>
      </c>
      <c r="C7" s="96">
        <v>3</v>
      </c>
      <c r="D7" s="96">
        <v>3</v>
      </c>
      <c r="E7" s="96">
        <v>2</v>
      </c>
      <c r="F7" s="96">
        <v>3</v>
      </c>
      <c r="G7" s="96">
        <v>1</v>
      </c>
      <c r="H7" s="96">
        <v>3</v>
      </c>
      <c r="I7" s="96">
        <v>2</v>
      </c>
      <c r="J7" s="96">
        <v>3</v>
      </c>
      <c r="K7" s="96">
        <v>3</v>
      </c>
      <c r="L7" s="96">
        <v>3</v>
      </c>
      <c r="M7" s="96">
        <v>3</v>
      </c>
      <c r="N7" s="96" t="s">
        <v>6</v>
      </c>
      <c r="O7" s="96">
        <v>3</v>
      </c>
      <c r="P7" s="96">
        <v>3</v>
      </c>
      <c r="Q7" s="96">
        <v>3</v>
      </c>
      <c r="R7" s="96">
        <v>3</v>
      </c>
      <c r="S7" s="96">
        <v>1</v>
      </c>
      <c r="T7" s="96">
        <v>2</v>
      </c>
      <c r="U7" s="99">
        <f>AVERAGE(C7:T7)</f>
        <v>2.5882352941176472</v>
      </c>
    </row>
    <row r="8" spans="1:21" ht="39.6">
      <c r="A8" s="95" t="s">
        <v>9</v>
      </c>
      <c r="B8" s="98" t="s">
        <v>10</v>
      </c>
      <c r="C8" s="100">
        <v>3</v>
      </c>
      <c r="D8" s="100">
        <v>3</v>
      </c>
      <c r="E8" s="100">
        <v>3</v>
      </c>
      <c r="F8" s="100">
        <v>3</v>
      </c>
      <c r="G8" s="100">
        <v>3</v>
      </c>
      <c r="H8" s="100">
        <v>3</v>
      </c>
      <c r="I8" s="100">
        <v>3</v>
      </c>
      <c r="J8" s="100">
        <v>2</v>
      </c>
      <c r="K8" s="100">
        <v>3</v>
      </c>
      <c r="L8" s="100">
        <v>3</v>
      </c>
      <c r="M8" s="100">
        <v>3</v>
      </c>
      <c r="N8" s="96" t="s">
        <v>6</v>
      </c>
      <c r="O8" s="100">
        <v>3</v>
      </c>
      <c r="P8" s="100">
        <v>3</v>
      </c>
      <c r="Q8" s="100">
        <v>3</v>
      </c>
      <c r="R8" s="100">
        <v>3</v>
      </c>
      <c r="S8" s="100">
        <v>1</v>
      </c>
      <c r="T8" s="100">
        <v>3</v>
      </c>
      <c r="U8" s="99">
        <f>AVERAGE(C8:T8)</f>
        <v>2.8235294117647061</v>
      </c>
    </row>
    <row r="9" spans="1:21">
      <c r="A9" s="187">
        <v>2</v>
      </c>
      <c r="B9" s="188"/>
      <c r="C9" s="188"/>
      <c r="D9" s="188"/>
      <c r="E9" s="188"/>
      <c r="F9" s="188"/>
      <c r="G9" s="188"/>
      <c r="H9" s="188"/>
      <c r="I9" s="188"/>
      <c r="J9" s="188"/>
      <c r="K9" s="188"/>
      <c r="L9" s="188"/>
      <c r="M9" s="188"/>
      <c r="N9" s="188"/>
      <c r="O9" s="188"/>
      <c r="P9" s="188"/>
      <c r="Q9" s="188"/>
      <c r="R9" s="188"/>
      <c r="S9" s="188"/>
      <c r="T9" s="188"/>
      <c r="U9" s="189"/>
    </row>
    <row r="10" spans="1:21" ht="39.6">
      <c r="A10" s="95" t="s">
        <v>11</v>
      </c>
      <c r="B10" s="98" t="s">
        <v>12</v>
      </c>
      <c r="C10" s="101">
        <v>3</v>
      </c>
      <c r="D10" s="101">
        <v>3</v>
      </c>
      <c r="E10" s="101">
        <v>3</v>
      </c>
      <c r="F10" s="101">
        <v>3</v>
      </c>
      <c r="G10" s="101">
        <v>3</v>
      </c>
      <c r="H10" s="101">
        <v>3</v>
      </c>
      <c r="I10" s="101">
        <v>3</v>
      </c>
      <c r="J10" s="101">
        <v>3</v>
      </c>
      <c r="K10" s="101">
        <v>3</v>
      </c>
      <c r="L10" s="101">
        <v>3</v>
      </c>
      <c r="M10" s="101">
        <v>3</v>
      </c>
      <c r="N10" s="101" t="s">
        <v>6</v>
      </c>
      <c r="O10" s="101">
        <v>3</v>
      </c>
      <c r="P10" s="101">
        <v>3</v>
      </c>
      <c r="Q10" s="101">
        <v>3</v>
      </c>
      <c r="R10" s="101">
        <v>3</v>
      </c>
      <c r="S10" s="101">
        <v>3</v>
      </c>
      <c r="T10" s="101">
        <v>3</v>
      </c>
      <c r="U10" s="99">
        <f>AVERAGE(C10:T10)</f>
        <v>3</v>
      </c>
    </row>
    <row r="11" spans="1:21" ht="39.6">
      <c r="A11" s="95" t="s">
        <v>13</v>
      </c>
      <c r="B11" s="98" t="s">
        <v>14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 t="s">
        <v>6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2">
        <v>0</v>
      </c>
    </row>
    <row r="12" spans="1:21" ht="92.4">
      <c r="A12" s="95" t="s">
        <v>15</v>
      </c>
      <c r="B12" s="98" t="s">
        <v>16</v>
      </c>
      <c r="C12" s="101" t="s">
        <v>6</v>
      </c>
      <c r="D12" s="101" t="s">
        <v>6</v>
      </c>
      <c r="E12" s="101" t="s">
        <v>6</v>
      </c>
      <c r="F12" s="101" t="s">
        <v>6</v>
      </c>
      <c r="G12" s="101" t="s">
        <v>6</v>
      </c>
      <c r="H12" s="101" t="s">
        <v>6</v>
      </c>
      <c r="I12" s="101" t="s">
        <v>6</v>
      </c>
      <c r="J12" s="101" t="s">
        <v>6</v>
      </c>
      <c r="K12" s="101" t="s">
        <v>6</v>
      </c>
      <c r="L12" s="101" t="s">
        <v>6</v>
      </c>
      <c r="M12" s="101" t="s">
        <v>6</v>
      </c>
      <c r="N12" s="101" t="s">
        <v>6</v>
      </c>
      <c r="O12" s="101" t="s">
        <v>6</v>
      </c>
      <c r="P12" s="101" t="s">
        <v>6</v>
      </c>
      <c r="Q12" s="101" t="s">
        <v>6</v>
      </c>
      <c r="R12" s="101" t="s">
        <v>6</v>
      </c>
      <c r="S12" s="101" t="s">
        <v>6</v>
      </c>
      <c r="T12" s="101" t="s">
        <v>6</v>
      </c>
      <c r="U12" s="101" t="s">
        <v>6</v>
      </c>
    </row>
    <row r="13" spans="1:21" ht="79.2">
      <c r="A13" s="95" t="s">
        <v>17</v>
      </c>
      <c r="B13" s="98" t="s">
        <v>18</v>
      </c>
      <c r="C13" s="101" t="s">
        <v>6</v>
      </c>
      <c r="D13" s="101" t="s">
        <v>6</v>
      </c>
      <c r="E13" s="101" t="s">
        <v>6</v>
      </c>
      <c r="F13" s="101" t="s">
        <v>6</v>
      </c>
      <c r="G13" s="101" t="s">
        <v>6</v>
      </c>
      <c r="H13" s="101" t="s">
        <v>6</v>
      </c>
      <c r="I13" s="101" t="s">
        <v>6</v>
      </c>
      <c r="J13" s="101" t="s">
        <v>6</v>
      </c>
      <c r="K13" s="101" t="s">
        <v>6</v>
      </c>
      <c r="L13" s="101" t="s">
        <v>6</v>
      </c>
      <c r="M13" s="101" t="s">
        <v>6</v>
      </c>
      <c r="N13" s="101" t="s">
        <v>6</v>
      </c>
      <c r="O13" s="101" t="s">
        <v>6</v>
      </c>
      <c r="P13" s="101" t="s">
        <v>6</v>
      </c>
      <c r="Q13" s="101" t="s">
        <v>6</v>
      </c>
      <c r="R13" s="101" t="s">
        <v>6</v>
      </c>
      <c r="S13" s="101" t="s">
        <v>6</v>
      </c>
      <c r="T13" s="101" t="s">
        <v>6</v>
      </c>
      <c r="U13" s="101" t="s">
        <v>6</v>
      </c>
    </row>
    <row r="14" spans="1:21" ht="79.2">
      <c r="A14" s="95" t="s">
        <v>19</v>
      </c>
      <c r="B14" s="98" t="s">
        <v>20</v>
      </c>
      <c r="C14" s="101">
        <v>3</v>
      </c>
      <c r="D14" s="101">
        <v>3</v>
      </c>
      <c r="E14" s="101">
        <v>2</v>
      </c>
      <c r="F14" s="101">
        <v>3</v>
      </c>
      <c r="G14" s="101">
        <v>2</v>
      </c>
      <c r="H14" s="101">
        <v>3</v>
      </c>
      <c r="I14" s="101">
        <v>3</v>
      </c>
      <c r="J14" s="101">
        <v>2</v>
      </c>
      <c r="K14" s="101">
        <v>3</v>
      </c>
      <c r="L14" s="101">
        <v>3</v>
      </c>
      <c r="M14" s="101">
        <v>3</v>
      </c>
      <c r="N14" s="101" t="s">
        <v>6</v>
      </c>
      <c r="O14" s="101">
        <v>3</v>
      </c>
      <c r="P14" s="101">
        <v>2</v>
      </c>
      <c r="Q14" s="101">
        <v>2</v>
      </c>
      <c r="R14" s="101">
        <v>2</v>
      </c>
      <c r="S14" s="101">
        <v>3</v>
      </c>
      <c r="T14" s="101">
        <v>3</v>
      </c>
      <c r="U14" s="103">
        <f>AVERAGE(C14:T14)</f>
        <v>2.6470588235294117</v>
      </c>
    </row>
    <row r="15" spans="1:21" ht="52.8">
      <c r="A15" s="95" t="s">
        <v>21</v>
      </c>
      <c r="B15" s="98" t="s">
        <v>22</v>
      </c>
      <c r="C15" s="101" t="s">
        <v>6</v>
      </c>
      <c r="D15" s="101" t="s">
        <v>6</v>
      </c>
      <c r="E15" s="101" t="s">
        <v>6</v>
      </c>
      <c r="F15" s="101" t="s">
        <v>6</v>
      </c>
      <c r="G15" s="101" t="s">
        <v>6</v>
      </c>
      <c r="H15" s="101" t="s">
        <v>6</v>
      </c>
      <c r="I15" s="101" t="s">
        <v>6</v>
      </c>
      <c r="J15" s="101" t="s">
        <v>6</v>
      </c>
      <c r="K15" s="101" t="s">
        <v>6</v>
      </c>
      <c r="L15" s="101" t="s">
        <v>6</v>
      </c>
      <c r="M15" s="101" t="s">
        <v>6</v>
      </c>
      <c r="N15" s="101" t="s">
        <v>6</v>
      </c>
      <c r="O15" s="101" t="s">
        <v>6</v>
      </c>
      <c r="P15" s="101" t="s">
        <v>6</v>
      </c>
      <c r="Q15" s="101" t="s">
        <v>6</v>
      </c>
      <c r="R15" s="101" t="s">
        <v>6</v>
      </c>
      <c r="S15" s="101" t="s">
        <v>6</v>
      </c>
      <c r="T15" s="101" t="s">
        <v>6</v>
      </c>
      <c r="U15" s="104" t="s">
        <v>6</v>
      </c>
    </row>
    <row r="16" spans="1:21" ht="39.6">
      <c r="A16" s="95" t="s">
        <v>23</v>
      </c>
      <c r="B16" s="98" t="s">
        <v>24</v>
      </c>
      <c r="C16" s="101" t="s">
        <v>6</v>
      </c>
      <c r="D16" s="101" t="s">
        <v>6</v>
      </c>
      <c r="E16" s="101" t="s">
        <v>6</v>
      </c>
      <c r="F16" s="101" t="s">
        <v>6</v>
      </c>
      <c r="G16" s="101" t="s">
        <v>6</v>
      </c>
      <c r="H16" s="101" t="s">
        <v>6</v>
      </c>
      <c r="I16" s="101" t="s">
        <v>6</v>
      </c>
      <c r="J16" s="101" t="s">
        <v>6</v>
      </c>
      <c r="K16" s="101" t="s">
        <v>6</v>
      </c>
      <c r="L16" s="101" t="s">
        <v>6</v>
      </c>
      <c r="M16" s="101" t="s">
        <v>6</v>
      </c>
      <c r="N16" s="101" t="s">
        <v>6</v>
      </c>
      <c r="O16" s="101" t="s">
        <v>6</v>
      </c>
      <c r="P16" s="101" t="s">
        <v>6</v>
      </c>
      <c r="Q16" s="101" t="s">
        <v>6</v>
      </c>
      <c r="R16" s="101" t="s">
        <v>6</v>
      </c>
      <c r="S16" s="101" t="s">
        <v>6</v>
      </c>
      <c r="T16" s="101" t="s">
        <v>6</v>
      </c>
      <c r="U16" s="101" t="s">
        <v>6</v>
      </c>
    </row>
    <row r="17" spans="1:21">
      <c r="A17" s="95" t="s">
        <v>25</v>
      </c>
      <c r="B17" s="98" t="s">
        <v>26</v>
      </c>
      <c r="C17" s="101" t="s">
        <v>6</v>
      </c>
      <c r="D17" s="101" t="s">
        <v>6</v>
      </c>
      <c r="E17" s="101" t="s">
        <v>6</v>
      </c>
      <c r="F17" s="101" t="s">
        <v>6</v>
      </c>
      <c r="G17" s="101" t="s">
        <v>6</v>
      </c>
      <c r="H17" s="101" t="s">
        <v>6</v>
      </c>
      <c r="I17" s="101" t="s">
        <v>6</v>
      </c>
      <c r="J17" s="101" t="s">
        <v>6</v>
      </c>
      <c r="K17" s="101" t="s">
        <v>6</v>
      </c>
      <c r="L17" s="101" t="s">
        <v>6</v>
      </c>
      <c r="M17" s="101" t="s">
        <v>6</v>
      </c>
      <c r="N17" s="101" t="s">
        <v>6</v>
      </c>
      <c r="O17" s="101" t="s">
        <v>6</v>
      </c>
      <c r="P17" s="101" t="s">
        <v>6</v>
      </c>
      <c r="Q17" s="101" t="s">
        <v>6</v>
      </c>
      <c r="R17" s="101" t="s">
        <v>6</v>
      </c>
      <c r="S17" s="101" t="s">
        <v>6</v>
      </c>
      <c r="T17" s="101" t="s">
        <v>6</v>
      </c>
      <c r="U17" s="101" t="s">
        <v>6</v>
      </c>
    </row>
    <row r="18" spans="1:21">
      <c r="A18" s="200" t="s">
        <v>27</v>
      </c>
      <c r="B18" s="201"/>
      <c r="C18" s="201"/>
      <c r="D18" s="201"/>
      <c r="E18" s="201"/>
      <c r="F18" s="201"/>
      <c r="G18" s="201"/>
      <c r="H18" s="201"/>
      <c r="I18" s="201"/>
      <c r="J18" s="201"/>
      <c r="K18" s="201"/>
      <c r="L18" s="201"/>
      <c r="M18" s="201"/>
      <c r="N18" s="201"/>
      <c r="O18" s="201"/>
      <c r="P18" s="201"/>
      <c r="Q18" s="201"/>
      <c r="R18" s="201"/>
      <c r="S18" s="201"/>
      <c r="T18" s="201"/>
      <c r="U18" s="202"/>
    </row>
    <row r="19" spans="1:21" ht="52.8">
      <c r="A19" s="95" t="s">
        <v>28</v>
      </c>
      <c r="B19" s="98" t="s">
        <v>29</v>
      </c>
      <c r="C19" s="101">
        <v>3</v>
      </c>
      <c r="D19" s="101">
        <v>2</v>
      </c>
      <c r="E19" s="101">
        <v>3</v>
      </c>
      <c r="F19" s="101">
        <v>2</v>
      </c>
      <c r="G19" s="101">
        <v>2</v>
      </c>
      <c r="H19" s="101">
        <v>2</v>
      </c>
      <c r="I19" s="101">
        <v>3</v>
      </c>
      <c r="J19" s="101">
        <v>2</v>
      </c>
      <c r="K19" s="101">
        <v>2</v>
      </c>
      <c r="L19" s="101">
        <v>2</v>
      </c>
      <c r="M19" s="101">
        <v>3</v>
      </c>
      <c r="N19" s="101" t="s">
        <v>6</v>
      </c>
      <c r="O19" s="101">
        <v>3</v>
      </c>
      <c r="P19" s="101">
        <v>2</v>
      </c>
      <c r="Q19" s="101">
        <v>3</v>
      </c>
      <c r="R19" s="101">
        <v>3</v>
      </c>
      <c r="S19" s="101">
        <v>3</v>
      </c>
      <c r="T19" s="101">
        <v>2</v>
      </c>
      <c r="U19" s="99">
        <f>AVERAGE(C19:T19)</f>
        <v>2.4705882352941178</v>
      </c>
    </row>
    <row r="20" spans="1:21">
      <c r="A20" s="187" t="s">
        <v>30</v>
      </c>
      <c r="B20" s="188"/>
      <c r="C20" s="188"/>
      <c r="D20" s="188"/>
      <c r="E20" s="188"/>
      <c r="F20" s="188"/>
      <c r="G20" s="188"/>
      <c r="H20" s="188"/>
      <c r="I20" s="188"/>
      <c r="J20" s="188"/>
      <c r="K20" s="188"/>
      <c r="L20" s="188"/>
      <c r="M20" s="188"/>
      <c r="N20" s="188"/>
      <c r="O20" s="188"/>
      <c r="P20" s="188"/>
      <c r="Q20" s="188"/>
      <c r="R20" s="188"/>
      <c r="S20" s="188"/>
      <c r="T20" s="188"/>
      <c r="U20" s="189"/>
    </row>
    <row r="21" spans="1:21" ht="39.6">
      <c r="A21" s="95" t="s">
        <v>31</v>
      </c>
      <c r="B21" s="98" t="s">
        <v>32</v>
      </c>
      <c r="C21" s="101">
        <v>3</v>
      </c>
      <c r="D21" s="101">
        <v>3</v>
      </c>
      <c r="E21" s="101">
        <v>3</v>
      </c>
      <c r="F21" s="101">
        <v>2</v>
      </c>
      <c r="G21" s="101">
        <v>3</v>
      </c>
      <c r="H21" s="101">
        <v>3</v>
      </c>
      <c r="I21" s="101">
        <v>2</v>
      </c>
      <c r="J21" s="101">
        <v>2</v>
      </c>
      <c r="K21" s="101">
        <v>3</v>
      </c>
      <c r="L21" s="101">
        <v>3</v>
      </c>
      <c r="M21" s="101">
        <v>3</v>
      </c>
      <c r="N21" s="101" t="s">
        <v>6</v>
      </c>
      <c r="O21" s="101">
        <v>2</v>
      </c>
      <c r="P21" s="101">
        <v>3</v>
      </c>
      <c r="Q21" s="101">
        <v>3</v>
      </c>
      <c r="R21" s="101">
        <v>3</v>
      </c>
      <c r="S21" s="101">
        <v>3</v>
      </c>
      <c r="T21" s="101">
        <v>2</v>
      </c>
      <c r="U21" s="99">
        <f>AVERAGE(C21:T21)</f>
        <v>2.7058823529411766</v>
      </c>
    </row>
    <row r="22" spans="1:21" ht="26.4">
      <c r="A22" s="95" t="s">
        <v>33</v>
      </c>
      <c r="B22" s="98" t="s">
        <v>34</v>
      </c>
      <c r="C22" s="101">
        <v>3</v>
      </c>
      <c r="D22" s="101">
        <v>3</v>
      </c>
      <c r="E22" s="101">
        <v>3</v>
      </c>
      <c r="F22" s="101">
        <v>3</v>
      </c>
      <c r="G22" s="101">
        <v>3</v>
      </c>
      <c r="H22" s="101">
        <v>3</v>
      </c>
      <c r="I22" s="101">
        <v>3</v>
      </c>
      <c r="J22" s="101">
        <v>3</v>
      </c>
      <c r="K22" s="101">
        <v>3</v>
      </c>
      <c r="L22" s="101">
        <v>3</v>
      </c>
      <c r="M22" s="101">
        <v>3</v>
      </c>
      <c r="N22" s="101" t="s">
        <v>6</v>
      </c>
      <c r="O22" s="101">
        <v>2</v>
      </c>
      <c r="P22" s="101">
        <v>2</v>
      </c>
      <c r="Q22" s="101">
        <v>2</v>
      </c>
      <c r="R22" s="101">
        <v>3</v>
      </c>
      <c r="S22" s="101">
        <v>3</v>
      </c>
      <c r="T22" s="101">
        <v>3</v>
      </c>
      <c r="U22" s="99">
        <f>AVERAGE(C22:T22)</f>
        <v>2.8235294117647061</v>
      </c>
    </row>
    <row r="23" spans="1:21">
      <c r="A23" s="187">
        <v>5</v>
      </c>
      <c r="B23" s="188"/>
      <c r="C23" s="188"/>
      <c r="D23" s="188"/>
      <c r="E23" s="188"/>
      <c r="F23" s="188"/>
      <c r="G23" s="188"/>
      <c r="H23" s="188"/>
      <c r="I23" s="188"/>
      <c r="J23" s="188"/>
      <c r="K23" s="188"/>
      <c r="L23" s="188"/>
      <c r="M23" s="188"/>
      <c r="N23" s="188"/>
      <c r="O23" s="188"/>
      <c r="P23" s="188"/>
      <c r="Q23" s="188"/>
      <c r="R23" s="188"/>
      <c r="S23" s="188"/>
      <c r="T23" s="188"/>
      <c r="U23" s="189"/>
    </row>
    <row r="24" spans="1:21" ht="26.4">
      <c r="A24" s="95" t="s">
        <v>36</v>
      </c>
      <c r="B24" s="98" t="s">
        <v>37</v>
      </c>
      <c r="C24" s="100">
        <v>3</v>
      </c>
      <c r="D24" s="100">
        <v>2</v>
      </c>
      <c r="E24" s="100">
        <v>3</v>
      </c>
      <c r="F24" s="100">
        <v>3</v>
      </c>
      <c r="G24" s="100">
        <v>3</v>
      </c>
      <c r="H24" s="100">
        <v>3</v>
      </c>
      <c r="I24" s="100">
        <v>3</v>
      </c>
      <c r="J24" s="100">
        <v>3</v>
      </c>
      <c r="K24" s="100">
        <v>3</v>
      </c>
      <c r="L24" s="100">
        <v>3</v>
      </c>
      <c r="M24" s="100">
        <v>3</v>
      </c>
      <c r="N24" s="100" t="s">
        <v>6</v>
      </c>
      <c r="O24" s="100">
        <v>2</v>
      </c>
      <c r="P24" s="100">
        <v>3</v>
      </c>
      <c r="Q24" s="100">
        <v>3</v>
      </c>
      <c r="R24" s="100">
        <v>3</v>
      </c>
      <c r="S24" s="100">
        <v>2</v>
      </c>
      <c r="T24" s="100">
        <v>3</v>
      </c>
      <c r="U24" s="99">
        <f>AVERAGE(C24:T24)</f>
        <v>2.8235294117647061</v>
      </c>
    </row>
    <row r="25" spans="1:21">
      <c r="A25" s="200" t="s">
        <v>38</v>
      </c>
      <c r="B25" s="201"/>
      <c r="C25" s="201"/>
      <c r="D25" s="201"/>
      <c r="E25" s="201"/>
      <c r="F25" s="201"/>
      <c r="G25" s="201"/>
      <c r="H25" s="201"/>
      <c r="I25" s="201"/>
      <c r="J25" s="201"/>
      <c r="K25" s="201"/>
      <c r="L25" s="201"/>
      <c r="M25" s="201"/>
      <c r="N25" s="201"/>
      <c r="O25" s="201"/>
      <c r="P25" s="201"/>
      <c r="Q25" s="201"/>
      <c r="R25" s="201"/>
      <c r="S25" s="201"/>
      <c r="T25" s="201"/>
      <c r="U25" s="202"/>
    </row>
    <row r="26" spans="1:21" ht="66">
      <c r="A26" s="95" t="s">
        <v>39</v>
      </c>
      <c r="B26" s="98" t="s">
        <v>40</v>
      </c>
      <c r="C26" s="101">
        <v>3</v>
      </c>
      <c r="D26" s="101">
        <v>3</v>
      </c>
      <c r="E26" s="101">
        <v>3</v>
      </c>
      <c r="F26" s="101">
        <v>3</v>
      </c>
      <c r="G26" s="101">
        <v>2</v>
      </c>
      <c r="H26" s="101">
        <v>2</v>
      </c>
      <c r="I26" s="101">
        <v>2</v>
      </c>
      <c r="J26" s="101">
        <v>2</v>
      </c>
      <c r="K26" s="101">
        <v>3</v>
      </c>
      <c r="L26" s="101">
        <v>3</v>
      </c>
      <c r="M26" s="101">
        <v>3</v>
      </c>
      <c r="N26" s="101" t="s">
        <v>6</v>
      </c>
      <c r="O26" s="101">
        <v>3</v>
      </c>
      <c r="P26" s="101">
        <v>3</v>
      </c>
      <c r="Q26" s="101">
        <v>3</v>
      </c>
      <c r="R26" s="101">
        <v>3</v>
      </c>
      <c r="S26" s="101">
        <v>2</v>
      </c>
      <c r="T26" s="101">
        <v>3</v>
      </c>
      <c r="U26" s="99">
        <f>AVERAGE(C26:T26)</f>
        <v>2.7058823529411766</v>
      </c>
    </row>
    <row r="27" spans="1:21" ht="52.8">
      <c r="A27" s="95" t="s">
        <v>41</v>
      </c>
      <c r="B27" s="98" t="s">
        <v>42</v>
      </c>
      <c r="C27" s="101">
        <v>3</v>
      </c>
      <c r="D27" s="101">
        <v>3</v>
      </c>
      <c r="E27" s="101">
        <v>3</v>
      </c>
      <c r="F27" s="101">
        <v>2</v>
      </c>
      <c r="G27" s="101">
        <v>3</v>
      </c>
      <c r="H27" s="101">
        <v>2</v>
      </c>
      <c r="I27" s="101">
        <v>3</v>
      </c>
      <c r="J27" s="101">
        <v>3</v>
      </c>
      <c r="K27" s="101">
        <v>3</v>
      </c>
      <c r="L27" s="101">
        <v>3</v>
      </c>
      <c r="M27" s="101">
        <v>3</v>
      </c>
      <c r="N27" s="101" t="s">
        <v>6</v>
      </c>
      <c r="O27" s="101">
        <v>2</v>
      </c>
      <c r="P27" s="101">
        <v>2</v>
      </c>
      <c r="Q27" s="101">
        <v>3</v>
      </c>
      <c r="R27" s="101">
        <v>3</v>
      </c>
      <c r="S27" s="101">
        <v>3</v>
      </c>
      <c r="T27" s="101">
        <v>3</v>
      </c>
      <c r="U27" s="99">
        <f>AVERAGE(C27:T27)</f>
        <v>2.7647058823529411</v>
      </c>
    </row>
    <row r="28" spans="1:21" ht="26.4">
      <c r="A28" s="95" t="s">
        <v>43</v>
      </c>
      <c r="B28" s="98" t="s">
        <v>44</v>
      </c>
      <c r="C28" s="101">
        <v>3</v>
      </c>
      <c r="D28" s="101">
        <v>3</v>
      </c>
      <c r="E28" s="101">
        <v>3</v>
      </c>
      <c r="F28" s="101">
        <v>3</v>
      </c>
      <c r="G28" s="101">
        <v>3</v>
      </c>
      <c r="H28" s="101">
        <v>3</v>
      </c>
      <c r="I28" s="101">
        <v>3</v>
      </c>
      <c r="J28" s="101">
        <v>2</v>
      </c>
      <c r="K28" s="101">
        <v>3</v>
      </c>
      <c r="L28" s="101">
        <v>3</v>
      </c>
      <c r="M28" s="101">
        <v>3</v>
      </c>
      <c r="N28" s="101" t="s">
        <v>6</v>
      </c>
      <c r="O28" s="101">
        <v>2</v>
      </c>
      <c r="P28" s="101">
        <v>3</v>
      </c>
      <c r="Q28" s="101">
        <v>3</v>
      </c>
      <c r="R28" s="101">
        <v>3</v>
      </c>
      <c r="S28" s="101">
        <v>3</v>
      </c>
      <c r="T28" s="101">
        <v>3</v>
      </c>
      <c r="U28" s="99">
        <f>AVERAGE(C28:T28)</f>
        <v>2.8823529411764706</v>
      </c>
    </row>
    <row r="29" spans="1:21">
      <c r="A29" s="200" t="s">
        <v>45</v>
      </c>
      <c r="B29" s="201"/>
      <c r="C29" s="201"/>
      <c r="D29" s="201"/>
      <c r="E29" s="201"/>
      <c r="F29" s="201"/>
      <c r="G29" s="201"/>
      <c r="H29" s="201"/>
      <c r="I29" s="201"/>
      <c r="J29" s="201"/>
      <c r="K29" s="201"/>
      <c r="L29" s="201"/>
      <c r="M29" s="201"/>
      <c r="N29" s="201"/>
      <c r="O29" s="201"/>
      <c r="P29" s="201"/>
      <c r="Q29" s="201"/>
      <c r="R29" s="201"/>
      <c r="S29" s="201"/>
      <c r="T29" s="201"/>
      <c r="U29" s="202"/>
    </row>
    <row r="30" spans="1:21" ht="39.6">
      <c r="A30" s="95" t="s">
        <v>46</v>
      </c>
      <c r="B30" s="98" t="s">
        <v>47</v>
      </c>
      <c r="C30" s="100">
        <v>3</v>
      </c>
      <c r="D30" s="100">
        <v>2</v>
      </c>
      <c r="E30" s="100">
        <v>2</v>
      </c>
      <c r="F30" s="100">
        <v>2</v>
      </c>
      <c r="G30" s="100">
        <v>2</v>
      </c>
      <c r="H30" s="100">
        <v>0</v>
      </c>
      <c r="I30" s="100">
        <v>2</v>
      </c>
      <c r="J30" s="100">
        <v>2</v>
      </c>
      <c r="K30" s="100">
        <v>2</v>
      </c>
      <c r="L30" s="100">
        <v>3</v>
      </c>
      <c r="M30" s="100">
        <v>2</v>
      </c>
      <c r="N30" s="100" t="s">
        <v>6</v>
      </c>
      <c r="O30" s="100">
        <v>3</v>
      </c>
      <c r="P30" s="100">
        <v>2</v>
      </c>
      <c r="Q30" s="100">
        <v>3</v>
      </c>
      <c r="R30" s="100">
        <v>3</v>
      </c>
      <c r="S30" s="100">
        <v>2</v>
      </c>
      <c r="T30" s="100">
        <v>0</v>
      </c>
      <c r="U30" s="99">
        <f>AVERAGE(C30:T30)</f>
        <v>2.0588235294117645</v>
      </c>
    </row>
    <row r="31" spans="1:21">
      <c r="A31" s="187" t="s">
        <v>48</v>
      </c>
      <c r="B31" s="188"/>
      <c r="C31" s="188"/>
      <c r="D31" s="188"/>
      <c r="E31" s="188"/>
      <c r="F31" s="188"/>
      <c r="G31" s="188"/>
      <c r="H31" s="188"/>
      <c r="I31" s="188"/>
      <c r="J31" s="188"/>
      <c r="K31" s="188"/>
      <c r="L31" s="188"/>
      <c r="M31" s="188"/>
      <c r="N31" s="188"/>
      <c r="O31" s="188"/>
      <c r="P31" s="188"/>
      <c r="Q31" s="188"/>
      <c r="R31" s="188"/>
      <c r="S31" s="188"/>
      <c r="T31" s="188"/>
      <c r="U31" s="189"/>
    </row>
    <row r="32" spans="1:21" ht="26.4">
      <c r="A32" s="95" t="s">
        <v>49</v>
      </c>
      <c r="B32" s="98" t="s">
        <v>50</v>
      </c>
      <c r="C32" s="101">
        <v>3</v>
      </c>
      <c r="D32" s="101">
        <v>3</v>
      </c>
      <c r="E32" s="101">
        <v>3</v>
      </c>
      <c r="F32" s="101">
        <v>3</v>
      </c>
      <c r="G32" s="101">
        <v>3</v>
      </c>
      <c r="H32" s="101">
        <v>3</v>
      </c>
      <c r="I32" s="101">
        <v>3</v>
      </c>
      <c r="J32" s="101">
        <v>3</v>
      </c>
      <c r="K32" s="101">
        <v>3</v>
      </c>
      <c r="L32" s="101">
        <v>3</v>
      </c>
      <c r="M32" s="101">
        <v>3</v>
      </c>
      <c r="N32" s="101" t="s">
        <v>6</v>
      </c>
      <c r="O32" s="101">
        <v>3</v>
      </c>
      <c r="P32" s="101">
        <v>3</v>
      </c>
      <c r="Q32" s="101">
        <v>1</v>
      </c>
      <c r="R32" s="101">
        <v>3</v>
      </c>
      <c r="S32" s="101">
        <v>3</v>
      </c>
      <c r="T32" s="101">
        <v>3</v>
      </c>
      <c r="U32" s="99">
        <f>AVERAGE(C32:T32)</f>
        <v>2.8823529411764706</v>
      </c>
    </row>
    <row r="33" spans="1:21">
      <c r="A33" s="187" t="s">
        <v>51</v>
      </c>
      <c r="B33" s="188"/>
      <c r="C33" s="188"/>
      <c r="D33" s="188"/>
      <c r="E33" s="188"/>
      <c r="F33" s="188"/>
      <c r="G33" s="188"/>
      <c r="H33" s="188"/>
      <c r="I33" s="188"/>
      <c r="J33" s="188"/>
      <c r="K33" s="188"/>
      <c r="L33" s="188"/>
      <c r="M33" s="188"/>
      <c r="N33" s="188"/>
      <c r="O33" s="188"/>
      <c r="P33" s="188"/>
      <c r="Q33" s="188"/>
      <c r="R33" s="188"/>
      <c r="S33" s="188"/>
      <c r="T33" s="188"/>
      <c r="U33" s="189"/>
    </row>
    <row r="34" spans="1:21" ht="26.4">
      <c r="A34" s="95" t="s">
        <v>52</v>
      </c>
      <c r="B34" s="98" t="s">
        <v>78</v>
      </c>
      <c r="C34" s="100">
        <v>3</v>
      </c>
      <c r="D34" s="100">
        <v>2.5</v>
      </c>
      <c r="E34" s="100">
        <v>2</v>
      </c>
      <c r="F34" s="100">
        <v>2.5</v>
      </c>
      <c r="G34" s="100">
        <v>2</v>
      </c>
      <c r="H34" s="100">
        <v>2</v>
      </c>
      <c r="I34" s="100">
        <v>2</v>
      </c>
      <c r="J34" s="100">
        <v>2</v>
      </c>
      <c r="K34" s="100">
        <v>3</v>
      </c>
      <c r="L34" s="100">
        <v>2.5</v>
      </c>
      <c r="M34" s="100">
        <v>3</v>
      </c>
      <c r="N34" s="100" t="s">
        <v>6</v>
      </c>
      <c r="O34" s="100">
        <v>3</v>
      </c>
      <c r="P34" s="100">
        <v>1</v>
      </c>
      <c r="Q34" s="100">
        <v>2</v>
      </c>
      <c r="R34" s="100">
        <v>3</v>
      </c>
      <c r="S34" s="100">
        <v>2</v>
      </c>
      <c r="T34" s="100">
        <v>2</v>
      </c>
      <c r="U34" s="105">
        <f>AVERAGE(C34:T34)</f>
        <v>2.3235294117647061</v>
      </c>
    </row>
    <row r="35" spans="1:21">
      <c r="A35" s="187" t="s">
        <v>54</v>
      </c>
      <c r="B35" s="188"/>
      <c r="C35" s="188"/>
      <c r="D35" s="188"/>
      <c r="E35" s="188"/>
      <c r="F35" s="188"/>
      <c r="G35" s="188"/>
      <c r="H35" s="188"/>
      <c r="I35" s="188"/>
      <c r="J35" s="188"/>
      <c r="K35" s="188"/>
      <c r="L35" s="188"/>
      <c r="M35" s="188"/>
      <c r="N35" s="188"/>
      <c r="O35" s="188"/>
      <c r="P35" s="188"/>
      <c r="Q35" s="188"/>
      <c r="R35" s="188"/>
      <c r="S35" s="188"/>
      <c r="T35" s="188"/>
      <c r="U35" s="189"/>
    </row>
    <row r="36" spans="1:21" ht="26.4">
      <c r="A36" s="95" t="s">
        <v>55</v>
      </c>
      <c r="B36" s="98" t="s">
        <v>56</v>
      </c>
      <c r="C36" s="101" t="s">
        <v>6</v>
      </c>
      <c r="D36" s="101" t="s">
        <v>6</v>
      </c>
      <c r="E36" s="101" t="s">
        <v>6</v>
      </c>
      <c r="F36" s="101" t="s">
        <v>6</v>
      </c>
      <c r="G36" s="101" t="s">
        <v>6</v>
      </c>
      <c r="H36" s="101" t="s">
        <v>6</v>
      </c>
      <c r="I36" s="101" t="s">
        <v>6</v>
      </c>
      <c r="J36" s="101" t="s">
        <v>6</v>
      </c>
      <c r="K36" s="101" t="s">
        <v>6</v>
      </c>
      <c r="L36" s="101" t="s">
        <v>6</v>
      </c>
      <c r="M36" s="101" t="s">
        <v>6</v>
      </c>
      <c r="N36" s="101" t="s">
        <v>6</v>
      </c>
      <c r="O36" s="101" t="s">
        <v>6</v>
      </c>
      <c r="P36" s="101" t="s">
        <v>6</v>
      </c>
      <c r="Q36" s="101" t="s">
        <v>6</v>
      </c>
      <c r="R36" s="101" t="s">
        <v>6</v>
      </c>
      <c r="S36" s="101" t="s">
        <v>6</v>
      </c>
      <c r="T36" s="101" t="s">
        <v>6</v>
      </c>
      <c r="U36" s="101" t="s">
        <v>6</v>
      </c>
    </row>
    <row r="37" spans="1:21" ht="26.4">
      <c r="A37" s="95" t="s">
        <v>57</v>
      </c>
      <c r="B37" s="98" t="s">
        <v>58</v>
      </c>
      <c r="C37" s="101" t="s">
        <v>6</v>
      </c>
      <c r="D37" s="101" t="s">
        <v>6</v>
      </c>
      <c r="E37" s="101" t="s">
        <v>6</v>
      </c>
      <c r="F37" s="101" t="s">
        <v>6</v>
      </c>
      <c r="G37" s="101" t="s">
        <v>6</v>
      </c>
      <c r="H37" s="101" t="s">
        <v>6</v>
      </c>
      <c r="I37" s="101" t="s">
        <v>6</v>
      </c>
      <c r="J37" s="101" t="s">
        <v>6</v>
      </c>
      <c r="K37" s="101" t="s">
        <v>6</v>
      </c>
      <c r="L37" s="101" t="s">
        <v>6</v>
      </c>
      <c r="M37" s="101" t="s">
        <v>6</v>
      </c>
      <c r="N37" s="101" t="s">
        <v>6</v>
      </c>
      <c r="O37" s="101" t="s">
        <v>6</v>
      </c>
      <c r="P37" s="101" t="s">
        <v>6</v>
      </c>
      <c r="Q37" s="101" t="s">
        <v>6</v>
      </c>
      <c r="R37" s="101" t="s">
        <v>6</v>
      </c>
      <c r="S37" s="101" t="s">
        <v>6</v>
      </c>
      <c r="T37" s="101" t="s">
        <v>6</v>
      </c>
      <c r="U37" s="101" t="s">
        <v>6</v>
      </c>
    </row>
    <row r="38" spans="1:21">
      <c r="A38" s="187" t="s">
        <v>59</v>
      </c>
      <c r="B38" s="188"/>
      <c r="C38" s="188"/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8"/>
      <c r="P38" s="188"/>
      <c r="Q38" s="188"/>
      <c r="R38" s="188"/>
      <c r="S38" s="188"/>
      <c r="T38" s="188"/>
      <c r="U38" s="189"/>
    </row>
    <row r="39" spans="1:21" ht="52.8">
      <c r="A39" s="95" t="s">
        <v>60</v>
      </c>
      <c r="B39" s="98" t="s">
        <v>61</v>
      </c>
      <c r="C39" s="100">
        <v>3</v>
      </c>
      <c r="D39" s="100">
        <v>3</v>
      </c>
      <c r="E39" s="100">
        <v>2</v>
      </c>
      <c r="F39" s="100">
        <v>3</v>
      </c>
      <c r="G39" s="100">
        <v>2</v>
      </c>
      <c r="H39" s="100">
        <v>3</v>
      </c>
      <c r="I39" s="100">
        <v>3</v>
      </c>
      <c r="J39" s="100">
        <v>2</v>
      </c>
      <c r="K39" s="100">
        <v>2</v>
      </c>
      <c r="L39" s="100">
        <v>2</v>
      </c>
      <c r="M39" s="100">
        <v>2</v>
      </c>
      <c r="N39" s="100" t="s">
        <v>6</v>
      </c>
      <c r="O39" s="100">
        <v>3</v>
      </c>
      <c r="P39" s="100">
        <v>3</v>
      </c>
      <c r="Q39" s="100">
        <v>2</v>
      </c>
      <c r="R39" s="100">
        <v>3</v>
      </c>
      <c r="S39" s="100">
        <v>3</v>
      </c>
      <c r="T39" s="100">
        <v>3</v>
      </c>
      <c r="U39" s="99">
        <f>AVERAGE(C39:T39)</f>
        <v>2.5882352941176472</v>
      </c>
    </row>
    <row r="40" spans="1:21" ht="39.6">
      <c r="A40" s="95" t="s">
        <v>62</v>
      </c>
      <c r="B40" s="98" t="s">
        <v>63</v>
      </c>
      <c r="C40" s="100">
        <v>3</v>
      </c>
      <c r="D40" s="100">
        <v>3</v>
      </c>
      <c r="E40" s="100">
        <v>3</v>
      </c>
      <c r="F40" s="100">
        <v>3</v>
      </c>
      <c r="G40" s="100">
        <v>3</v>
      </c>
      <c r="H40" s="100">
        <v>3</v>
      </c>
      <c r="I40" s="100">
        <v>3</v>
      </c>
      <c r="J40" s="100">
        <v>3</v>
      </c>
      <c r="K40" s="100">
        <v>3</v>
      </c>
      <c r="L40" s="100">
        <v>3</v>
      </c>
      <c r="M40" s="100">
        <v>3</v>
      </c>
      <c r="N40" s="100" t="s">
        <v>6</v>
      </c>
      <c r="O40" s="100">
        <v>3</v>
      </c>
      <c r="P40" s="100">
        <v>3</v>
      </c>
      <c r="Q40" s="100">
        <v>3</v>
      </c>
      <c r="R40" s="100">
        <v>3</v>
      </c>
      <c r="S40" s="100">
        <v>3</v>
      </c>
      <c r="T40" s="100">
        <v>3</v>
      </c>
      <c r="U40" s="99">
        <f>AVERAGE(C40:T40)</f>
        <v>3</v>
      </c>
    </row>
    <row r="41" spans="1:21">
      <c r="A41" s="187" t="s">
        <v>64</v>
      </c>
      <c r="B41" s="188"/>
      <c r="C41" s="188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188"/>
      <c r="Q41" s="188"/>
      <c r="R41" s="188"/>
      <c r="S41" s="188"/>
      <c r="T41" s="188"/>
      <c r="U41" s="189"/>
    </row>
    <row r="42" spans="1:21" ht="26.4">
      <c r="A42" s="95" t="s">
        <v>65</v>
      </c>
      <c r="B42" s="98" t="s">
        <v>66</v>
      </c>
      <c r="C42" s="101" t="s">
        <v>6</v>
      </c>
      <c r="D42" s="101" t="s">
        <v>6</v>
      </c>
      <c r="E42" s="101" t="s">
        <v>6</v>
      </c>
      <c r="F42" s="101" t="s">
        <v>6</v>
      </c>
      <c r="G42" s="101" t="s">
        <v>6</v>
      </c>
      <c r="H42" s="101" t="s">
        <v>6</v>
      </c>
      <c r="I42" s="101" t="s">
        <v>6</v>
      </c>
      <c r="J42" s="101" t="s">
        <v>6</v>
      </c>
      <c r="K42" s="101" t="s">
        <v>6</v>
      </c>
      <c r="L42" s="101" t="s">
        <v>6</v>
      </c>
      <c r="M42" s="101" t="s">
        <v>6</v>
      </c>
      <c r="N42" s="101" t="s">
        <v>6</v>
      </c>
      <c r="O42" s="101" t="s">
        <v>6</v>
      </c>
      <c r="P42" s="101" t="s">
        <v>6</v>
      </c>
      <c r="Q42" s="101" t="s">
        <v>6</v>
      </c>
      <c r="R42" s="101" t="s">
        <v>6</v>
      </c>
      <c r="S42" s="101" t="s">
        <v>6</v>
      </c>
      <c r="T42" s="101" t="s">
        <v>6</v>
      </c>
      <c r="U42" s="101" t="s">
        <v>6</v>
      </c>
    </row>
    <row r="43" spans="1:21">
      <c r="A43" s="190"/>
      <c r="B43" s="192"/>
      <c r="C43" s="106">
        <f t="shared" ref="C43:M43" si="0">AVERAGE(C6:C42)</f>
        <v>2.8333333333333335</v>
      </c>
      <c r="D43" s="107">
        <f t="shared" si="0"/>
        <v>2.5833333333333335</v>
      </c>
      <c r="E43" s="108">
        <f t="shared" si="0"/>
        <v>2.5277777777777777</v>
      </c>
      <c r="F43" s="108">
        <f t="shared" si="0"/>
        <v>2.5833333333333335</v>
      </c>
      <c r="G43" s="108">
        <f t="shared" si="0"/>
        <v>2.3888888888888888</v>
      </c>
      <c r="H43" s="108">
        <f t="shared" si="0"/>
        <v>2.4444444444444446</v>
      </c>
      <c r="I43" s="108">
        <f t="shared" si="0"/>
        <v>2.5555555555555554</v>
      </c>
      <c r="J43" s="108">
        <f t="shared" si="0"/>
        <v>2.3055555555555554</v>
      </c>
      <c r="K43" s="108">
        <f t="shared" si="0"/>
        <v>2.6666666666666665</v>
      </c>
      <c r="L43" s="108">
        <f t="shared" si="0"/>
        <v>2.6944444444444446</v>
      </c>
      <c r="M43" s="106">
        <f t="shared" si="0"/>
        <v>2.7222222222222223</v>
      </c>
      <c r="N43" s="104" t="s">
        <v>6</v>
      </c>
      <c r="O43" s="108">
        <f t="shared" ref="O43:T43" si="1">AVERAGE(O6:O42)</f>
        <v>2.5277777777777777</v>
      </c>
      <c r="P43" s="108">
        <f t="shared" si="1"/>
        <v>2.4166666666666665</v>
      </c>
      <c r="Q43" s="108">
        <f t="shared" si="1"/>
        <v>2.4722222222222223</v>
      </c>
      <c r="R43" s="106">
        <f t="shared" si="1"/>
        <v>2.75</v>
      </c>
      <c r="S43" s="108">
        <f t="shared" si="1"/>
        <v>2.3888888888888888</v>
      </c>
      <c r="T43" s="108">
        <f t="shared" si="1"/>
        <v>2.3888888888888888</v>
      </c>
      <c r="U43" s="108">
        <f>AVERAGE(C43:T43)</f>
        <v>2.5441176470588229</v>
      </c>
    </row>
    <row r="44" spans="1:21">
      <c r="A44" s="109"/>
      <c r="B44" s="109"/>
      <c r="C44" s="110"/>
      <c r="D44" s="110"/>
      <c r="E44" s="110"/>
      <c r="F44" s="110"/>
      <c r="G44" s="110"/>
      <c r="H44" s="110"/>
      <c r="I44" s="111"/>
      <c r="J44" s="110"/>
      <c r="K44" s="110"/>
      <c r="L44" s="110"/>
      <c r="M44" s="110"/>
      <c r="N44" s="110"/>
      <c r="O44" s="111"/>
      <c r="P44" s="110"/>
      <c r="Q44" s="110"/>
      <c r="R44" s="110"/>
      <c r="S44" s="110"/>
      <c r="T44" s="110"/>
      <c r="U44" s="111"/>
    </row>
    <row r="45" spans="1:21">
      <c r="A45" s="203" t="s">
        <v>113</v>
      </c>
      <c r="B45" s="204"/>
      <c r="C45" s="204"/>
      <c r="D45" s="204"/>
      <c r="E45" s="204"/>
      <c r="F45" s="204"/>
      <c r="G45" s="204"/>
      <c r="H45" s="204"/>
      <c r="I45" s="204"/>
      <c r="J45" s="204"/>
      <c r="K45" s="204"/>
      <c r="L45" s="204"/>
      <c r="M45" s="204"/>
      <c r="N45" s="205"/>
      <c r="O45" s="112"/>
      <c r="P45" s="112"/>
      <c r="Q45" s="112"/>
      <c r="R45" s="112"/>
      <c r="S45" s="112"/>
      <c r="T45" s="112"/>
      <c r="U45" s="112"/>
    </row>
    <row r="46" spans="1:21">
      <c r="A46" s="206" t="s">
        <v>98</v>
      </c>
      <c r="B46" s="207"/>
      <c r="C46" s="207"/>
      <c r="D46" s="207"/>
      <c r="E46" s="207"/>
      <c r="F46" s="208"/>
      <c r="G46" s="190" t="s">
        <v>109</v>
      </c>
      <c r="H46" s="191"/>
      <c r="I46" s="191"/>
      <c r="J46" s="191"/>
      <c r="K46" s="191"/>
      <c r="L46" s="191"/>
      <c r="M46" s="191"/>
      <c r="N46" s="192"/>
      <c r="O46" s="112"/>
      <c r="P46" s="112"/>
      <c r="Q46" s="112"/>
      <c r="R46" s="112"/>
      <c r="S46" s="112"/>
      <c r="T46" s="112"/>
      <c r="U46" s="112"/>
    </row>
    <row r="47" spans="1:21">
      <c r="A47" s="203" t="s">
        <v>67</v>
      </c>
      <c r="B47" s="205"/>
      <c r="C47" s="190" t="s">
        <v>68</v>
      </c>
      <c r="D47" s="191"/>
      <c r="E47" s="191"/>
      <c r="F47" s="192"/>
      <c r="G47" s="190" t="s">
        <v>69</v>
      </c>
      <c r="H47" s="191"/>
      <c r="I47" s="191"/>
      <c r="J47" s="192"/>
      <c r="K47" s="190" t="s">
        <v>70</v>
      </c>
      <c r="L47" s="191"/>
      <c r="M47" s="191"/>
      <c r="N47" s="192"/>
      <c r="O47" s="112"/>
      <c r="P47" s="112"/>
      <c r="Q47" s="112"/>
      <c r="R47" s="112"/>
      <c r="S47" s="112"/>
      <c r="T47" s="112"/>
      <c r="U47" s="112"/>
    </row>
    <row r="48" spans="1:21">
      <c r="A48" s="209" t="s">
        <v>71</v>
      </c>
      <c r="B48" s="210"/>
      <c r="C48" s="213" t="s">
        <v>79</v>
      </c>
      <c r="D48" s="214"/>
      <c r="E48" s="214"/>
      <c r="F48" s="215"/>
      <c r="G48" s="213" t="s">
        <v>93</v>
      </c>
      <c r="H48" s="214"/>
      <c r="I48" s="214"/>
      <c r="J48" s="215"/>
      <c r="K48" s="216" t="s">
        <v>89</v>
      </c>
      <c r="L48" s="217"/>
      <c r="M48" s="217"/>
      <c r="N48" s="218"/>
      <c r="O48" s="112"/>
      <c r="P48" s="112"/>
      <c r="Q48" s="112"/>
      <c r="R48" s="112"/>
      <c r="S48" s="112"/>
      <c r="T48" s="112"/>
      <c r="U48" s="112"/>
    </row>
    <row r="49" spans="1:21">
      <c r="A49" s="211"/>
      <c r="B49" s="212"/>
      <c r="C49" s="219">
        <v>2.8333333333333299</v>
      </c>
      <c r="D49" s="220"/>
      <c r="E49" s="220"/>
      <c r="F49" s="221"/>
      <c r="G49" s="219">
        <v>2.75</v>
      </c>
      <c r="H49" s="220"/>
      <c r="I49" s="220"/>
      <c r="J49" s="221"/>
      <c r="K49" s="219">
        <v>2.7222222222222201</v>
      </c>
      <c r="L49" s="220"/>
      <c r="M49" s="220"/>
      <c r="N49" s="221"/>
      <c r="O49" s="112"/>
      <c r="P49" s="112"/>
      <c r="Q49" s="112"/>
      <c r="R49" s="112"/>
      <c r="S49" s="112"/>
      <c r="T49" s="112"/>
      <c r="U49" s="112"/>
    </row>
    <row r="50" spans="1:21">
      <c r="A50" s="203" t="s">
        <v>72</v>
      </c>
      <c r="B50" s="205"/>
      <c r="C50" s="213" t="s">
        <v>93</v>
      </c>
      <c r="D50" s="214"/>
      <c r="E50" s="214"/>
      <c r="F50" s="215"/>
      <c r="G50" s="213" t="s">
        <v>79</v>
      </c>
      <c r="H50" s="214"/>
      <c r="I50" s="214"/>
      <c r="J50" s="215"/>
      <c r="K50" s="216" t="s">
        <v>89</v>
      </c>
      <c r="L50" s="217"/>
      <c r="M50" s="217"/>
      <c r="N50" s="218"/>
      <c r="O50" s="112"/>
      <c r="P50" s="91"/>
      <c r="Q50" s="91"/>
      <c r="R50" s="91"/>
      <c r="S50" s="91"/>
      <c r="T50" s="112"/>
      <c r="U50" s="112"/>
    </row>
    <row r="51" spans="1:21">
      <c r="A51" s="203" t="s">
        <v>73</v>
      </c>
      <c r="B51" s="205"/>
      <c r="C51" s="213" t="s">
        <v>92</v>
      </c>
      <c r="D51" s="214"/>
      <c r="E51" s="214"/>
      <c r="F51" s="215"/>
      <c r="G51" s="213" t="s">
        <v>101</v>
      </c>
      <c r="H51" s="214"/>
      <c r="I51" s="214"/>
      <c r="J51" s="215"/>
      <c r="K51" s="213" t="s">
        <v>91</v>
      </c>
      <c r="L51" s="214"/>
      <c r="M51" s="214"/>
      <c r="N51" s="215"/>
      <c r="O51" s="112"/>
      <c r="P51" s="112"/>
      <c r="Q51" s="112"/>
      <c r="R51" s="112"/>
      <c r="S51" s="112"/>
      <c r="T51" s="112"/>
      <c r="U51" s="112"/>
    </row>
    <row r="52" spans="1:21">
      <c r="A52" s="203" t="s">
        <v>74</v>
      </c>
      <c r="B52" s="205"/>
      <c r="C52" s="213" t="s">
        <v>81</v>
      </c>
      <c r="D52" s="214"/>
      <c r="E52" s="214"/>
      <c r="F52" s="215"/>
      <c r="G52" s="213" t="s">
        <v>79</v>
      </c>
      <c r="H52" s="214"/>
      <c r="I52" s="214"/>
      <c r="J52" s="215"/>
      <c r="K52" s="213" t="s">
        <v>90</v>
      </c>
      <c r="L52" s="214"/>
      <c r="M52" s="214"/>
      <c r="N52" s="215"/>
      <c r="O52" s="112"/>
      <c r="P52" s="112"/>
      <c r="Q52" s="112"/>
      <c r="R52" s="112"/>
      <c r="S52" s="112"/>
      <c r="T52" s="112"/>
      <c r="U52" s="112"/>
    </row>
    <row r="53" spans="1:21">
      <c r="A53" s="203" t="s">
        <v>75</v>
      </c>
      <c r="B53" s="205"/>
      <c r="C53" s="213" t="s">
        <v>6</v>
      </c>
      <c r="D53" s="214"/>
      <c r="E53" s="214"/>
      <c r="F53" s="215"/>
      <c r="G53" s="213" t="s">
        <v>6</v>
      </c>
      <c r="H53" s="214"/>
      <c r="I53" s="214"/>
      <c r="J53" s="215"/>
      <c r="K53" s="213" t="s">
        <v>6</v>
      </c>
      <c r="L53" s="214"/>
      <c r="M53" s="214"/>
      <c r="N53" s="215"/>
      <c r="O53" s="112"/>
      <c r="P53" s="112"/>
      <c r="Q53" s="112"/>
      <c r="R53" s="112"/>
      <c r="S53" s="112"/>
      <c r="T53" s="112"/>
      <c r="U53" s="112"/>
    </row>
    <row r="54" spans="1:21">
      <c r="A54" s="203" t="s">
        <v>76</v>
      </c>
      <c r="B54" s="205"/>
      <c r="C54" s="213" t="s">
        <v>6</v>
      </c>
      <c r="D54" s="214"/>
      <c r="E54" s="214"/>
      <c r="F54" s="215"/>
      <c r="G54" s="213" t="s">
        <v>6</v>
      </c>
      <c r="H54" s="214"/>
      <c r="I54" s="214"/>
      <c r="J54" s="215"/>
      <c r="K54" s="213" t="s">
        <v>6</v>
      </c>
      <c r="L54" s="214"/>
      <c r="M54" s="214"/>
      <c r="N54" s="215"/>
      <c r="O54" s="112"/>
      <c r="P54" s="112"/>
      <c r="Q54" s="112"/>
      <c r="R54" s="112"/>
      <c r="S54" s="112"/>
      <c r="T54" s="112"/>
      <c r="U54" s="112"/>
    </row>
    <row r="55" spans="1:21">
      <c r="A55" s="222" t="s">
        <v>114</v>
      </c>
      <c r="B55" s="223"/>
      <c r="C55" s="223"/>
      <c r="D55" s="223"/>
      <c r="E55" s="223"/>
      <c r="F55" s="223"/>
      <c r="G55" s="223"/>
      <c r="H55" s="223"/>
      <c r="I55" s="223"/>
      <c r="J55" s="223"/>
      <c r="K55" s="223"/>
      <c r="L55" s="223"/>
      <c r="M55" s="223"/>
      <c r="N55" s="224"/>
      <c r="O55" s="112"/>
      <c r="P55" s="112"/>
      <c r="Q55" s="112"/>
      <c r="R55" s="112"/>
      <c r="S55" s="112"/>
      <c r="T55" s="112"/>
      <c r="U55" s="112"/>
    </row>
    <row r="56" spans="1:21">
      <c r="A56" s="91"/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</row>
  </sheetData>
  <mergeCells count="53">
    <mergeCell ref="A54:B54"/>
    <mergeCell ref="C54:F54"/>
    <mergeCell ref="G54:J54"/>
    <mergeCell ref="K54:N54"/>
    <mergeCell ref="A55:N55"/>
    <mergeCell ref="A52:B52"/>
    <mergeCell ref="C52:F52"/>
    <mergeCell ref="G52:J52"/>
    <mergeCell ref="K52:N52"/>
    <mergeCell ref="A53:B53"/>
    <mergeCell ref="C53:F53"/>
    <mergeCell ref="G53:J53"/>
    <mergeCell ref="K53:N53"/>
    <mergeCell ref="A50:B50"/>
    <mergeCell ref="C50:F50"/>
    <mergeCell ref="G50:J50"/>
    <mergeCell ref="K50:N50"/>
    <mergeCell ref="A51:B51"/>
    <mergeCell ref="C51:F51"/>
    <mergeCell ref="G51:J51"/>
    <mergeCell ref="K51:N51"/>
    <mergeCell ref="A48:B49"/>
    <mergeCell ref="C48:F48"/>
    <mergeCell ref="G48:J48"/>
    <mergeCell ref="K48:N48"/>
    <mergeCell ref="C49:F49"/>
    <mergeCell ref="G49:J49"/>
    <mergeCell ref="K49:N49"/>
    <mergeCell ref="A45:N45"/>
    <mergeCell ref="A46:F46"/>
    <mergeCell ref="G46:N46"/>
    <mergeCell ref="A47:B47"/>
    <mergeCell ref="C47:F47"/>
    <mergeCell ref="G47:J47"/>
    <mergeCell ref="K47:N47"/>
    <mergeCell ref="A43:B43"/>
    <mergeCell ref="A9:U9"/>
    <mergeCell ref="A18:U18"/>
    <mergeCell ref="A20:U20"/>
    <mergeCell ref="A23:U23"/>
    <mergeCell ref="A25:U25"/>
    <mergeCell ref="A29:U29"/>
    <mergeCell ref="A31:U31"/>
    <mergeCell ref="A33:U33"/>
    <mergeCell ref="A35:U35"/>
    <mergeCell ref="A38:U38"/>
    <mergeCell ref="A41:U41"/>
    <mergeCell ref="A5:U5"/>
    <mergeCell ref="A1:U1"/>
    <mergeCell ref="A2:B2"/>
    <mergeCell ref="C2:T2"/>
    <mergeCell ref="U2:U4"/>
    <mergeCell ref="A3:B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F5F24-F91C-4C1B-AF5E-BF37E5193990}">
  <dimension ref="A1:W56"/>
  <sheetViews>
    <sheetView topLeftCell="A41" workbookViewId="0">
      <selection activeCell="Q66" sqref="Q66"/>
    </sheetView>
  </sheetViews>
  <sheetFormatPr defaultRowHeight="14.4"/>
  <cols>
    <col min="1" max="16384" width="8.88671875" style="91"/>
  </cols>
  <sheetData>
    <row r="1" spans="1:23" customFormat="1"/>
    <row r="2" spans="1:23">
      <c r="A2" s="190" t="s">
        <v>115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2"/>
    </row>
    <row r="3" spans="1:23">
      <c r="A3" s="190" t="s">
        <v>98</v>
      </c>
      <c r="B3" s="192"/>
      <c r="C3" s="190" t="s">
        <v>99</v>
      </c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3" t="s">
        <v>1</v>
      </c>
    </row>
    <row r="4" spans="1:23">
      <c r="A4" s="196" t="s">
        <v>2</v>
      </c>
      <c r="B4" s="197"/>
      <c r="C4" s="92">
        <v>1</v>
      </c>
      <c r="D4" s="92">
        <v>2</v>
      </c>
      <c r="E4" s="92">
        <v>3</v>
      </c>
      <c r="F4" s="92">
        <v>4</v>
      </c>
      <c r="G4" s="92">
        <v>5</v>
      </c>
      <c r="H4" s="92">
        <v>6</v>
      </c>
      <c r="I4" s="92">
        <v>7</v>
      </c>
      <c r="J4" s="92">
        <v>8</v>
      </c>
      <c r="K4" s="92">
        <v>9</v>
      </c>
      <c r="L4" s="92">
        <v>10</v>
      </c>
      <c r="M4" s="92">
        <v>11</v>
      </c>
      <c r="N4" s="92">
        <v>12</v>
      </c>
      <c r="O4" s="92">
        <v>13</v>
      </c>
      <c r="P4" s="92">
        <v>14</v>
      </c>
      <c r="Q4" s="92">
        <v>15</v>
      </c>
      <c r="R4" s="92">
        <v>16</v>
      </c>
      <c r="S4" s="92">
        <v>17</v>
      </c>
      <c r="T4" s="92">
        <v>18</v>
      </c>
      <c r="U4" s="194"/>
    </row>
    <row r="5" spans="1:23" ht="94.8">
      <c r="A5" s="198"/>
      <c r="B5" s="199"/>
      <c r="C5" s="114" t="s">
        <v>79</v>
      </c>
      <c r="D5" s="114" t="s">
        <v>80</v>
      </c>
      <c r="E5" s="115" t="s">
        <v>81</v>
      </c>
      <c r="F5" s="115" t="s">
        <v>82</v>
      </c>
      <c r="G5" s="115" t="s">
        <v>84</v>
      </c>
      <c r="H5" s="115" t="s">
        <v>85</v>
      </c>
      <c r="I5" s="115" t="s">
        <v>86</v>
      </c>
      <c r="J5" s="115" t="s">
        <v>101</v>
      </c>
      <c r="K5" s="115" t="s">
        <v>87</v>
      </c>
      <c r="L5" s="115" t="s">
        <v>88</v>
      </c>
      <c r="M5" s="115" t="s">
        <v>89</v>
      </c>
      <c r="N5" s="115" t="s">
        <v>102</v>
      </c>
      <c r="O5" s="115" t="s">
        <v>90</v>
      </c>
      <c r="P5" s="115" t="s">
        <v>91</v>
      </c>
      <c r="Q5" s="115" t="s">
        <v>92</v>
      </c>
      <c r="R5" s="115" t="s">
        <v>93</v>
      </c>
      <c r="S5" s="115" t="s">
        <v>94</v>
      </c>
      <c r="T5" s="114" t="s">
        <v>104</v>
      </c>
      <c r="U5" s="195"/>
    </row>
    <row r="6" spans="1:23">
      <c r="A6" s="187" t="s">
        <v>3</v>
      </c>
      <c r="B6" s="188"/>
      <c r="C6" s="188"/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9"/>
    </row>
    <row r="7" spans="1:23" ht="26.4">
      <c r="A7" s="95" t="s">
        <v>107</v>
      </c>
      <c r="B7" s="95" t="s">
        <v>5</v>
      </c>
      <c r="C7" s="96">
        <v>2.5</v>
      </c>
      <c r="D7" s="96">
        <v>2</v>
      </c>
      <c r="E7" s="96">
        <v>2.5</v>
      </c>
      <c r="F7" s="96">
        <v>3</v>
      </c>
      <c r="G7" s="96">
        <v>3</v>
      </c>
      <c r="H7" s="96">
        <v>3</v>
      </c>
      <c r="I7" s="96">
        <v>3</v>
      </c>
      <c r="J7" s="96">
        <v>2.5</v>
      </c>
      <c r="K7" s="96">
        <v>2.5</v>
      </c>
      <c r="L7" s="96">
        <v>2.5</v>
      </c>
      <c r="M7" s="96">
        <v>2.5</v>
      </c>
      <c r="N7" s="116" t="s">
        <v>6</v>
      </c>
      <c r="O7" s="96">
        <v>2.5</v>
      </c>
      <c r="P7" s="96">
        <v>2.5</v>
      </c>
      <c r="Q7" s="96">
        <v>1</v>
      </c>
      <c r="R7" s="96">
        <v>3</v>
      </c>
      <c r="S7" s="96">
        <v>2.5</v>
      </c>
      <c r="T7" s="96">
        <v>2.5</v>
      </c>
      <c r="U7" s="97">
        <f>AVERAGE(C7:T7)</f>
        <v>2.5294117647058822</v>
      </c>
    </row>
    <row r="8" spans="1:23" ht="92.4">
      <c r="A8" s="95" t="s">
        <v>7</v>
      </c>
      <c r="B8" s="98" t="s">
        <v>8</v>
      </c>
      <c r="C8" s="96">
        <v>3</v>
      </c>
      <c r="D8" s="96">
        <v>3</v>
      </c>
      <c r="E8" s="96">
        <v>2</v>
      </c>
      <c r="F8" s="96">
        <v>3</v>
      </c>
      <c r="G8" s="96">
        <v>2</v>
      </c>
      <c r="H8" s="96">
        <v>3</v>
      </c>
      <c r="I8" s="96">
        <v>2</v>
      </c>
      <c r="J8" s="96">
        <v>3</v>
      </c>
      <c r="K8" s="96">
        <v>3</v>
      </c>
      <c r="L8" s="96">
        <v>3</v>
      </c>
      <c r="M8" s="96">
        <v>3</v>
      </c>
      <c r="N8" s="116" t="s">
        <v>6</v>
      </c>
      <c r="O8" s="96">
        <v>3</v>
      </c>
      <c r="P8" s="96">
        <v>3</v>
      </c>
      <c r="Q8" s="96">
        <v>3</v>
      </c>
      <c r="R8" s="96">
        <v>3</v>
      </c>
      <c r="S8" s="96">
        <v>2</v>
      </c>
      <c r="T8" s="96">
        <v>2</v>
      </c>
      <c r="U8" s="99">
        <f>AVERAGE(C8:T8)</f>
        <v>2.7058823529411766</v>
      </c>
    </row>
    <row r="9" spans="1:23" ht="39.6">
      <c r="A9" s="95" t="s">
        <v>9</v>
      </c>
      <c r="B9" s="98" t="s">
        <v>10</v>
      </c>
      <c r="C9" s="100">
        <v>3</v>
      </c>
      <c r="D9" s="100">
        <v>3</v>
      </c>
      <c r="E9" s="100">
        <v>3</v>
      </c>
      <c r="F9" s="100">
        <v>3</v>
      </c>
      <c r="G9" s="100">
        <v>3</v>
      </c>
      <c r="H9" s="100">
        <v>3</v>
      </c>
      <c r="I9" s="100">
        <v>3</v>
      </c>
      <c r="J9" s="100">
        <v>2</v>
      </c>
      <c r="K9" s="100">
        <v>3</v>
      </c>
      <c r="L9" s="100">
        <v>3</v>
      </c>
      <c r="M9" s="100">
        <v>3</v>
      </c>
      <c r="N9" s="116" t="s">
        <v>6</v>
      </c>
      <c r="O9" s="100">
        <v>3</v>
      </c>
      <c r="P9" s="100">
        <v>3</v>
      </c>
      <c r="Q9" s="100">
        <v>3</v>
      </c>
      <c r="R9" s="100">
        <v>3</v>
      </c>
      <c r="S9" s="100">
        <v>2</v>
      </c>
      <c r="T9" s="100">
        <v>3</v>
      </c>
      <c r="U9" s="99">
        <f>AVERAGE(C9:T9)</f>
        <v>2.8823529411764706</v>
      </c>
    </row>
    <row r="10" spans="1:23">
      <c r="A10" s="187" t="s">
        <v>118</v>
      </c>
      <c r="B10" s="188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9"/>
    </row>
    <row r="11" spans="1:23" ht="39.6">
      <c r="A11" s="95" t="s">
        <v>11</v>
      </c>
      <c r="B11" s="98" t="s">
        <v>12</v>
      </c>
      <c r="C11" s="101">
        <v>3</v>
      </c>
      <c r="D11" s="101">
        <v>3</v>
      </c>
      <c r="E11" s="101">
        <v>3</v>
      </c>
      <c r="F11" s="101">
        <v>3</v>
      </c>
      <c r="G11" s="101">
        <v>3</v>
      </c>
      <c r="H11" s="101">
        <v>3</v>
      </c>
      <c r="I11" s="101">
        <v>3</v>
      </c>
      <c r="J11" s="101">
        <v>3</v>
      </c>
      <c r="K11" s="101">
        <v>3</v>
      </c>
      <c r="L11" s="101">
        <v>3</v>
      </c>
      <c r="M11" s="101">
        <v>3</v>
      </c>
      <c r="N11" s="102" t="s">
        <v>6</v>
      </c>
      <c r="O11" s="101">
        <v>3</v>
      </c>
      <c r="P11" s="101">
        <v>3</v>
      </c>
      <c r="Q11" s="101">
        <v>3</v>
      </c>
      <c r="R11" s="101">
        <v>3</v>
      </c>
      <c r="S11" s="101">
        <v>3</v>
      </c>
      <c r="T11" s="101">
        <v>3</v>
      </c>
      <c r="U11" s="99">
        <f>AVERAGE(C11:T11)</f>
        <v>3</v>
      </c>
    </row>
    <row r="12" spans="1:23" ht="39.6">
      <c r="A12" s="95" t="s">
        <v>13</v>
      </c>
      <c r="B12" s="98" t="s">
        <v>14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3</v>
      </c>
      <c r="N12" s="102" t="s">
        <v>6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3">
        <f>AVERAGE(C12:T12)</f>
        <v>0.17647058823529413</v>
      </c>
      <c r="V12" s="117"/>
      <c r="W12" s="117"/>
    </row>
    <row r="13" spans="1:23" ht="92.4">
      <c r="A13" s="95" t="s">
        <v>15</v>
      </c>
      <c r="B13" s="98" t="s">
        <v>16</v>
      </c>
      <c r="C13" s="102" t="s">
        <v>6</v>
      </c>
      <c r="D13" s="102" t="s">
        <v>6</v>
      </c>
      <c r="E13" s="102" t="s">
        <v>6</v>
      </c>
      <c r="F13" s="102" t="s">
        <v>6</v>
      </c>
      <c r="G13" s="102" t="s">
        <v>6</v>
      </c>
      <c r="H13" s="102" t="s">
        <v>6</v>
      </c>
      <c r="I13" s="102" t="s">
        <v>6</v>
      </c>
      <c r="J13" s="102" t="s">
        <v>6</v>
      </c>
      <c r="K13" s="102" t="s">
        <v>6</v>
      </c>
      <c r="L13" s="102" t="s">
        <v>6</v>
      </c>
      <c r="M13" s="102" t="s">
        <v>6</v>
      </c>
      <c r="N13" s="102" t="s">
        <v>6</v>
      </c>
      <c r="O13" s="102" t="s">
        <v>6</v>
      </c>
      <c r="P13" s="102" t="s">
        <v>6</v>
      </c>
      <c r="Q13" s="102" t="s">
        <v>6</v>
      </c>
      <c r="R13" s="102" t="s">
        <v>6</v>
      </c>
      <c r="S13" s="102" t="s">
        <v>6</v>
      </c>
      <c r="T13" s="102" t="s">
        <v>6</v>
      </c>
      <c r="U13" s="102" t="s">
        <v>6</v>
      </c>
    </row>
    <row r="14" spans="1:23" ht="79.2">
      <c r="A14" s="95" t="s">
        <v>17</v>
      </c>
      <c r="B14" s="98" t="s">
        <v>18</v>
      </c>
      <c r="C14" s="102" t="s">
        <v>6</v>
      </c>
      <c r="D14" s="102" t="s">
        <v>6</v>
      </c>
      <c r="E14" s="102" t="s">
        <v>6</v>
      </c>
      <c r="F14" s="102" t="s">
        <v>6</v>
      </c>
      <c r="G14" s="102" t="s">
        <v>6</v>
      </c>
      <c r="H14" s="102" t="s">
        <v>6</v>
      </c>
      <c r="I14" s="102" t="s">
        <v>6</v>
      </c>
      <c r="J14" s="102" t="s">
        <v>6</v>
      </c>
      <c r="K14" s="102" t="s">
        <v>6</v>
      </c>
      <c r="L14" s="102" t="s">
        <v>6</v>
      </c>
      <c r="M14" s="102" t="s">
        <v>6</v>
      </c>
      <c r="N14" s="102" t="s">
        <v>6</v>
      </c>
      <c r="O14" s="102" t="s">
        <v>6</v>
      </c>
      <c r="P14" s="102" t="s">
        <v>6</v>
      </c>
      <c r="Q14" s="102" t="s">
        <v>6</v>
      </c>
      <c r="R14" s="102" t="s">
        <v>6</v>
      </c>
      <c r="S14" s="102" t="s">
        <v>6</v>
      </c>
      <c r="T14" s="102" t="s">
        <v>6</v>
      </c>
      <c r="U14" s="102" t="s">
        <v>6</v>
      </c>
    </row>
    <row r="15" spans="1:23" ht="79.2">
      <c r="A15" s="95" t="s">
        <v>19</v>
      </c>
      <c r="B15" s="98" t="s">
        <v>20</v>
      </c>
      <c r="C15" s="101">
        <v>3</v>
      </c>
      <c r="D15" s="101">
        <v>3</v>
      </c>
      <c r="E15" s="101">
        <v>2</v>
      </c>
      <c r="F15" s="101">
        <v>3</v>
      </c>
      <c r="G15" s="101">
        <v>2</v>
      </c>
      <c r="H15" s="101">
        <v>3</v>
      </c>
      <c r="I15" s="101">
        <v>3</v>
      </c>
      <c r="J15" s="101">
        <v>2</v>
      </c>
      <c r="K15" s="101">
        <v>3</v>
      </c>
      <c r="L15" s="101">
        <v>3</v>
      </c>
      <c r="M15" s="101">
        <v>3</v>
      </c>
      <c r="N15" s="102" t="s">
        <v>6</v>
      </c>
      <c r="O15" s="101">
        <v>3</v>
      </c>
      <c r="P15" s="101">
        <v>2</v>
      </c>
      <c r="Q15" s="101">
        <v>2</v>
      </c>
      <c r="R15" s="101">
        <v>2</v>
      </c>
      <c r="S15" s="101">
        <v>3</v>
      </c>
      <c r="T15" s="101">
        <v>3</v>
      </c>
      <c r="U15" s="103">
        <f>AVERAGE(C15:T15)</f>
        <v>2.6470588235294117</v>
      </c>
      <c r="V15" s="117"/>
      <c r="W15" s="117"/>
    </row>
    <row r="16" spans="1:23" ht="52.8">
      <c r="A16" s="95" t="s">
        <v>21</v>
      </c>
      <c r="B16" s="98" t="s">
        <v>22</v>
      </c>
      <c r="C16" s="101">
        <v>2</v>
      </c>
      <c r="D16" s="101">
        <v>2</v>
      </c>
      <c r="E16" s="101">
        <v>2</v>
      </c>
      <c r="F16" s="101">
        <v>2</v>
      </c>
      <c r="G16" s="101">
        <v>2</v>
      </c>
      <c r="H16" s="101">
        <v>3</v>
      </c>
      <c r="I16" s="101">
        <v>2</v>
      </c>
      <c r="J16" s="101">
        <v>0</v>
      </c>
      <c r="K16" s="101">
        <v>2</v>
      </c>
      <c r="L16" s="101">
        <v>3</v>
      </c>
      <c r="M16" s="101">
        <v>2</v>
      </c>
      <c r="N16" s="116" t="s">
        <v>6</v>
      </c>
      <c r="O16" s="101">
        <v>2</v>
      </c>
      <c r="P16" s="101">
        <v>2</v>
      </c>
      <c r="Q16" s="101">
        <v>2</v>
      </c>
      <c r="R16" s="101">
        <v>2</v>
      </c>
      <c r="S16" s="101">
        <v>2</v>
      </c>
      <c r="T16" s="101">
        <v>0</v>
      </c>
      <c r="U16" s="104">
        <f>AVERAGE(C16:T16)</f>
        <v>1.8823529411764706</v>
      </c>
      <c r="V16" s="103"/>
    </row>
    <row r="17" spans="1:21" ht="39.6">
      <c r="A17" s="95" t="s">
        <v>23</v>
      </c>
      <c r="B17" s="98" t="s">
        <v>24</v>
      </c>
      <c r="C17" s="101" t="s">
        <v>6</v>
      </c>
      <c r="D17" s="101" t="s">
        <v>6</v>
      </c>
      <c r="E17" s="101" t="s">
        <v>6</v>
      </c>
      <c r="F17" s="101" t="s">
        <v>6</v>
      </c>
      <c r="G17" s="101" t="s">
        <v>6</v>
      </c>
      <c r="H17" s="101" t="s">
        <v>6</v>
      </c>
      <c r="I17" s="101" t="s">
        <v>6</v>
      </c>
      <c r="J17" s="101" t="s">
        <v>6</v>
      </c>
      <c r="K17" s="101" t="s">
        <v>6</v>
      </c>
      <c r="L17" s="101" t="s">
        <v>6</v>
      </c>
      <c r="M17" s="101" t="s">
        <v>6</v>
      </c>
      <c r="N17" s="102" t="s">
        <v>6</v>
      </c>
      <c r="O17" s="101" t="s">
        <v>6</v>
      </c>
      <c r="P17" s="101" t="s">
        <v>6</v>
      </c>
      <c r="Q17" s="101" t="s">
        <v>6</v>
      </c>
      <c r="R17" s="101" t="s">
        <v>6</v>
      </c>
      <c r="S17" s="101" t="s">
        <v>6</v>
      </c>
      <c r="T17" s="101" t="s">
        <v>6</v>
      </c>
      <c r="U17" s="101" t="s">
        <v>6</v>
      </c>
    </row>
    <row r="18" spans="1:21">
      <c r="A18" s="95" t="s">
        <v>25</v>
      </c>
      <c r="B18" s="98" t="s">
        <v>26</v>
      </c>
      <c r="C18" s="101">
        <v>3</v>
      </c>
      <c r="D18" s="101">
        <v>3</v>
      </c>
      <c r="E18" s="101">
        <v>3</v>
      </c>
      <c r="F18" s="101">
        <v>3</v>
      </c>
      <c r="G18" s="101">
        <v>3</v>
      </c>
      <c r="H18" s="101">
        <v>3</v>
      </c>
      <c r="I18" s="101">
        <v>3</v>
      </c>
      <c r="J18" s="101">
        <v>3</v>
      </c>
      <c r="K18" s="101">
        <v>3</v>
      </c>
      <c r="L18" s="101">
        <v>2</v>
      </c>
      <c r="M18" s="101">
        <v>3</v>
      </c>
      <c r="N18" s="116" t="s">
        <v>6</v>
      </c>
      <c r="O18" s="101">
        <v>3</v>
      </c>
      <c r="P18" s="101">
        <v>2</v>
      </c>
      <c r="Q18" s="101">
        <v>3</v>
      </c>
      <c r="R18" s="101">
        <v>3</v>
      </c>
      <c r="S18" s="101">
        <v>3</v>
      </c>
      <c r="T18" s="101">
        <v>3</v>
      </c>
      <c r="U18" s="103">
        <f>AVERAGE(C18:T18)</f>
        <v>2.8823529411764706</v>
      </c>
    </row>
    <row r="19" spans="1:21">
      <c r="A19" s="200" t="s">
        <v>27</v>
      </c>
      <c r="B19" s="201"/>
      <c r="C19" s="201"/>
      <c r="D19" s="201"/>
      <c r="E19" s="201"/>
      <c r="F19" s="201"/>
      <c r="G19" s="201"/>
      <c r="H19" s="201"/>
      <c r="I19" s="201"/>
      <c r="J19" s="201"/>
      <c r="K19" s="201"/>
      <c r="L19" s="201"/>
      <c r="M19" s="201"/>
      <c r="N19" s="201"/>
      <c r="O19" s="201"/>
      <c r="P19" s="201"/>
      <c r="Q19" s="201"/>
      <c r="R19" s="201"/>
      <c r="S19" s="201"/>
      <c r="T19" s="201"/>
      <c r="U19" s="202"/>
    </row>
    <row r="20" spans="1:21" ht="52.8">
      <c r="A20" s="95" t="s">
        <v>28</v>
      </c>
      <c r="B20" s="98" t="s">
        <v>29</v>
      </c>
      <c r="C20" s="101">
        <v>3</v>
      </c>
      <c r="D20" s="101">
        <v>2</v>
      </c>
      <c r="E20" s="101">
        <v>3</v>
      </c>
      <c r="F20" s="101">
        <v>2</v>
      </c>
      <c r="G20" s="101">
        <v>2</v>
      </c>
      <c r="H20" s="101">
        <v>2</v>
      </c>
      <c r="I20" s="101">
        <v>3</v>
      </c>
      <c r="J20" s="101">
        <v>2</v>
      </c>
      <c r="K20" s="101">
        <v>2</v>
      </c>
      <c r="L20" s="101">
        <v>3</v>
      </c>
      <c r="M20" s="101">
        <v>3</v>
      </c>
      <c r="N20" s="102" t="s">
        <v>6</v>
      </c>
      <c r="O20" s="101">
        <v>3</v>
      </c>
      <c r="P20" s="101">
        <v>2</v>
      </c>
      <c r="Q20" s="101">
        <v>3</v>
      </c>
      <c r="R20" s="101">
        <v>3</v>
      </c>
      <c r="S20" s="101">
        <v>3</v>
      </c>
      <c r="T20" s="101">
        <v>2</v>
      </c>
      <c r="U20" s="99">
        <f>AVERAGE(C20:T20)</f>
        <v>2.5294117647058822</v>
      </c>
    </row>
    <row r="21" spans="1:21">
      <c r="A21" s="187" t="s">
        <v>30</v>
      </c>
      <c r="B21" s="188"/>
      <c r="C21" s="188"/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189"/>
    </row>
    <row r="22" spans="1:21" ht="39.6">
      <c r="A22" s="95" t="s">
        <v>31</v>
      </c>
      <c r="B22" s="98" t="s">
        <v>32</v>
      </c>
      <c r="C22" s="101">
        <v>3</v>
      </c>
      <c r="D22" s="101">
        <v>3</v>
      </c>
      <c r="E22" s="101">
        <v>3</v>
      </c>
      <c r="F22" s="101">
        <v>3</v>
      </c>
      <c r="G22" s="101">
        <v>3</v>
      </c>
      <c r="H22" s="101">
        <v>3</v>
      </c>
      <c r="I22" s="101">
        <v>3</v>
      </c>
      <c r="J22" s="101">
        <v>2</v>
      </c>
      <c r="K22" s="101">
        <v>3</v>
      </c>
      <c r="L22" s="101">
        <v>3</v>
      </c>
      <c r="M22" s="101">
        <v>3</v>
      </c>
      <c r="N22" s="102" t="s">
        <v>6</v>
      </c>
      <c r="O22" s="101">
        <v>2</v>
      </c>
      <c r="P22" s="101">
        <v>2</v>
      </c>
      <c r="Q22" s="101">
        <v>3</v>
      </c>
      <c r="R22" s="101">
        <v>3</v>
      </c>
      <c r="S22" s="101">
        <v>2</v>
      </c>
      <c r="T22" s="101">
        <v>2</v>
      </c>
      <c r="U22" s="99">
        <f>AVERAGE(C22:T22)</f>
        <v>2.7058823529411766</v>
      </c>
    </row>
    <row r="23" spans="1:21" ht="26.4">
      <c r="A23" s="95" t="s">
        <v>33</v>
      </c>
      <c r="B23" s="98" t="s">
        <v>34</v>
      </c>
      <c r="C23" s="101">
        <v>3</v>
      </c>
      <c r="D23" s="101">
        <v>3</v>
      </c>
      <c r="E23" s="101">
        <v>3</v>
      </c>
      <c r="F23" s="101">
        <v>3</v>
      </c>
      <c r="G23" s="101">
        <v>3</v>
      </c>
      <c r="H23" s="101">
        <v>3</v>
      </c>
      <c r="I23" s="101">
        <v>3</v>
      </c>
      <c r="J23" s="101">
        <v>3</v>
      </c>
      <c r="K23" s="101">
        <v>3</v>
      </c>
      <c r="L23" s="101">
        <v>3</v>
      </c>
      <c r="M23" s="101">
        <v>3</v>
      </c>
      <c r="N23" s="102" t="s">
        <v>6</v>
      </c>
      <c r="O23" s="101">
        <v>2</v>
      </c>
      <c r="P23" s="101">
        <v>2</v>
      </c>
      <c r="Q23" s="101">
        <v>2</v>
      </c>
      <c r="R23" s="101">
        <v>3</v>
      </c>
      <c r="S23" s="101">
        <v>3</v>
      </c>
      <c r="T23" s="101">
        <v>3</v>
      </c>
      <c r="U23" s="99">
        <f>AVERAGE(C23:T23)</f>
        <v>2.8235294117647061</v>
      </c>
    </row>
    <row r="24" spans="1:21">
      <c r="A24" s="187">
        <v>5</v>
      </c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9"/>
    </row>
    <row r="25" spans="1:21" ht="26.4">
      <c r="A25" s="95" t="s">
        <v>36</v>
      </c>
      <c r="B25" s="98" t="s">
        <v>37</v>
      </c>
      <c r="C25" s="100">
        <v>3</v>
      </c>
      <c r="D25" s="100">
        <v>2</v>
      </c>
      <c r="E25" s="100">
        <v>3</v>
      </c>
      <c r="F25" s="100">
        <v>3</v>
      </c>
      <c r="G25" s="100">
        <v>3</v>
      </c>
      <c r="H25" s="100">
        <v>3</v>
      </c>
      <c r="I25" s="100">
        <v>3</v>
      </c>
      <c r="J25" s="100">
        <v>3</v>
      </c>
      <c r="K25" s="100">
        <v>3</v>
      </c>
      <c r="L25" s="100">
        <v>3</v>
      </c>
      <c r="M25" s="100">
        <v>3</v>
      </c>
      <c r="N25" s="118" t="s">
        <v>6</v>
      </c>
      <c r="O25" s="100">
        <v>2</v>
      </c>
      <c r="P25" s="100">
        <v>3</v>
      </c>
      <c r="Q25" s="100">
        <v>3</v>
      </c>
      <c r="R25" s="100">
        <v>3</v>
      </c>
      <c r="S25" s="100">
        <v>2</v>
      </c>
      <c r="T25" s="100">
        <v>3</v>
      </c>
      <c r="U25" s="99">
        <f>AVERAGE(C25:T25)</f>
        <v>2.8235294117647061</v>
      </c>
    </row>
    <row r="26" spans="1:21">
      <c r="A26" s="200" t="s">
        <v>38</v>
      </c>
      <c r="B26" s="201"/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1"/>
      <c r="N26" s="201"/>
      <c r="O26" s="201"/>
      <c r="P26" s="201"/>
      <c r="Q26" s="201"/>
      <c r="R26" s="201"/>
      <c r="S26" s="201"/>
      <c r="T26" s="201"/>
      <c r="U26" s="202"/>
    </row>
    <row r="27" spans="1:21" ht="66">
      <c r="A27" s="95" t="s">
        <v>39</v>
      </c>
      <c r="B27" s="98" t="s">
        <v>40</v>
      </c>
      <c r="C27" s="101">
        <v>3</v>
      </c>
      <c r="D27" s="101">
        <v>3</v>
      </c>
      <c r="E27" s="101">
        <v>3</v>
      </c>
      <c r="F27" s="101">
        <v>3</v>
      </c>
      <c r="G27" s="101">
        <v>2</v>
      </c>
      <c r="H27" s="101">
        <v>2</v>
      </c>
      <c r="I27" s="101">
        <v>3</v>
      </c>
      <c r="J27" s="101">
        <v>2</v>
      </c>
      <c r="K27" s="101">
        <v>3</v>
      </c>
      <c r="L27" s="101">
        <v>3</v>
      </c>
      <c r="M27" s="101">
        <v>3</v>
      </c>
      <c r="N27" s="102" t="s">
        <v>6</v>
      </c>
      <c r="O27" s="101">
        <v>3</v>
      </c>
      <c r="P27" s="101">
        <v>3</v>
      </c>
      <c r="Q27" s="101">
        <v>3</v>
      </c>
      <c r="R27" s="101">
        <v>3</v>
      </c>
      <c r="S27" s="101">
        <v>2</v>
      </c>
      <c r="T27" s="101">
        <v>3</v>
      </c>
      <c r="U27" s="99">
        <f>AVERAGE(C27:T27)</f>
        <v>2.7647058823529411</v>
      </c>
    </row>
    <row r="28" spans="1:21" ht="52.8">
      <c r="A28" s="95" t="s">
        <v>41</v>
      </c>
      <c r="B28" s="98" t="s">
        <v>42</v>
      </c>
      <c r="C28" s="101">
        <v>3</v>
      </c>
      <c r="D28" s="101">
        <v>3</v>
      </c>
      <c r="E28" s="101">
        <v>3</v>
      </c>
      <c r="F28" s="101">
        <v>2</v>
      </c>
      <c r="G28" s="101">
        <v>3</v>
      </c>
      <c r="H28" s="101">
        <v>2</v>
      </c>
      <c r="I28" s="101">
        <v>3</v>
      </c>
      <c r="J28" s="101">
        <v>3</v>
      </c>
      <c r="K28" s="101">
        <v>3</v>
      </c>
      <c r="L28" s="101">
        <v>3</v>
      </c>
      <c r="M28" s="101">
        <v>3</v>
      </c>
      <c r="N28" s="102" t="s">
        <v>6</v>
      </c>
      <c r="O28" s="101">
        <v>2</v>
      </c>
      <c r="P28" s="101">
        <v>2</v>
      </c>
      <c r="Q28" s="101">
        <v>3</v>
      </c>
      <c r="R28" s="101">
        <v>3</v>
      </c>
      <c r="S28" s="101">
        <v>3</v>
      </c>
      <c r="T28" s="101">
        <v>3</v>
      </c>
      <c r="U28" s="99">
        <f>AVERAGE(C28:T28)</f>
        <v>2.7647058823529411</v>
      </c>
    </row>
    <row r="29" spans="1:21" ht="26.4">
      <c r="A29" s="95" t="s">
        <v>43</v>
      </c>
      <c r="B29" s="98" t="s">
        <v>44</v>
      </c>
      <c r="C29" s="101">
        <v>3</v>
      </c>
      <c r="D29" s="101">
        <v>3</v>
      </c>
      <c r="E29" s="101">
        <v>3</v>
      </c>
      <c r="F29" s="101">
        <v>3</v>
      </c>
      <c r="G29" s="101">
        <v>3</v>
      </c>
      <c r="H29" s="101">
        <v>3</v>
      </c>
      <c r="I29" s="101">
        <v>3</v>
      </c>
      <c r="J29" s="101">
        <v>2</v>
      </c>
      <c r="K29" s="101">
        <v>3</v>
      </c>
      <c r="L29" s="101">
        <v>3</v>
      </c>
      <c r="M29" s="101">
        <v>3</v>
      </c>
      <c r="N29" s="102" t="s">
        <v>6</v>
      </c>
      <c r="O29" s="101">
        <v>2</v>
      </c>
      <c r="P29" s="101">
        <v>2</v>
      </c>
      <c r="Q29" s="101">
        <v>3</v>
      </c>
      <c r="R29" s="101">
        <v>3</v>
      </c>
      <c r="S29" s="101">
        <v>3</v>
      </c>
      <c r="T29" s="101">
        <v>3</v>
      </c>
      <c r="U29" s="99">
        <f>AVERAGE(C29:T29)</f>
        <v>2.8235294117647061</v>
      </c>
    </row>
    <row r="30" spans="1:21">
      <c r="A30" s="200" t="s">
        <v>45</v>
      </c>
      <c r="B30" s="201"/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2"/>
    </row>
    <row r="31" spans="1:21" ht="39.6">
      <c r="A31" s="95" t="s">
        <v>46</v>
      </c>
      <c r="B31" s="98" t="s">
        <v>47</v>
      </c>
      <c r="C31" s="100">
        <v>3</v>
      </c>
      <c r="D31" s="100">
        <v>2</v>
      </c>
      <c r="E31" s="100">
        <v>2</v>
      </c>
      <c r="F31" s="100">
        <v>2</v>
      </c>
      <c r="G31" s="100">
        <v>2</v>
      </c>
      <c r="H31" s="100">
        <v>0</v>
      </c>
      <c r="I31" s="100">
        <v>2</v>
      </c>
      <c r="J31" s="100">
        <v>2</v>
      </c>
      <c r="K31" s="100">
        <v>2</v>
      </c>
      <c r="L31" s="100">
        <v>3</v>
      </c>
      <c r="M31" s="100">
        <v>2</v>
      </c>
      <c r="N31" s="118" t="s">
        <v>6</v>
      </c>
      <c r="O31" s="100">
        <v>3</v>
      </c>
      <c r="P31" s="100">
        <v>2</v>
      </c>
      <c r="Q31" s="100">
        <v>3</v>
      </c>
      <c r="R31" s="100">
        <v>3</v>
      </c>
      <c r="S31" s="100">
        <v>2</v>
      </c>
      <c r="T31" s="100">
        <v>0</v>
      </c>
      <c r="U31" s="99">
        <f>AVERAGE(C31:T31)</f>
        <v>2.0588235294117645</v>
      </c>
    </row>
    <row r="32" spans="1:21">
      <c r="A32" s="187" t="s">
        <v>48</v>
      </c>
      <c r="B32" s="188"/>
      <c r="C32" s="188"/>
      <c r="D32" s="188"/>
      <c r="E32" s="188"/>
      <c r="F32" s="188"/>
      <c r="G32" s="188"/>
      <c r="H32" s="188"/>
      <c r="I32" s="188"/>
      <c r="J32" s="188"/>
      <c r="K32" s="188"/>
      <c r="L32" s="188"/>
      <c r="M32" s="188"/>
      <c r="N32" s="188"/>
      <c r="O32" s="188"/>
      <c r="P32" s="188"/>
      <c r="Q32" s="188"/>
      <c r="R32" s="188"/>
      <c r="S32" s="188"/>
      <c r="T32" s="188"/>
      <c r="U32" s="189"/>
    </row>
    <row r="33" spans="1:21" ht="26.4">
      <c r="A33" s="95" t="s">
        <v>49</v>
      </c>
      <c r="B33" s="98" t="s">
        <v>50</v>
      </c>
      <c r="C33" s="101">
        <v>3</v>
      </c>
      <c r="D33" s="101">
        <v>3</v>
      </c>
      <c r="E33" s="101">
        <v>3</v>
      </c>
      <c r="F33" s="101">
        <v>3</v>
      </c>
      <c r="G33" s="101">
        <v>3</v>
      </c>
      <c r="H33" s="101">
        <v>3</v>
      </c>
      <c r="I33" s="101">
        <v>3</v>
      </c>
      <c r="J33" s="101">
        <v>3</v>
      </c>
      <c r="K33" s="101">
        <v>3</v>
      </c>
      <c r="L33" s="101">
        <v>3</v>
      </c>
      <c r="M33" s="101">
        <v>3</v>
      </c>
      <c r="N33" s="102" t="s">
        <v>6</v>
      </c>
      <c r="O33" s="101">
        <v>3</v>
      </c>
      <c r="P33" s="101">
        <v>3</v>
      </c>
      <c r="Q33" s="101">
        <v>1</v>
      </c>
      <c r="R33" s="101">
        <v>3</v>
      </c>
      <c r="S33" s="101">
        <v>3</v>
      </c>
      <c r="T33" s="101">
        <v>3</v>
      </c>
      <c r="U33" s="99">
        <f>AVERAGE(C33:T33)</f>
        <v>2.8823529411764706</v>
      </c>
    </row>
    <row r="34" spans="1:21">
      <c r="A34" s="187" t="s">
        <v>51</v>
      </c>
      <c r="B34" s="188"/>
      <c r="C34" s="188"/>
      <c r="D34" s="188"/>
      <c r="E34" s="188"/>
      <c r="F34" s="188"/>
      <c r="G34" s="188"/>
      <c r="H34" s="188"/>
      <c r="I34" s="188"/>
      <c r="J34" s="188"/>
      <c r="K34" s="188"/>
      <c r="L34" s="188"/>
      <c r="M34" s="188"/>
      <c r="N34" s="188"/>
      <c r="O34" s="188"/>
      <c r="P34" s="188"/>
      <c r="Q34" s="188"/>
      <c r="R34" s="188"/>
      <c r="S34" s="188"/>
      <c r="T34" s="188"/>
      <c r="U34" s="189"/>
    </row>
    <row r="35" spans="1:21" ht="26.4">
      <c r="A35" s="95" t="s">
        <v>52</v>
      </c>
      <c r="B35" s="98" t="s">
        <v>78</v>
      </c>
      <c r="C35" s="100">
        <v>3</v>
      </c>
      <c r="D35" s="100">
        <v>2.5</v>
      </c>
      <c r="E35" s="100">
        <v>2</v>
      </c>
      <c r="F35" s="100">
        <v>2.5</v>
      </c>
      <c r="G35" s="100">
        <v>2</v>
      </c>
      <c r="H35" s="100">
        <v>2</v>
      </c>
      <c r="I35" s="100">
        <v>2</v>
      </c>
      <c r="J35" s="100">
        <v>2</v>
      </c>
      <c r="K35" s="100">
        <v>3</v>
      </c>
      <c r="L35" s="100">
        <v>2.5</v>
      </c>
      <c r="M35" s="100">
        <v>3</v>
      </c>
      <c r="N35" s="118" t="s">
        <v>6</v>
      </c>
      <c r="O35" s="100">
        <v>3</v>
      </c>
      <c r="P35" s="100">
        <v>1</v>
      </c>
      <c r="Q35" s="100">
        <v>2</v>
      </c>
      <c r="R35" s="100">
        <v>3</v>
      </c>
      <c r="S35" s="100">
        <v>2</v>
      </c>
      <c r="T35" s="100">
        <v>2</v>
      </c>
      <c r="U35" s="105">
        <f>AVERAGE(C35:T35)</f>
        <v>2.3235294117647061</v>
      </c>
    </row>
    <row r="36" spans="1:21">
      <c r="A36" s="187" t="s">
        <v>54</v>
      </c>
      <c r="B36" s="188"/>
      <c r="C36" s="188"/>
      <c r="D36" s="188"/>
      <c r="E36" s="188"/>
      <c r="F36" s="188"/>
      <c r="G36" s="188"/>
      <c r="H36" s="188"/>
      <c r="I36" s="188"/>
      <c r="J36" s="188"/>
      <c r="K36" s="188"/>
      <c r="L36" s="188"/>
      <c r="M36" s="188"/>
      <c r="N36" s="188"/>
      <c r="O36" s="188"/>
      <c r="P36" s="188"/>
      <c r="Q36" s="188"/>
      <c r="R36" s="188"/>
      <c r="S36" s="188"/>
      <c r="T36" s="188"/>
      <c r="U36" s="189"/>
    </row>
    <row r="37" spans="1:21" ht="26.4">
      <c r="A37" s="95" t="s">
        <v>55</v>
      </c>
      <c r="B37" s="98" t="s">
        <v>56</v>
      </c>
      <c r="C37" s="102" t="s">
        <v>6</v>
      </c>
      <c r="D37" s="102" t="s">
        <v>6</v>
      </c>
      <c r="E37" s="102" t="s">
        <v>6</v>
      </c>
      <c r="F37" s="102" t="s">
        <v>6</v>
      </c>
      <c r="G37" s="102" t="s">
        <v>6</v>
      </c>
      <c r="H37" s="102" t="s">
        <v>6</v>
      </c>
      <c r="I37" s="102" t="s">
        <v>6</v>
      </c>
      <c r="J37" s="102" t="s">
        <v>6</v>
      </c>
      <c r="K37" s="102" t="s">
        <v>6</v>
      </c>
      <c r="L37" s="102" t="s">
        <v>6</v>
      </c>
      <c r="M37" s="102" t="s">
        <v>6</v>
      </c>
      <c r="N37" s="102" t="s">
        <v>6</v>
      </c>
      <c r="O37" s="102" t="s">
        <v>6</v>
      </c>
      <c r="P37" s="102" t="s">
        <v>6</v>
      </c>
      <c r="Q37" s="102" t="s">
        <v>6</v>
      </c>
      <c r="R37" s="102" t="s">
        <v>6</v>
      </c>
      <c r="S37" s="102" t="s">
        <v>6</v>
      </c>
      <c r="T37" s="102" t="s">
        <v>6</v>
      </c>
      <c r="U37" s="102" t="s">
        <v>6</v>
      </c>
    </row>
    <row r="38" spans="1:21" ht="26.4">
      <c r="A38" s="95" t="s">
        <v>57</v>
      </c>
      <c r="B38" s="98" t="s">
        <v>58</v>
      </c>
      <c r="C38" s="102" t="s">
        <v>6</v>
      </c>
      <c r="D38" s="102" t="s">
        <v>6</v>
      </c>
      <c r="E38" s="102" t="s">
        <v>6</v>
      </c>
      <c r="F38" s="102" t="s">
        <v>6</v>
      </c>
      <c r="G38" s="102" t="s">
        <v>6</v>
      </c>
      <c r="H38" s="102" t="s">
        <v>6</v>
      </c>
      <c r="I38" s="102" t="s">
        <v>6</v>
      </c>
      <c r="J38" s="102" t="s">
        <v>6</v>
      </c>
      <c r="K38" s="102" t="s">
        <v>6</v>
      </c>
      <c r="L38" s="102" t="s">
        <v>6</v>
      </c>
      <c r="M38" s="102" t="s">
        <v>6</v>
      </c>
      <c r="N38" s="102" t="s">
        <v>6</v>
      </c>
      <c r="O38" s="102" t="s">
        <v>6</v>
      </c>
      <c r="P38" s="102" t="s">
        <v>6</v>
      </c>
      <c r="Q38" s="102" t="s">
        <v>6</v>
      </c>
      <c r="R38" s="102" t="s">
        <v>6</v>
      </c>
      <c r="S38" s="102" t="s">
        <v>6</v>
      </c>
      <c r="T38" s="102" t="s">
        <v>6</v>
      </c>
      <c r="U38" s="102" t="s">
        <v>6</v>
      </c>
    </row>
    <row r="39" spans="1:21">
      <c r="A39" s="187" t="s">
        <v>59</v>
      </c>
      <c r="B39" s="188"/>
      <c r="C39" s="188"/>
      <c r="D39" s="188"/>
      <c r="E39" s="188"/>
      <c r="F39" s="188"/>
      <c r="G39" s="188"/>
      <c r="H39" s="188"/>
      <c r="I39" s="188"/>
      <c r="J39" s="188"/>
      <c r="K39" s="188"/>
      <c r="L39" s="188"/>
      <c r="M39" s="188"/>
      <c r="N39" s="188"/>
      <c r="O39" s="188"/>
      <c r="P39" s="188"/>
      <c r="Q39" s="188"/>
      <c r="R39" s="188"/>
      <c r="S39" s="188"/>
      <c r="T39" s="188"/>
      <c r="U39" s="189"/>
    </row>
    <row r="40" spans="1:21" ht="52.8">
      <c r="A40" s="95" t="s">
        <v>60</v>
      </c>
      <c r="B40" s="98" t="s">
        <v>61</v>
      </c>
      <c r="C40" s="100">
        <v>3</v>
      </c>
      <c r="D40" s="100">
        <v>3</v>
      </c>
      <c r="E40" s="100">
        <v>2</v>
      </c>
      <c r="F40" s="100">
        <v>3</v>
      </c>
      <c r="G40" s="100">
        <v>2</v>
      </c>
      <c r="H40" s="100">
        <v>3</v>
      </c>
      <c r="I40" s="100">
        <v>3</v>
      </c>
      <c r="J40" s="100">
        <v>2</v>
      </c>
      <c r="K40" s="100">
        <v>2</v>
      </c>
      <c r="L40" s="100">
        <v>2</v>
      </c>
      <c r="M40" s="100">
        <v>2</v>
      </c>
      <c r="N40" s="118" t="s">
        <v>6</v>
      </c>
      <c r="O40" s="100">
        <v>3</v>
      </c>
      <c r="P40" s="100">
        <v>3</v>
      </c>
      <c r="Q40" s="100">
        <v>2</v>
      </c>
      <c r="R40" s="100">
        <v>3</v>
      </c>
      <c r="S40" s="100">
        <v>3</v>
      </c>
      <c r="T40" s="100">
        <v>3</v>
      </c>
      <c r="U40" s="99">
        <f>AVERAGE(C40:T40)</f>
        <v>2.5882352941176472</v>
      </c>
    </row>
    <row r="41" spans="1:21" ht="39.6">
      <c r="A41" s="95" t="s">
        <v>62</v>
      </c>
      <c r="B41" s="98" t="s">
        <v>63</v>
      </c>
      <c r="C41" s="100">
        <v>3</v>
      </c>
      <c r="D41" s="100">
        <v>3</v>
      </c>
      <c r="E41" s="100">
        <v>3</v>
      </c>
      <c r="F41" s="100">
        <v>3</v>
      </c>
      <c r="G41" s="100">
        <v>3</v>
      </c>
      <c r="H41" s="100">
        <v>3</v>
      </c>
      <c r="I41" s="100">
        <v>3</v>
      </c>
      <c r="J41" s="100">
        <v>3</v>
      </c>
      <c r="K41" s="100">
        <v>3</v>
      </c>
      <c r="L41" s="100">
        <v>3</v>
      </c>
      <c r="M41" s="100">
        <v>3</v>
      </c>
      <c r="N41" s="118" t="s">
        <v>6</v>
      </c>
      <c r="O41" s="100">
        <v>3</v>
      </c>
      <c r="P41" s="100">
        <v>3</v>
      </c>
      <c r="Q41" s="100">
        <v>3</v>
      </c>
      <c r="R41" s="100">
        <v>3</v>
      </c>
      <c r="S41" s="100">
        <v>3</v>
      </c>
      <c r="T41" s="100">
        <v>3</v>
      </c>
      <c r="U41" s="99">
        <f>AVERAGE(C41:T41)</f>
        <v>3</v>
      </c>
    </row>
    <row r="42" spans="1:21">
      <c r="A42" s="187" t="s">
        <v>64</v>
      </c>
      <c r="B42" s="188"/>
      <c r="C42" s="188"/>
      <c r="D42" s="188"/>
      <c r="E42" s="188"/>
      <c r="F42" s="188"/>
      <c r="G42" s="188"/>
      <c r="H42" s="188"/>
      <c r="I42" s="188"/>
      <c r="J42" s="188"/>
      <c r="K42" s="188"/>
      <c r="L42" s="188"/>
      <c r="M42" s="188"/>
      <c r="N42" s="188"/>
      <c r="O42" s="188"/>
      <c r="P42" s="188"/>
      <c r="Q42" s="188"/>
      <c r="R42" s="188"/>
      <c r="S42" s="188"/>
      <c r="T42" s="188"/>
      <c r="U42" s="189"/>
    </row>
    <row r="43" spans="1:21" ht="26.4">
      <c r="A43" s="95" t="s">
        <v>65</v>
      </c>
      <c r="B43" s="98" t="s">
        <v>66</v>
      </c>
      <c r="C43" s="102" t="s">
        <v>6</v>
      </c>
      <c r="D43" s="102" t="s">
        <v>6</v>
      </c>
      <c r="E43" s="102" t="s">
        <v>6</v>
      </c>
      <c r="F43" s="102" t="s">
        <v>6</v>
      </c>
      <c r="G43" s="102" t="s">
        <v>6</v>
      </c>
      <c r="H43" s="102" t="s">
        <v>6</v>
      </c>
      <c r="I43" s="102" t="s">
        <v>6</v>
      </c>
      <c r="J43" s="102" t="s">
        <v>6</v>
      </c>
      <c r="K43" s="102" t="s">
        <v>6</v>
      </c>
      <c r="L43" s="102" t="s">
        <v>6</v>
      </c>
      <c r="M43" s="102" t="s">
        <v>6</v>
      </c>
      <c r="N43" s="102" t="s">
        <v>6</v>
      </c>
      <c r="O43" s="102" t="s">
        <v>6</v>
      </c>
      <c r="P43" s="102" t="s">
        <v>6</v>
      </c>
      <c r="Q43" s="102" t="s">
        <v>6</v>
      </c>
      <c r="R43" s="102" t="s">
        <v>6</v>
      </c>
      <c r="S43" s="102" t="s">
        <v>6</v>
      </c>
      <c r="T43" s="102" t="s">
        <v>6</v>
      </c>
      <c r="U43" s="102" t="s">
        <v>6</v>
      </c>
    </row>
    <row r="44" spans="1:21">
      <c r="A44" s="190"/>
      <c r="B44" s="192"/>
      <c r="C44" s="106">
        <f t="shared" ref="C44:M44" si="0">AVERAGE(C7:C43)</f>
        <v>2.7749999999999999</v>
      </c>
      <c r="D44" s="107">
        <f t="shared" si="0"/>
        <v>2.5750000000000002</v>
      </c>
      <c r="E44" s="108">
        <f t="shared" si="0"/>
        <v>2.5249999999999999</v>
      </c>
      <c r="F44" s="108">
        <f t="shared" si="0"/>
        <v>2.625</v>
      </c>
      <c r="G44" s="108">
        <f t="shared" si="0"/>
        <v>2.4500000000000002</v>
      </c>
      <c r="H44" s="108">
        <f t="shared" si="0"/>
        <v>2.5</v>
      </c>
      <c r="I44" s="108">
        <f t="shared" si="0"/>
        <v>2.65</v>
      </c>
      <c r="J44" s="108">
        <f t="shared" si="0"/>
        <v>2.2250000000000001</v>
      </c>
      <c r="K44" s="108">
        <f t="shared" si="0"/>
        <v>2.625</v>
      </c>
      <c r="L44" s="108">
        <f t="shared" si="0"/>
        <v>2.7</v>
      </c>
      <c r="M44" s="106">
        <f t="shared" si="0"/>
        <v>2.8250000000000002</v>
      </c>
      <c r="N44" s="103" t="s">
        <v>6</v>
      </c>
      <c r="O44" s="108">
        <f t="shared" ref="O44:T44" si="1">AVERAGE(O7:O43)</f>
        <v>2.5249999999999999</v>
      </c>
      <c r="P44" s="108">
        <f t="shared" si="1"/>
        <v>2.2749999999999999</v>
      </c>
      <c r="Q44" s="108">
        <f t="shared" si="1"/>
        <v>2.4</v>
      </c>
      <c r="R44" s="106">
        <f t="shared" si="1"/>
        <v>2.75</v>
      </c>
      <c r="S44" s="108">
        <f t="shared" si="1"/>
        <v>2.4249999999999998</v>
      </c>
      <c r="T44" s="108">
        <f t="shared" si="1"/>
        <v>2.3250000000000002</v>
      </c>
      <c r="U44" s="108">
        <f>AVERAGE(C44:T44)</f>
        <v>2.539705882352941</v>
      </c>
    </row>
    <row r="45" spans="1:21">
      <c r="A45" s="109"/>
      <c r="B45" s="109"/>
      <c r="C45" s="110"/>
      <c r="D45" s="110"/>
      <c r="E45" s="110"/>
      <c r="F45" s="110"/>
      <c r="G45" s="110"/>
      <c r="H45" s="110"/>
      <c r="I45" s="111"/>
      <c r="J45" s="110"/>
      <c r="K45" s="110"/>
      <c r="L45" s="110"/>
      <c r="M45" s="110"/>
      <c r="N45" s="110"/>
      <c r="O45" s="111"/>
      <c r="P45" s="110"/>
      <c r="Q45" s="110"/>
      <c r="R45" s="110"/>
      <c r="S45" s="110"/>
      <c r="T45" s="110"/>
      <c r="U45" s="111"/>
    </row>
    <row r="46" spans="1:21">
      <c r="A46" s="203" t="s">
        <v>115</v>
      </c>
      <c r="B46" s="204"/>
      <c r="C46" s="204"/>
      <c r="D46" s="204"/>
      <c r="E46" s="204"/>
      <c r="F46" s="204"/>
      <c r="G46" s="204"/>
      <c r="H46" s="204"/>
      <c r="I46" s="204"/>
      <c r="J46" s="204"/>
      <c r="K46" s="204"/>
      <c r="L46" s="204"/>
      <c r="M46" s="204"/>
      <c r="N46" s="205"/>
      <c r="O46" s="112"/>
      <c r="P46" s="112"/>
      <c r="Q46" s="112"/>
      <c r="R46" s="112"/>
      <c r="S46" s="112"/>
      <c r="T46" s="112"/>
      <c r="U46" s="112"/>
    </row>
    <row r="47" spans="1:21">
      <c r="A47" s="206" t="s">
        <v>98</v>
      </c>
      <c r="B47" s="207"/>
      <c r="C47" s="207"/>
      <c r="D47" s="207"/>
      <c r="E47" s="207"/>
      <c r="F47" s="208"/>
      <c r="G47" s="190" t="s">
        <v>109</v>
      </c>
      <c r="H47" s="191"/>
      <c r="I47" s="191"/>
      <c r="J47" s="191"/>
      <c r="K47" s="191"/>
      <c r="L47" s="191"/>
      <c r="M47" s="191"/>
      <c r="N47" s="192"/>
      <c r="O47" s="112"/>
      <c r="P47" s="112"/>
      <c r="Q47" s="112"/>
      <c r="R47" s="112"/>
      <c r="S47" s="112"/>
      <c r="T47" s="112"/>
      <c r="U47" s="112"/>
    </row>
    <row r="48" spans="1:21">
      <c r="A48" s="203" t="s">
        <v>67</v>
      </c>
      <c r="B48" s="205"/>
      <c r="C48" s="190" t="s">
        <v>68</v>
      </c>
      <c r="D48" s="191"/>
      <c r="E48" s="191"/>
      <c r="F48" s="192"/>
      <c r="G48" s="190" t="s">
        <v>69</v>
      </c>
      <c r="H48" s="191"/>
      <c r="I48" s="191"/>
      <c r="J48" s="192"/>
      <c r="K48" s="190" t="s">
        <v>70</v>
      </c>
      <c r="L48" s="191"/>
      <c r="M48" s="191"/>
      <c r="N48" s="192"/>
      <c r="O48" s="112"/>
      <c r="P48" s="112"/>
      <c r="Q48" s="112"/>
      <c r="R48" s="112"/>
      <c r="S48" s="112"/>
      <c r="T48" s="112"/>
      <c r="U48" s="112"/>
    </row>
    <row r="49" spans="1:21">
      <c r="A49" s="209" t="s">
        <v>71</v>
      </c>
      <c r="B49" s="210"/>
      <c r="C49" s="213" t="s">
        <v>89</v>
      </c>
      <c r="D49" s="214"/>
      <c r="E49" s="214"/>
      <c r="F49" s="215"/>
      <c r="G49" s="213" t="s">
        <v>79</v>
      </c>
      <c r="H49" s="214"/>
      <c r="I49" s="214"/>
      <c r="J49" s="215"/>
      <c r="K49" s="213" t="s">
        <v>93</v>
      </c>
      <c r="L49" s="214"/>
      <c r="M49" s="214"/>
      <c r="N49" s="215"/>
      <c r="O49" s="112"/>
      <c r="P49" s="112"/>
      <c r="Q49" s="112"/>
      <c r="R49" s="112"/>
      <c r="S49" s="112"/>
      <c r="T49" s="112"/>
      <c r="U49" s="112"/>
    </row>
    <row r="50" spans="1:21">
      <c r="A50" s="211"/>
      <c r="B50" s="212"/>
      <c r="C50" s="219">
        <v>2.8250000000000002</v>
      </c>
      <c r="D50" s="220"/>
      <c r="E50" s="220"/>
      <c r="F50" s="221"/>
      <c r="G50" s="219">
        <v>2.7749999999999999</v>
      </c>
      <c r="H50" s="220"/>
      <c r="I50" s="220"/>
      <c r="J50" s="221"/>
      <c r="K50" s="219">
        <v>2.75</v>
      </c>
      <c r="L50" s="220"/>
      <c r="M50" s="220"/>
      <c r="N50" s="221"/>
      <c r="O50" s="112"/>
      <c r="P50" s="112"/>
      <c r="Q50" s="112"/>
      <c r="R50" s="112"/>
      <c r="S50" s="112"/>
      <c r="T50" s="112"/>
      <c r="U50" s="112"/>
    </row>
    <row r="51" spans="1:21">
      <c r="A51" s="203" t="s">
        <v>72</v>
      </c>
      <c r="B51" s="205"/>
      <c r="C51" s="213" t="s">
        <v>79</v>
      </c>
      <c r="D51" s="214"/>
      <c r="E51" s="214"/>
      <c r="F51" s="215"/>
      <c r="G51" s="216" t="s">
        <v>89</v>
      </c>
      <c r="H51" s="217"/>
      <c r="I51" s="217"/>
      <c r="J51" s="218"/>
      <c r="K51" s="216" t="s">
        <v>80</v>
      </c>
      <c r="L51" s="217"/>
      <c r="M51" s="217"/>
      <c r="N51" s="218"/>
      <c r="O51" s="112"/>
      <c r="T51" s="112"/>
      <c r="U51" s="112"/>
    </row>
    <row r="52" spans="1:21">
      <c r="A52" s="203" t="s">
        <v>73</v>
      </c>
      <c r="B52" s="205"/>
      <c r="C52" s="213" t="s">
        <v>86</v>
      </c>
      <c r="D52" s="214"/>
      <c r="E52" s="214"/>
      <c r="F52" s="215"/>
      <c r="G52" s="213" t="s">
        <v>85</v>
      </c>
      <c r="H52" s="214"/>
      <c r="I52" s="214"/>
      <c r="J52" s="215"/>
      <c r="K52" s="216" t="s">
        <v>80</v>
      </c>
      <c r="L52" s="217"/>
      <c r="M52" s="217"/>
      <c r="N52" s="218"/>
      <c r="O52" s="112"/>
      <c r="P52" s="112"/>
      <c r="Q52" s="112"/>
      <c r="R52" s="112"/>
      <c r="S52" s="112"/>
      <c r="T52" s="112"/>
      <c r="U52" s="112"/>
    </row>
    <row r="53" spans="1:21">
      <c r="A53" s="203" t="s">
        <v>74</v>
      </c>
      <c r="B53" s="205"/>
      <c r="C53" s="213" t="s">
        <v>94</v>
      </c>
      <c r="D53" s="214"/>
      <c r="E53" s="214"/>
      <c r="F53" s="215"/>
      <c r="G53" s="213" t="s">
        <v>87</v>
      </c>
      <c r="H53" s="214"/>
      <c r="I53" s="214"/>
      <c r="J53" s="215"/>
      <c r="K53" s="213" t="s">
        <v>93</v>
      </c>
      <c r="L53" s="214"/>
      <c r="M53" s="214"/>
      <c r="N53" s="215"/>
      <c r="O53" s="112"/>
      <c r="P53" s="112"/>
      <c r="Q53" s="112"/>
      <c r="R53" s="112"/>
      <c r="S53" s="112"/>
      <c r="T53" s="112"/>
      <c r="U53" s="112"/>
    </row>
    <row r="54" spans="1:21">
      <c r="A54" s="203" t="s">
        <v>75</v>
      </c>
      <c r="B54" s="205"/>
      <c r="C54" s="213" t="s">
        <v>89</v>
      </c>
      <c r="D54" s="214"/>
      <c r="E54" s="214"/>
      <c r="F54" s="215"/>
      <c r="G54" s="213" t="s">
        <v>85</v>
      </c>
      <c r="H54" s="214"/>
      <c r="I54" s="214"/>
      <c r="J54" s="215"/>
      <c r="K54" s="213" t="s">
        <v>93</v>
      </c>
      <c r="L54" s="214"/>
      <c r="M54" s="214"/>
      <c r="N54" s="215"/>
      <c r="O54" s="112"/>
      <c r="P54" s="112"/>
      <c r="Q54" s="112"/>
      <c r="R54" s="112"/>
      <c r="S54" s="112"/>
      <c r="T54" s="112"/>
      <c r="U54" s="112"/>
    </row>
    <row r="55" spans="1:21">
      <c r="A55" s="203" t="s">
        <v>76</v>
      </c>
      <c r="B55" s="205"/>
      <c r="C55" s="213" t="s">
        <v>6</v>
      </c>
      <c r="D55" s="214"/>
      <c r="E55" s="214"/>
      <c r="F55" s="215"/>
      <c r="G55" s="213" t="s">
        <v>6</v>
      </c>
      <c r="H55" s="214"/>
      <c r="I55" s="214"/>
      <c r="J55" s="215"/>
      <c r="K55" s="213" t="s">
        <v>6</v>
      </c>
      <c r="L55" s="214"/>
      <c r="M55" s="214"/>
      <c r="N55" s="215"/>
      <c r="O55" s="112"/>
      <c r="P55" s="112"/>
      <c r="Q55" s="112"/>
      <c r="R55" s="112"/>
      <c r="S55" s="112"/>
      <c r="T55" s="112"/>
      <c r="U55" s="112"/>
    </row>
    <row r="56" spans="1:21">
      <c r="A56" s="222" t="s">
        <v>116</v>
      </c>
      <c r="B56" s="223"/>
      <c r="C56" s="223"/>
      <c r="D56" s="223"/>
      <c r="E56" s="223"/>
      <c r="F56" s="223"/>
      <c r="G56" s="223"/>
      <c r="H56" s="223"/>
      <c r="I56" s="223"/>
      <c r="J56" s="223"/>
      <c r="K56" s="223"/>
      <c r="L56" s="223"/>
      <c r="M56" s="223"/>
      <c r="N56" s="224"/>
      <c r="O56" s="112"/>
      <c r="P56" s="112"/>
      <c r="Q56" s="112"/>
      <c r="R56" s="112"/>
      <c r="S56" s="112"/>
      <c r="T56" s="112"/>
      <c r="U56" s="112"/>
    </row>
  </sheetData>
  <mergeCells count="53">
    <mergeCell ref="A6:U6"/>
    <mergeCell ref="A2:U2"/>
    <mergeCell ref="A3:B3"/>
    <mergeCell ref="C3:T3"/>
    <mergeCell ref="U3:U5"/>
    <mergeCell ref="A4:B5"/>
    <mergeCell ref="A44:B44"/>
    <mergeCell ref="A10:U10"/>
    <mergeCell ref="A19:U19"/>
    <mergeCell ref="A21:U21"/>
    <mergeCell ref="A24:U24"/>
    <mergeCell ref="A26:U26"/>
    <mergeCell ref="A30:U30"/>
    <mergeCell ref="A32:U32"/>
    <mergeCell ref="A34:U34"/>
    <mergeCell ref="A36:U36"/>
    <mergeCell ref="A39:U39"/>
    <mergeCell ref="A42:U42"/>
    <mergeCell ref="A46:N46"/>
    <mergeCell ref="A47:F47"/>
    <mergeCell ref="G47:N47"/>
    <mergeCell ref="A48:B48"/>
    <mergeCell ref="C48:F48"/>
    <mergeCell ref="G48:J48"/>
    <mergeCell ref="K48:N48"/>
    <mergeCell ref="A49:B50"/>
    <mergeCell ref="C49:F49"/>
    <mergeCell ref="G49:J49"/>
    <mergeCell ref="K49:N49"/>
    <mergeCell ref="C50:F50"/>
    <mergeCell ref="G50:J50"/>
    <mergeCell ref="K50:N50"/>
    <mergeCell ref="A51:B51"/>
    <mergeCell ref="C51:F51"/>
    <mergeCell ref="G51:J51"/>
    <mergeCell ref="K51:N51"/>
    <mergeCell ref="A52:B52"/>
    <mergeCell ref="C52:F52"/>
    <mergeCell ref="G52:J52"/>
    <mergeCell ref="K52:N52"/>
    <mergeCell ref="A53:B53"/>
    <mergeCell ref="C53:F53"/>
    <mergeCell ref="G53:J53"/>
    <mergeCell ref="K53:N53"/>
    <mergeCell ref="A54:B54"/>
    <mergeCell ref="C54:F54"/>
    <mergeCell ref="G54:J54"/>
    <mergeCell ref="K54:N54"/>
    <mergeCell ref="A55:B55"/>
    <mergeCell ref="C55:F55"/>
    <mergeCell ref="G55:J55"/>
    <mergeCell ref="K55:N55"/>
    <mergeCell ref="A56:N5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16F6F-B910-40FE-8D41-EEB6F4825FE5}">
  <dimension ref="A1:U56"/>
  <sheetViews>
    <sheetView workbookViewId="0">
      <selection activeCell="Q57" sqref="Q57"/>
    </sheetView>
  </sheetViews>
  <sheetFormatPr defaultRowHeight="14.4"/>
  <cols>
    <col min="1" max="1" width="6" customWidth="1"/>
    <col min="2" max="2" width="24.33203125" customWidth="1"/>
    <col min="3" max="3" width="5.44140625" customWidth="1"/>
    <col min="4" max="4" width="6.21875" customWidth="1"/>
    <col min="5" max="5" width="5.21875" customWidth="1"/>
    <col min="6" max="6" width="5.5546875" customWidth="1"/>
    <col min="7" max="7" width="5.6640625" customWidth="1"/>
    <col min="8" max="8" width="5.21875" customWidth="1"/>
    <col min="9" max="9" width="5.88671875" customWidth="1"/>
    <col min="10" max="10" width="5.5546875" customWidth="1"/>
    <col min="11" max="11" width="5.21875" customWidth="1"/>
    <col min="12" max="12" width="5.5546875" customWidth="1"/>
    <col min="13" max="13" width="5.44140625" customWidth="1"/>
    <col min="14" max="14" width="4.44140625" customWidth="1"/>
    <col min="15" max="15" width="5.21875" customWidth="1"/>
    <col min="16" max="16" width="6" customWidth="1"/>
    <col min="17" max="18" width="5.6640625" customWidth="1"/>
    <col min="19" max="19" width="6.21875" customWidth="1"/>
    <col min="20" max="20" width="6.44140625" customWidth="1"/>
    <col min="21" max="21" width="5.6640625" customWidth="1"/>
  </cols>
  <sheetData>
    <row r="1" spans="1:21">
      <c r="A1" s="190" t="s">
        <v>117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2"/>
    </row>
    <row r="2" spans="1:21">
      <c r="A2" s="190" t="s">
        <v>98</v>
      </c>
      <c r="B2" s="192"/>
      <c r="C2" s="190" t="s">
        <v>99</v>
      </c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3" t="s">
        <v>1</v>
      </c>
    </row>
    <row r="3" spans="1:21">
      <c r="A3" s="196" t="s">
        <v>2</v>
      </c>
      <c r="B3" s="197"/>
      <c r="C3" s="92">
        <v>1</v>
      </c>
      <c r="D3" s="92">
        <v>2</v>
      </c>
      <c r="E3" s="92">
        <v>3</v>
      </c>
      <c r="F3" s="92">
        <v>4</v>
      </c>
      <c r="G3" s="92">
        <v>5</v>
      </c>
      <c r="H3" s="92">
        <v>6</v>
      </c>
      <c r="I3" s="92">
        <v>7</v>
      </c>
      <c r="J3" s="92">
        <v>8</v>
      </c>
      <c r="K3" s="92">
        <v>9</v>
      </c>
      <c r="L3" s="92">
        <v>10</v>
      </c>
      <c r="M3" s="92">
        <v>11</v>
      </c>
      <c r="N3" s="92">
        <v>12</v>
      </c>
      <c r="O3" s="92">
        <v>13</v>
      </c>
      <c r="P3" s="92">
        <v>14</v>
      </c>
      <c r="Q3" s="92">
        <v>15</v>
      </c>
      <c r="R3" s="92">
        <v>16</v>
      </c>
      <c r="S3" s="92">
        <v>17</v>
      </c>
      <c r="T3" s="92">
        <v>18</v>
      </c>
      <c r="U3" s="194"/>
    </row>
    <row r="4" spans="1:21" ht="100.2" customHeight="1">
      <c r="A4" s="198"/>
      <c r="B4" s="199"/>
      <c r="C4" s="93" t="s">
        <v>79</v>
      </c>
      <c r="D4" s="93" t="s">
        <v>80</v>
      </c>
      <c r="E4" s="94" t="s">
        <v>81</v>
      </c>
      <c r="F4" s="94" t="s">
        <v>82</v>
      </c>
      <c r="G4" s="94" t="s">
        <v>84</v>
      </c>
      <c r="H4" s="94" t="s">
        <v>85</v>
      </c>
      <c r="I4" s="94" t="s">
        <v>86</v>
      </c>
      <c r="J4" s="94" t="s">
        <v>101</v>
      </c>
      <c r="K4" s="94" t="s">
        <v>87</v>
      </c>
      <c r="L4" s="94" t="s">
        <v>88</v>
      </c>
      <c r="M4" s="94" t="s">
        <v>89</v>
      </c>
      <c r="N4" s="94" t="s">
        <v>102</v>
      </c>
      <c r="O4" s="94" t="s">
        <v>90</v>
      </c>
      <c r="P4" s="94" t="s">
        <v>91</v>
      </c>
      <c r="Q4" s="94" t="s">
        <v>92</v>
      </c>
      <c r="R4" s="94" t="s">
        <v>93</v>
      </c>
      <c r="S4" s="94" t="s">
        <v>94</v>
      </c>
      <c r="T4" s="93" t="s">
        <v>104</v>
      </c>
      <c r="U4" s="195"/>
    </row>
    <row r="5" spans="1:21">
      <c r="A5" s="187" t="s">
        <v>3</v>
      </c>
      <c r="B5" s="188"/>
      <c r="C5" s="188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9"/>
    </row>
    <row r="6" spans="1:21">
      <c r="A6" s="95" t="s">
        <v>107</v>
      </c>
      <c r="B6" s="95" t="s">
        <v>5</v>
      </c>
      <c r="C6" s="96">
        <v>2.5</v>
      </c>
      <c r="D6" s="96">
        <v>2.5</v>
      </c>
      <c r="E6" s="96">
        <v>2.5</v>
      </c>
      <c r="F6" s="96">
        <v>3</v>
      </c>
      <c r="G6" s="96">
        <v>3</v>
      </c>
      <c r="H6" s="96">
        <v>2.5</v>
      </c>
      <c r="I6" s="96">
        <v>3</v>
      </c>
      <c r="J6" s="96">
        <v>2.5</v>
      </c>
      <c r="K6" s="96">
        <v>3</v>
      </c>
      <c r="L6" s="96">
        <v>2.5</v>
      </c>
      <c r="M6" s="96">
        <v>2.5</v>
      </c>
      <c r="N6" s="96" t="s">
        <v>6</v>
      </c>
      <c r="O6" s="96">
        <v>2.5</v>
      </c>
      <c r="P6" s="96">
        <v>3</v>
      </c>
      <c r="Q6" s="96">
        <v>2.5</v>
      </c>
      <c r="R6" s="96">
        <v>3</v>
      </c>
      <c r="S6" s="96">
        <v>2.5</v>
      </c>
      <c r="T6" s="96">
        <v>1</v>
      </c>
      <c r="U6" s="97">
        <f>AVERAGE(C6:T6)</f>
        <v>2.5882352941176472</v>
      </c>
    </row>
    <row r="7" spans="1:21" ht="26.4" customHeight="1">
      <c r="A7" s="95" t="s">
        <v>7</v>
      </c>
      <c r="B7" s="98" t="s">
        <v>8</v>
      </c>
      <c r="C7" s="96">
        <v>3</v>
      </c>
      <c r="D7" s="96">
        <v>3</v>
      </c>
      <c r="E7" s="96">
        <v>3</v>
      </c>
      <c r="F7" s="96">
        <v>3</v>
      </c>
      <c r="G7" s="96">
        <v>3</v>
      </c>
      <c r="H7" s="96">
        <v>3</v>
      </c>
      <c r="I7" s="96">
        <v>2</v>
      </c>
      <c r="J7" s="96">
        <v>3</v>
      </c>
      <c r="K7" s="96">
        <v>3</v>
      </c>
      <c r="L7" s="96">
        <v>3</v>
      </c>
      <c r="M7" s="96">
        <v>3</v>
      </c>
      <c r="N7" s="96" t="s">
        <v>6</v>
      </c>
      <c r="O7" s="96">
        <v>3</v>
      </c>
      <c r="P7" s="96">
        <v>3</v>
      </c>
      <c r="Q7" s="96">
        <v>3</v>
      </c>
      <c r="R7" s="96">
        <v>3</v>
      </c>
      <c r="S7" s="96">
        <v>2</v>
      </c>
      <c r="T7" s="96">
        <v>2</v>
      </c>
      <c r="U7" s="99">
        <f>AVERAGE(C7:T7)</f>
        <v>2.8235294117647061</v>
      </c>
    </row>
    <row r="8" spans="1:21" ht="21" customHeight="1">
      <c r="A8" s="95" t="s">
        <v>9</v>
      </c>
      <c r="B8" s="98" t="s">
        <v>10</v>
      </c>
      <c r="C8" s="100">
        <v>3</v>
      </c>
      <c r="D8" s="100">
        <v>3</v>
      </c>
      <c r="E8" s="100">
        <v>3</v>
      </c>
      <c r="F8" s="100">
        <v>3</v>
      </c>
      <c r="G8" s="100">
        <v>3</v>
      </c>
      <c r="H8" s="100">
        <v>3</v>
      </c>
      <c r="I8" s="100">
        <v>3</v>
      </c>
      <c r="J8" s="100">
        <v>2</v>
      </c>
      <c r="K8" s="100">
        <v>3</v>
      </c>
      <c r="L8" s="100">
        <v>3</v>
      </c>
      <c r="M8" s="100">
        <v>3</v>
      </c>
      <c r="N8" s="96" t="s">
        <v>6</v>
      </c>
      <c r="O8" s="100">
        <v>3</v>
      </c>
      <c r="P8" s="100">
        <v>2</v>
      </c>
      <c r="Q8" s="100">
        <v>3</v>
      </c>
      <c r="R8" s="100">
        <v>3</v>
      </c>
      <c r="S8" s="100">
        <v>2</v>
      </c>
      <c r="T8" s="100">
        <v>3</v>
      </c>
      <c r="U8" s="99">
        <f>AVERAGE(C8:T8)</f>
        <v>2.8235294117647061</v>
      </c>
    </row>
    <row r="9" spans="1:21">
      <c r="A9" s="187">
        <v>2</v>
      </c>
      <c r="B9" s="188"/>
      <c r="C9" s="188"/>
      <c r="D9" s="188"/>
      <c r="E9" s="188"/>
      <c r="F9" s="188"/>
      <c r="G9" s="188"/>
      <c r="H9" s="188"/>
      <c r="I9" s="188"/>
      <c r="J9" s="188"/>
      <c r="K9" s="188"/>
      <c r="L9" s="188"/>
      <c r="M9" s="188"/>
      <c r="N9" s="188"/>
      <c r="O9" s="188"/>
      <c r="P9" s="188"/>
      <c r="Q9" s="188"/>
      <c r="R9" s="188"/>
      <c r="S9" s="188"/>
      <c r="T9" s="188"/>
      <c r="U9" s="189"/>
    </row>
    <row r="10" spans="1:21" ht="28.8" customHeight="1">
      <c r="A10" s="95" t="s">
        <v>11</v>
      </c>
      <c r="B10" s="98" t="s">
        <v>12</v>
      </c>
      <c r="C10" s="101">
        <v>3</v>
      </c>
      <c r="D10" s="101">
        <v>3</v>
      </c>
      <c r="E10" s="101">
        <v>3</v>
      </c>
      <c r="F10" s="101">
        <v>3</v>
      </c>
      <c r="G10" s="101">
        <v>3</v>
      </c>
      <c r="H10" s="101">
        <v>3</v>
      </c>
      <c r="I10" s="101">
        <v>3</v>
      </c>
      <c r="J10" s="101">
        <v>3</v>
      </c>
      <c r="K10" s="101">
        <v>3</v>
      </c>
      <c r="L10" s="101">
        <v>3</v>
      </c>
      <c r="M10" s="101">
        <v>3</v>
      </c>
      <c r="N10" s="101" t="s">
        <v>6</v>
      </c>
      <c r="O10" s="101">
        <v>3</v>
      </c>
      <c r="P10" s="101">
        <v>3</v>
      </c>
      <c r="Q10" s="101">
        <v>3</v>
      </c>
      <c r="R10" s="101">
        <v>3</v>
      </c>
      <c r="S10" s="101">
        <v>3</v>
      </c>
      <c r="T10" s="101">
        <v>3</v>
      </c>
      <c r="U10" s="99">
        <f>AVERAGE(C10:T10)</f>
        <v>3</v>
      </c>
    </row>
    <row r="11" spans="1:21" ht="21.6" customHeight="1">
      <c r="A11" s="95" t="s">
        <v>13</v>
      </c>
      <c r="B11" s="98" t="s">
        <v>14</v>
      </c>
      <c r="C11" s="101" t="s">
        <v>6</v>
      </c>
      <c r="D11" s="101" t="s">
        <v>6</v>
      </c>
      <c r="E11" s="101" t="s">
        <v>6</v>
      </c>
      <c r="F11" s="101" t="s">
        <v>6</v>
      </c>
      <c r="G11" s="101" t="s">
        <v>6</v>
      </c>
      <c r="H11" s="101" t="s">
        <v>6</v>
      </c>
      <c r="I11" s="101" t="s">
        <v>6</v>
      </c>
      <c r="J11" s="101" t="s">
        <v>6</v>
      </c>
      <c r="K11" s="101" t="s">
        <v>6</v>
      </c>
      <c r="L11" s="101" t="s">
        <v>6</v>
      </c>
      <c r="M11" s="101" t="s">
        <v>6</v>
      </c>
      <c r="N11" s="101" t="s">
        <v>6</v>
      </c>
      <c r="O11" s="101" t="s">
        <v>6</v>
      </c>
      <c r="P11" s="101" t="s">
        <v>6</v>
      </c>
      <c r="Q11" s="101" t="s">
        <v>6</v>
      </c>
      <c r="R11" s="101" t="s">
        <v>6</v>
      </c>
      <c r="S11" s="101" t="s">
        <v>6</v>
      </c>
      <c r="T11" s="101" t="s">
        <v>6</v>
      </c>
      <c r="U11" s="101" t="s">
        <v>6</v>
      </c>
    </row>
    <row r="12" spans="1:21" ht="25.8" customHeight="1">
      <c r="A12" s="95" t="s">
        <v>15</v>
      </c>
      <c r="B12" s="98" t="s">
        <v>16</v>
      </c>
      <c r="C12" s="101" t="s">
        <v>6</v>
      </c>
      <c r="D12" s="101" t="s">
        <v>6</v>
      </c>
      <c r="E12" s="101" t="s">
        <v>6</v>
      </c>
      <c r="F12" s="101" t="s">
        <v>6</v>
      </c>
      <c r="G12" s="101" t="s">
        <v>6</v>
      </c>
      <c r="H12" s="101" t="s">
        <v>6</v>
      </c>
      <c r="I12" s="101" t="s">
        <v>6</v>
      </c>
      <c r="J12" s="101" t="s">
        <v>6</v>
      </c>
      <c r="K12" s="101" t="s">
        <v>6</v>
      </c>
      <c r="L12" s="101" t="s">
        <v>6</v>
      </c>
      <c r="M12" s="101" t="s">
        <v>6</v>
      </c>
      <c r="N12" s="101" t="s">
        <v>6</v>
      </c>
      <c r="O12" s="101" t="s">
        <v>6</v>
      </c>
      <c r="P12" s="101" t="s">
        <v>6</v>
      </c>
      <c r="Q12" s="101" t="s">
        <v>6</v>
      </c>
      <c r="R12" s="101" t="s">
        <v>6</v>
      </c>
      <c r="S12" s="101" t="s">
        <v>6</v>
      </c>
      <c r="T12" s="101" t="s">
        <v>6</v>
      </c>
      <c r="U12" s="101" t="s">
        <v>6</v>
      </c>
    </row>
    <row r="13" spans="1:21" ht="28.2" customHeight="1">
      <c r="A13" s="95" t="s">
        <v>17</v>
      </c>
      <c r="B13" s="98" t="s">
        <v>18</v>
      </c>
      <c r="C13" s="101" t="s">
        <v>6</v>
      </c>
      <c r="D13" s="101" t="s">
        <v>6</v>
      </c>
      <c r="E13" s="101" t="s">
        <v>6</v>
      </c>
      <c r="F13" s="101" t="s">
        <v>6</v>
      </c>
      <c r="G13" s="101" t="s">
        <v>6</v>
      </c>
      <c r="H13" s="101" t="s">
        <v>6</v>
      </c>
      <c r="I13" s="101" t="s">
        <v>6</v>
      </c>
      <c r="J13" s="101" t="s">
        <v>6</v>
      </c>
      <c r="K13" s="101" t="s">
        <v>6</v>
      </c>
      <c r="L13" s="101" t="s">
        <v>6</v>
      </c>
      <c r="M13" s="101" t="s">
        <v>6</v>
      </c>
      <c r="N13" s="101" t="s">
        <v>6</v>
      </c>
      <c r="O13" s="101" t="s">
        <v>6</v>
      </c>
      <c r="P13" s="101" t="s">
        <v>6</v>
      </c>
      <c r="Q13" s="101" t="s">
        <v>6</v>
      </c>
      <c r="R13" s="101" t="s">
        <v>6</v>
      </c>
      <c r="S13" s="101" t="s">
        <v>6</v>
      </c>
      <c r="T13" s="101" t="s">
        <v>6</v>
      </c>
      <c r="U13" s="101" t="s">
        <v>6</v>
      </c>
    </row>
    <row r="14" spans="1:21" ht="27.6" customHeight="1">
      <c r="A14" s="95" t="s">
        <v>19</v>
      </c>
      <c r="B14" s="98" t="s">
        <v>20</v>
      </c>
      <c r="C14" s="101" t="s">
        <v>6</v>
      </c>
      <c r="D14" s="101" t="s">
        <v>6</v>
      </c>
      <c r="E14" s="101" t="s">
        <v>6</v>
      </c>
      <c r="F14" s="101" t="s">
        <v>6</v>
      </c>
      <c r="G14" s="101" t="s">
        <v>6</v>
      </c>
      <c r="H14" s="101" t="s">
        <v>6</v>
      </c>
      <c r="I14" s="101" t="s">
        <v>6</v>
      </c>
      <c r="J14" s="101" t="s">
        <v>6</v>
      </c>
      <c r="K14" s="101" t="s">
        <v>6</v>
      </c>
      <c r="L14" s="101" t="s">
        <v>6</v>
      </c>
      <c r="M14" s="101" t="s">
        <v>6</v>
      </c>
      <c r="N14" s="101" t="s">
        <v>6</v>
      </c>
      <c r="O14" s="101" t="s">
        <v>6</v>
      </c>
      <c r="P14" s="101" t="s">
        <v>6</v>
      </c>
      <c r="Q14" s="101" t="s">
        <v>6</v>
      </c>
      <c r="R14" s="101" t="s">
        <v>6</v>
      </c>
      <c r="S14" s="101" t="s">
        <v>6</v>
      </c>
      <c r="T14" s="101" t="s">
        <v>6</v>
      </c>
      <c r="U14" s="101" t="s">
        <v>6</v>
      </c>
    </row>
    <row r="15" spans="1:21" ht="19.2" customHeight="1">
      <c r="A15" s="95" t="s">
        <v>21</v>
      </c>
      <c r="B15" s="98" t="s">
        <v>22</v>
      </c>
      <c r="C15" s="101" t="s">
        <v>6</v>
      </c>
      <c r="D15" s="101" t="s">
        <v>6</v>
      </c>
      <c r="E15" s="101" t="s">
        <v>6</v>
      </c>
      <c r="F15" s="101" t="s">
        <v>6</v>
      </c>
      <c r="G15" s="101" t="s">
        <v>6</v>
      </c>
      <c r="H15" s="101" t="s">
        <v>6</v>
      </c>
      <c r="I15" s="101" t="s">
        <v>6</v>
      </c>
      <c r="J15" s="101" t="s">
        <v>6</v>
      </c>
      <c r="K15" s="101" t="s">
        <v>6</v>
      </c>
      <c r="L15" s="101" t="s">
        <v>6</v>
      </c>
      <c r="M15" s="101" t="s">
        <v>6</v>
      </c>
      <c r="N15" s="101" t="s">
        <v>6</v>
      </c>
      <c r="O15" s="101" t="s">
        <v>6</v>
      </c>
      <c r="P15" s="101" t="s">
        <v>6</v>
      </c>
      <c r="Q15" s="101" t="s">
        <v>6</v>
      </c>
      <c r="R15" s="101" t="s">
        <v>6</v>
      </c>
      <c r="S15" s="101" t="s">
        <v>6</v>
      </c>
      <c r="T15" s="101" t="s">
        <v>6</v>
      </c>
      <c r="U15" s="101" t="s">
        <v>6</v>
      </c>
    </row>
    <row r="16" spans="1:21" ht="22.8" customHeight="1">
      <c r="A16" s="95" t="s">
        <v>23</v>
      </c>
      <c r="B16" s="98" t="s">
        <v>24</v>
      </c>
      <c r="C16" s="101" t="s">
        <v>6</v>
      </c>
      <c r="D16" s="101" t="s">
        <v>6</v>
      </c>
      <c r="E16" s="101" t="s">
        <v>6</v>
      </c>
      <c r="F16" s="101" t="s">
        <v>6</v>
      </c>
      <c r="G16" s="101" t="s">
        <v>6</v>
      </c>
      <c r="H16" s="101" t="s">
        <v>6</v>
      </c>
      <c r="I16" s="101" t="s">
        <v>6</v>
      </c>
      <c r="J16" s="101" t="s">
        <v>6</v>
      </c>
      <c r="K16" s="101" t="s">
        <v>6</v>
      </c>
      <c r="L16" s="101" t="s">
        <v>6</v>
      </c>
      <c r="M16" s="101" t="s">
        <v>6</v>
      </c>
      <c r="N16" s="101" t="s">
        <v>6</v>
      </c>
      <c r="O16" s="101" t="s">
        <v>6</v>
      </c>
      <c r="P16" s="101" t="s">
        <v>6</v>
      </c>
      <c r="Q16" s="101" t="s">
        <v>6</v>
      </c>
      <c r="R16" s="101" t="s">
        <v>6</v>
      </c>
      <c r="S16" s="101" t="s">
        <v>6</v>
      </c>
      <c r="T16" s="101" t="s">
        <v>6</v>
      </c>
      <c r="U16" s="101" t="s">
        <v>6</v>
      </c>
    </row>
    <row r="17" spans="1:21">
      <c r="A17" s="95" t="s">
        <v>25</v>
      </c>
      <c r="B17" s="98" t="s">
        <v>26</v>
      </c>
      <c r="C17" s="101" t="s">
        <v>6</v>
      </c>
      <c r="D17" s="101" t="s">
        <v>6</v>
      </c>
      <c r="E17" s="101" t="s">
        <v>6</v>
      </c>
      <c r="F17" s="101" t="s">
        <v>6</v>
      </c>
      <c r="G17" s="101" t="s">
        <v>6</v>
      </c>
      <c r="H17" s="101" t="s">
        <v>6</v>
      </c>
      <c r="I17" s="101" t="s">
        <v>6</v>
      </c>
      <c r="J17" s="101" t="s">
        <v>6</v>
      </c>
      <c r="K17" s="101" t="s">
        <v>6</v>
      </c>
      <c r="L17" s="101" t="s">
        <v>6</v>
      </c>
      <c r="M17" s="101" t="s">
        <v>6</v>
      </c>
      <c r="N17" s="101" t="s">
        <v>6</v>
      </c>
      <c r="O17" s="101" t="s">
        <v>6</v>
      </c>
      <c r="P17" s="101" t="s">
        <v>6</v>
      </c>
      <c r="Q17" s="101" t="s">
        <v>6</v>
      </c>
      <c r="R17" s="101" t="s">
        <v>6</v>
      </c>
      <c r="S17" s="101" t="s">
        <v>6</v>
      </c>
      <c r="T17" s="101" t="s">
        <v>6</v>
      </c>
      <c r="U17" s="101" t="s">
        <v>6</v>
      </c>
    </row>
    <row r="18" spans="1:21">
      <c r="A18" s="200" t="s">
        <v>27</v>
      </c>
      <c r="B18" s="201"/>
      <c r="C18" s="201"/>
      <c r="D18" s="201"/>
      <c r="E18" s="201"/>
      <c r="F18" s="201"/>
      <c r="G18" s="201"/>
      <c r="H18" s="201"/>
      <c r="I18" s="201"/>
      <c r="J18" s="201"/>
      <c r="K18" s="201"/>
      <c r="L18" s="201"/>
      <c r="M18" s="201"/>
      <c r="N18" s="201"/>
      <c r="O18" s="201"/>
      <c r="P18" s="201"/>
      <c r="Q18" s="201"/>
      <c r="R18" s="201"/>
      <c r="S18" s="201"/>
      <c r="T18" s="201"/>
      <c r="U18" s="202"/>
    </row>
    <row r="19" spans="1:21" ht="21.6" customHeight="1">
      <c r="A19" s="95" t="s">
        <v>28</v>
      </c>
      <c r="B19" s="98" t="s">
        <v>29</v>
      </c>
      <c r="C19" s="101">
        <v>3</v>
      </c>
      <c r="D19" s="101">
        <v>2</v>
      </c>
      <c r="E19" s="101">
        <v>3</v>
      </c>
      <c r="F19" s="101">
        <v>2</v>
      </c>
      <c r="G19" s="101">
        <v>2</v>
      </c>
      <c r="H19" s="101">
        <v>2</v>
      </c>
      <c r="I19" s="101">
        <v>3</v>
      </c>
      <c r="J19" s="101">
        <v>2</v>
      </c>
      <c r="K19" s="101">
        <v>2</v>
      </c>
      <c r="L19" s="101">
        <v>3</v>
      </c>
      <c r="M19" s="101">
        <v>3</v>
      </c>
      <c r="N19" s="101" t="s">
        <v>6</v>
      </c>
      <c r="O19" s="101">
        <v>3</v>
      </c>
      <c r="P19" s="101">
        <v>2</v>
      </c>
      <c r="Q19" s="101">
        <v>3</v>
      </c>
      <c r="R19" s="101">
        <v>3</v>
      </c>
      <c r="S19" s="101">
        <v>3</v>
      </c>
      <c r="T19" s="101">
        <v>2</v>
      </c>
      <c r="U19" s="99">
        <f>AVERAGE(C19:T19)</f>
        <v>2.5294117647058822</v>
      </c>
    </row>
    <row r="20" spans="1:21">
      <c r="A20" s="187" t="s">
        <v>30</v>
      </c>
      <c r="B20" s="188"/>
      <c r="C20" s="188"/>
      <c r="D20" s="188"/>
      <c r="E20" s="188"/>
      <c r="F20" s="188"/>
      <c r="G20" s="188"/>
      <c r="H20" s="188"/>
      <c r="I20" s="188"/>
      <c r="J20" s="188"/>
      <c r="K20" s="188"/>
      <c r="L20" s="188"/>
      <c r="M20" s="188"/>
      <c r="N20" s="188"/>
      <c r="O20" s="188"/>
      <c r="P20" s="188"/>
      <c r="Q20" s="188"/>
      <c r="R20" s="188"/>
      <c r="S20" s="188"/>
      <c r="T20" s="188"/>
      <c r="U20" s="189"/>
    </row>
    <row r="21" spans="1:21" ht="25.2" customHeight="1">
      <c r="A21" s="95" t="s">
        <v>31</v>
      </c>
      <c r="B21" s="98" t="s">
        <v>32</v>
      </c>
      <c r="C21" s="101">
        <v>3</v>
      </c>
      <c r="D21" s="101">
        <v>3</v>
      </c>
      <c r="E21" s="101">
        <v>3</v>
      </c>
      <c r="F21" s="101">
        <v>3</v>
      </c>
      <c r="G21" s="101">
        <v>3</v>
      </c>
      <c r="H21" s="101">
        <v>3</v>
      </c>
      <c r="I21" s="101">
        <v>2</v>
      </c>
      <c r="J21" s="101">
        <v>2</v>
      </c>
      <c r="K21" s="101">
        <v>3</v>
      </c>
      <c r="L21" s="101">
        <v>3</v>
      </c>
      <c r="M21" s="101">
        <v>3</v>
      </c>
      <c r="N21" s="101" t="s">
        <v>6</v>
      </c>
      <c r="O21" s="101">
        <v>2</v>
      </c>
      <c r="P21" s="101">
        <v>2</v>
      </c>
      <c r="Q21" s="101">
        <v>3</v>
      </c>
      <c r="R21" s="101">
        <v>3</v>
      </c>
      <c r="S21" s="101">
        <v>2</v>
      </c>
      <c r="T21" s="101">
        <v>2</v>
      </c>
      <c r="U21" s="99">
        <f>AVERAGE(C21:T21)</f>
        <v>2.6470588235294117</v>
      </c>
    </row>
    <row r="22" spans="1:21" ht="22.2" customHeight="1">
      <c r="A22" s="95" t="s">
        <v>33</v>
      </c>
      <c r="B22" s="98" t="s">
        <v>34</v>
      </c>
      <c r="C22" s="101">
        <v>3</v>
      </c>
      <c r="D22" s="101">
        <v>3</v>
      </c>
      <c r="E22" s="101">
        <v>3</v>
      </c>
      <c r="F22" s="101">
        <v>3</v>
      </c>
      <c r="G22" s="101">
        <v>3</v>
      </c>
      <c r="H22" s="101">
        <v>3</v>
      </c>
      <c r="I22" s="101">
        <v>3</v>
      </c>
      <c r="J22" s="101">
        <v>3</v>
      </c>
      <c r="K22" s="101">
        <v>3</v>
      </c>
      <c r="L22" s="101">
        <v>3</v>
      </c>
      <c r="M22" s="101">
        <v>3</v>
      </c>
      <c r="N22" s="101" t="s">
        <v>6</v>
      </c>
      <c r="O22" s="101">
        <v>2</v>
      </c>
      <c r="P22" s="101">
        <v>2</v>
      </c>
      <c r="Q22" s="101">
        <v>2</v>
      </c>
      <c r="R22" s="101">
        <v>3</v>
      </c>
      <c r="S22" s="101">
        <v>3</v>
      </c>
      <c r="T22" s="101">
        <v>3</v>
      </c>
      <c r="U22" s="99">
        <f>AVERAGE(C22:T22)</f>
        <v>2.8235294117647061</v>
      </c>
    </row>
    <row r="23" spans="1:21">
      <c r="A23" s="187">
        <v>5</v>
      </c>
      <c r="B23" s="188"/>
      <c r="C23" s="188"/>
      <c r="D23" s="188"/>
      <c r="E23" s="188"/>
      <c r="F23" s="188"/>
      <c r="G23" s="188"/>
      <c r="H23" s="188"/>
      <c r="I23" s="188"/>
      <c r="J23" s="188"/>
      <c r="K23" s="188"/>
      <c r="L23" s="188"/>
      <c r="M23" s="188"/>
      <c r="N23" s="188"/>
      <c r="O23" s="188"/>
      <c r="P23" s="188"/>
      <c r="Q23" s="188"/>
      <c r="R23" s="188"/>
      <c r="S23" s="188"/>
      <c r="T23" s="188"/>
      <c r="U23" s="189"/>
    </row>
    <row r="24" spans="1:21" ht="24.6" customHeight="1">
      <c r="A24" s="95" t="s">
        <v>36</v>
      </c>
      <c r="B24" s="98" t="s">
        <v>37</v>
      </c>
      <c r="C24" s="100">
        <v>3</v>
      </c>
      <c r="D24" s="100">
        <v>2</v>
      </c>
      <c r="E24" s="100">
        <v>3</v>
      </c>
      <c r="F24" s="100">
        <v>3</v>
      </c>
      <c r="G24" s="100">
        <v>3</v>
      </c>
      <c r="H24" s="100">
        <v>3</v>
      </c>
      <c r="I24" s="100">
        <v>3</v>
      </c>
      <c r="J24" s="100">
        <v>3</v>
      </c>
      <c r="K24" s="100">
        <v>3</v>
      </c>
      <c r="L24" s="100">
        <v>3</v>
      </c>
      <c r="M24" s="100">
        <v>3</v>
      </c>
      <c r="N24" s="100" t="s">
        <v>6</v>
      </c>
      <c r="O24" s="100">
        <v>2</v>
      </c>
      <c r="P24" s="100">
        <v>3</v>
      </c>
      <c r="Q24" s="100">
        <v>3</v>
      </c>
      <c r="R24" s="100">
        <v>3</v>
      </c>
      <c r="S24" s="100">
        <v>2</v>
      </c>
      <c r="T24" s="100">
        <v>3</v>
      </c>
      <c r="U24" s="99">
        <f>AVERAGE(C24:T24)</f>
        <v>2.8235294117647061</v>
      </c>
    </row>
    <row r="25" spans="1:21">
      <c r="A25" s="200" t="s">
        <v>38</v>
      </c>
      <c r="B25" s="201"/>
      <c r="C25" s="201"/>
      <c r="D25" s="201"/>
      <c r="E25" s="201"/>
      <c r="F25" s="201"/>
      <c r="G25" s="201"/>
      <c r="H25" s="201"/>
      <c r="I25" s="201"/>
      <c r="J25" s="201"/>
      <c r="K25" s="201"/>
      <c r="L25" s="201"/>
      <c r="M25" s="201"/>
      <c r="N25" s="201"/>
      <c r="O25" s="201"/>
      <c r="P25" s="201"/>
      <c r="Q25" s="201"/>
      <c r="R25" s="201"/>
      <c r="S25" s="201"/>
      <c r="T25" s="201"/>
      <c r="U25" s="202"/>
    </row>
    <row r="26" spans="1:21" ht="25.2" customHeight="1">
      <c r="A26" s="95" t="s">
        <v>39</v>
      </c>
      <c r="B26" s="98" t="s">
        <v>40</v>
      </c>
      <c r="C26" s="101">
        <v>3</v>
      </c>
      <c r="D26" s="101">
        <v>3</v>
      </c>
      <c r="E26" s="101">
        <v>3</v>
      </c>
      <c r="F26" s="101">
        <v>3</v>
      </c>
      <c r="G26" s="101">
        <v>2</v>
      </c>
      <c r="H26" s="101">
        <v>2</v>
      </c>
      <c r="I26" s="101">
        <v>3</v>
      </c>
      <c r="J26" s="101">
        <v>2</v>
      </c>
      <c r="K26" s="101">
        <v>3</v>
      </c>
      <c r="L26" s="101">
        <v>3</v>
      </c>
      <c r="M26" s="101">
        <v>3</v>
      </c>
      <c r="N26" s="101" t="s">
        <v>6</v>
      </c>
      <c r="O26" s="101">
        <v>3</v>
      </c>
      <c r="P26" s="101">
        <v>3</v>
      </c>
      <c r="Q26" s="101">
        <v>3</v>
      </c>
      <c r="R26" s="101">
        <v>3</v>
      </c>
      <c r="S26" s="101">
        <v>2</v>
      </c>
      <c r="T26" s="101">
        <v>3</v>
      </c>
      <c r="U26" s="99">
        <f>AVERAGE(C26:T26)</f>
        <v>2.7647058823529411</v>
      </c>
    </row>
    <row r="27" spans="1:21" ht="19.2" customHeight="1">
      <c r="A27" s="95" t="s">
        <v>41</v>
      </c>
      <c r="B27" s="98" t="s">
        <v>42</v>
      </c>
      <c r="C27" s="101">
        <v>3</v>
      </c>
      <c r="D27" s="101">
        <v>3</v>
      </c>
      <c r="E27" s="101">
        <v>3</v>
      </c>
      <c r="F27" s="101">
        <v>2</v>
      </c>
      <c r="G27" s="101">
        <v>3</v>
      </c>
      <c r="H27" s="101">
        <v>2</v>
      </c>
      <c r="I27" s="101">
        <v>3</v>
      </c>
      <c r="J27" s="101">
        <v>3</v>
      </c>
      <c r="K27" s="101">
        <v>3</v>
      </c>
      <c r="L27" s="101">
        <v>3</v>
      </c>
      <c r="M27" s="101">
        <v>3</v>
      </c>
      <c r="N27" s="101" t="s">
        <v>6</v>
      </c>
      <c r="O27" s="101">
        <v>2</v>
      </c>
      <c r="P27" s="101">
        <v>2</v>
      </c>
      <c r="Q27" s="101">
        <v>3</v>
      </c>
      <c r="R27" s="101">
        <v>3</v>
      </c>
      <c r="S27" s="101">
        <v>3</v>
      </c>
      <c r="T27" s="101">
        <v>3</v>
      </c>
      <c r="U27" s="99">
        <f>AVERAGE(C27:T27)</f>
        <v>2.7647058823529411</v>
      </c>
    </row>
    <row r="28" spans="1:21" ht="24" customHeight="1">
      <c r="A28" s="95" t="s">
        <v>43</v>
      </c>
      <c r="B28" s="98" t="s">
        <v>44</v>
      </c>
      <c r="C28" s="101">
        <v>3</v>
      </c>
      <c r="D28" s="101">
        <v>3</v>
      </c>
      <c r="E28" s="101">
        <v>3</v>
      </c>
      <c r="F28" s="101">
        <v>3</v>
      </c>
      <c r="G28" s="101">
        <v>3</v>
      </c>
      <c r="H28" s="101">
        <v>3</v>
      </c>
      <c r="I28" s="101">
        <v>3</v>
      </c>
      <c r="J28" s="101">
        <v>2</v>
      </c>
      <c r="K28" s="101">
        <v>3</v>
      </c>
      <c r="L28" s="101">
        <v>3</v>
      </c>
      <c r="M28" s="101">
        <v>3</v>
      </c>
      <c r="N28" s="101" t="s">
        <v>6</v>
      </c>
      <c r="O28" s="101">
        <v>2</v>
      </c>
      <c r="P28" s="101">
        <v>2</v>
      </c>
      <c r="Q28" s="101">
        <v>3</v>
      </c>
      <c r="R28" s="101">
        <v>3</v>
      </c>
      <c r="S28" s="101">
        <v>3</v>
      </c>
      <c r="T28" s="101">
        <v>3</v>
      </c>
      <c r="U28" s="99">
        <f>AVERAGE(C28:T28)</f>
        <v>2.8235294117647061</v>
      </c>
    </row>
    <row r="29" spans="1:21">
      <c r="A29" s="200" t="s">
        <v>45</v>
      </c>
      <c r="B29" s="201"/>
      <c r="C29" s="201"/>
      <c r="D29" s="201"/>
      <c r="E29" s="201"/>
      <c r="F29" s="201"/>
      <c r="G29" s="201"/>
      <c r="H29" s="201"/>
      <c r="I29" s="201"/>
      <c r="J29" s="201"/>
      <c r="K29" s="201"/>
      <c r="L29" s="201"/>
      <c r="M29" s="201"/>
      <c r="N29" s="201"/>
      <c r="O29" s="201"/>
      <c r="P29" s="201"/>
      <c r="Q29" s="201"/>
      <c r="R29" s="201"/>
      <c r="S29" s="201"/>
      <c r="T29" s="201"/>
      <c r="U29" s="202"/>
    </row>
    <row r="30" spans="1:21" ht="24" customHeight="1">
      <c r="A30" s="95" t="s">
        <v>46</v>
      </c>
      <c r="B30" s="98" t="s">
        <v>47</v>
      </c>
      <c r="C30" s="100">
        <v>3</v>
      </c>
      <c r="D30" s="100">
        <v>2</v>
      </c>
      <c r="E30" s="100">
        <v>2</v>
      </c>
      <c r="F30" s="100">
        <v>2</v>
      </c>
      <c r="G30" s="100">
        <v>2</v>
      </c>
      <c r="H30" s="100">
        <v>0</v>
      </c>
      <c r="I30" s="100">
        <v>2</v>
      </c>
      <c r="J30" s="100">
        <v>2</v>
      </c>
      <c r="K30" s="100">
        <v>2</v>
      </c>
      <c r="L30" s="100">
        <v>3</v>
      </c>
      <c r="M30" s="100">
        <v>2</v>
      </c>
      <c r="N30" s="100" t="s">
        <v>6</v>
      </c>
      <c r="O30" s="100">
        <v>3</v>
      </c>
      <c r="P30" s="100">
        <v>2</v>
      </c>
      <c r="Q30" s="100">
        <v>3</v>
      </c>
      <c r="R30" s="100">
        <v>3</v>
      </c>
      <c r="S30" s="100">
        <v>2</v>
      </c>
      <c r="T30" s="100">
        <v>0</v>
      </c>
      <c r="U30" s="99">
        <f>AVERAGE(C30:T30)</f>
        <v>2.0588235294117645</v>
      </c>
    </row>
    <row r="31" spans="1:21">
      <c r="A31" s="187" t="s">
        <v>48</v>
      </c>
      <c r="B31" s="188"/>
      <c r="C31" s="188"/>
      <c r="D31" s="188"/>
      <c r="E31" s="188"/>
      <c r="F31" s="188"/>
      <c r="G31" s="188"/>
      <c r="H31" s="188"/>
      <c r="I31" s="188"/>
      <c r="J31" s="188"/>
      <c r="K31" s="188"/>
      <c r="L31" s="188"/>
      <c r="M31" s="188"/>
      <c r="N31" s="188"/>
      <c r="O31" s="188"/>
      <c r="P31" s="188"/>
      <c r="Q31" s="188"/>
      <c r="R31" s="188"/>
      <c r="S31" s="188"/>
      <c r="T31" s="188"/>
      <c r="U31" s="189"/>
    </row>
    <row r="32" spans="1:21" ht="19.8" customHeight="1">
      <c r="A32" s="95" t="s">
        <v>49</v>
      </c>
      <c r="B32" s="98" t="s">
        <v>50</v>
      </c>
      <c r="C32" s="101">
        <v>3</v>
      </c>
      <c r="D32" s="101">
        <v>3</v>
      </c>
      <c r="E32" s="101">
        <v>1</v>
      </c>
      <c r="F32" s="101">
        <v>3</v>
      </c>
      <c r="G32" s="101">
        <v>3</v>
      </c>
      <c r="H32" s="101">
        <v>3</v>
      </c>
      <c r="I32" s="101">
        <v>3</v>
      </c>
      <c r="J32" s="101">
        <v>3</v>
      </c>
      <c r="K32" s="101">
        <v>3</v>
      </c>
      <c r="L32" s="101">
        <v>3</v>
      </c>
      <c r="M32" s="101">
        <v>3</v>
      </c>
      <c r="N32" s="101" t="s">
        <v>6</v>
      </c>
      <c r="O32" s="101">
        <v>3</v>
      </c>
      <c r="P32" s="101">
        <v>3</v>
      </c>
      <c r="Q32" s="101">
        <v>1</v>
      </c>
      <c r="R32" s="101">
        <v>3</v>
      </c>
      <c r="S32" s="101">
        <v>3</v>
      </c>
      <c r="T32" s="101">
        <v>3</v>
      </c>
      <c r="U32" s="99">
        <f>AVERAGE(C32:T32)</f>
        <v>2.7647058823529411</v>
      </c>
    </row>
    <row r="33" spans="1:21">
      <c r="A33" s="187" t="s">
        <v>51</v>
      </c>
      <c r="B33" s="188"/>
      <c r="C33" s="188"/>
      <c r="D33" s="188"/>
      <c r="E33" s="188"/>
      <c r="F33" s="188"/>
      <c r="G33" s="188"/>
      <c r="H33" s="188"/>
      <c r="I33" s="188"/>
      <c r="J33" s="188"/>
      <c r="K33" s="188"/>
      <c r="L33" s="188"/>
      <c r="M33" s="188"/>
      <c r="N33" s="188"/>
      <c r="O33" s="188"/>
      <c r="P33" s="188"/>
      <c r="Q33" s="188"/>
      <c r="R33" s="188"/>
      <c r="S33" s="188"/>
      <c r="T33" s="188"/>
      <c r="U33" s="189"/>
    </row>
    <row r="34" spans="1:21" ht="23.4" customHeight="1">
      <c r="A34" s="95" t="s">
        <v>52</v>
      </c>
      <c r="B34" s="98" t="s">
        <v>78</v>
      </c>
      <c r="C34" s="100">
        <v>3</v>
      </c>
      <c r="D34" s="100">
        <v>2.5</v>
      </c>
      <c r="E34" s="100">
        <v>3</v>
      </c>
      <c r="F34" s="100">
        <v>3</v>
      </c>
      <c r="G34" s="100">
        <v>2</v>
      </c>
      <c r="H34" s="100">
        <v>2</v>
      </c>
      <c r="I34" s="100">
        <v>2</v>
      </c>
      <c r="J34" s="100">
        <v>2</v>
      </c>
      <c r="K34" s="100">
        <v>2.5</v>
      </c>
      <c r="L34" s="100">
        <v>2.5</v>
      </c>
      <c r="M34" s="100">
        <v>3</v>
      </c>
      <c r="N34" s="100" t="s">
        <v>6</v>
      </c>
      <c r="O34" s="100">
        <v>2</v>
      </c>
      <c r="P34" s="100">
        <v>1</v>
      </c>
      <c r="Q34" s="100">
        <v>2.5</v>
      </c>
      <c r="R34" s="100">
        <v>3</v>
      </c>
      <c r="S34" s="100">
        <v>2</v>
      </c>
      <c r="T34" s="100" t="s">
        <v>6</v>
      </c>
      <c r="U34" s="105">
        <f>AVERAGE(C34:T34)</f>
        <v>2.375</v>
      </c>
    </row>
    <row r="35" spans="1:21">
      <c r="A35" s="187" t="s">
        <v>54</v>
      </c>
      <c r="B35" s="188"/>
      <c r="C35" s="188"/>
      <c r="D35" s="188"/>
      <c r="E35" s="188"/>
      <c r="F35" s="188"/>
      <c r="G35" s="188"/>
      <c r="H35" s="188"/>
      <c r="I35" s="188"/>
      <c r="J35" s="188"/>
      <c r="K35" s="188"/>
      <c r="L35" s="188"/>
      <c r="M35" s="188"/>
      <c r="N35" s="188"/>
      <c r="O35" s="188"/>
      <c r="P35" s="188"/>
      <c r="Q35" s="188"/>
      <c r="R35" s="188"/>
      <c r="S35" s="188"/>
      <c r="T35" s="188"/>
      <c r="U35" s="189"/>
    </row>
    <row r="36" spans="1:21" ht="21" customHeight="1">
      <c r="A36" s="95" t="s">
        <v>55</v>
      </c>
      <c r="B36" s="98" t="s">
        <v>56</v>
      </c>
      <c r="C36" s="101" t="s">
        <v>6</v>
      </c>
      <c r="D36" s="101" t="s">
        <v>6</v>
      </c>
      <c r="E36" s="101" t="s">
        <v>6</v>
      </c>
      <c r="F36" s="101" t="s">
        <v>6</v>
      </c>
      <c r="G36" s="101" t="s">
        <v>6</v>
      </c>
      <c r="H36" s="101" t="s">
        <v>6</v>
      </c>
      <c r="I36" s="101" t="s">
        <v>6</v>
      </c>
      <c r="J36" s="101" t="s">
        <v>6</v>
      </c>
      <c r="K36" s="101" t="s">
        <v>6</v>
      </c>
      <c r="L36" s="101" t="s">
        <v>6</v>
      </c>
      <c r="M36" s="101" t="s">
        <v>6</v>
      </c>
      <c r="N36" s="101" t="s">
        <v>6</v>
      </c>
      <c r="O36" s="101" t="s">
        <v>6</v>
      </c>
      <c r="P36" s="101" t="s">
        <v>6</v>
      </c>
      <c r="Q36" s="101" t="s">
        <v>6</v>
      </c>
      <c r="R36" s="101" t="s">
        <v>6</v>
      </c>
      <c r="S36" s="101" t="s">
        <v>6</v>
      </c>
      <c r="T36" s="101" t="s">
        <v>6</v>
      </c>
      <c r="U36" s="101" t="s">
        <v>6</v>
      </c>
    </row>
    <row r="37" spans="1:21" ht="21" customHeight="1">
      <c r="A37" s="95" t="s">
        <v>57</v>
      </c>
      <c r="B37" s="98" t="s">
        <v>58</v>
      </c>
      <c r="C37" s="101" t="s">
        <v>6</v>
      </c>
      <c r="D37" s="101" t="s">
        <v>6</v>
      </c>
      <c r="E37" s="101" t="s">
        <v>6</v>
      </c>
      <c r="F37" s="101" t="s">
        <v>6</v>
      </c>
      <c r="G37" s="101" t="s">
        <v>6</v>
      </c>
      <c r="H37" s="101" t="s">
        <v>6</v>
      </c>
      <c r="I37" s="101" t="s">
        <v>6</v>
      </c>
      <c r="J37" s="101" t="s">
        <v>6</v>
      </c>
      <c r="K37" s="101" t="s">
        <v>6</v>
      </c>
      <c r="L37" s="101" t="s">
        <v>6</v>
      </c>
      <c r="M37" s="101" t="s">
        <v>6</v>
      </c>
      <c r="N37" s="101" t="s">
        <v>6</v>
      </c>
      <c r="O37" s="101" t="s">
        <v>6</v>
      </c>
      <c r="P37" s="101" t="s">
        <v>6</v>
      </c>
      <c r="Q37" s="101" t="s">
        <v>6</v>
      </c>
      <c r="R37" s="101" t="s">
        <v>6</v>
      </c>
      <c r="S37" s="101" t="s">
        <v>6</v>
      </c>
      <c r="T37" s="101" t="s">
        <v>6</v>
      </c>
      <c r="U37" s="101" t="s">
        <v>6</v>
      </c>
    </row>
    <row r="38" spans="1:21">
      <c r="A38" s="187" t="s">
        <v>59</v>
      </c>
      <c r="B38" s="188"/>
      <c r="C38" s="188"/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8"/>
      <c r="P38" s="188"/>
      <c r="Q38" s="188"/>
      <c r="R38" s="188"/>
      <c r="S38" s="188"/>
      <c r="T38" s="188"/>
      <c r="U38" s="189"/>
    </row>
    <row r="39" spans="1:21" ht="25.8" customHeight="1">
      <c r="A39" s="95" t="s">
        <v>60</v>
      </c>
      <c r="B39" s="98" t="s">
        <v>61</v>
      </c>
      <c r="C39" s="100">
        <v>3</v>
      </c>
      <c r="D39" s="100">
        <v>3</v>
      </c>
      <c r="E39" s="100">
        <v>2</v>
      </c>
      <c r="F39" s="100">
        <v>3</v>
      </c>
      <c r="G39" s="100">
        <v>2</v>
      </c>
      <c r="H39" s="100">
        <v>3</v>
      </c>
      <c r="I39" s="100">
        <v>3</v>
      </c>
      <c r="J39" s="100">
        <v>2</v>
      </c>
      <c r="K39" s="100">
        <v>2</v>
      </c>
      <c r="L39" s="100">
        <v>2</v>
      </c>
      <c r="M39" s="100">
        <v>2</v>
      </c>
      <c r="N39" s="100" t="s">
        <v>6</v>
      </c>
      <c r="O39" s="100">
        <v>3</v>
      </c>
      <c r="P39" s="100">
        <v>3</v>
      </c>
      <c r="Q39" s="100">
        <v>2</v>
      </c>
      <c r="R39" s="100">
        <v>3</v>
      </c>
      <c r="S39" s="100">
        <v>3</v>
      </c>
      <c r="T39" s="100">
        <v>3</v>
      </c>
      <c r="U39" s="99">
        <f>AVERAGE(C39:T39)</f>
        <v>2.5882352941176472</v>
      </c>
    </row>
    <row r="40" spans="1:21" ht="26.4" customHeight="1">
      <c r="A40" s="95" t="s">
        <v>62</v>
      </c>
      <c r="B40" s="98" t="s">
        <v>63</v>
      </c>
      <c r="C40" s="100">
        <v>3</v>
      </c>
      <c r="D40" s="100">
        <v>3</v>
      </c>
      <c r="E40" s="100">
        <v>3</v>
      </c>
      <c r="F40" s="100">
        <v>3</v>
      </c>
      <c r="G40" s="100">
        <v>3</v>
      </c>
      <c r="H40" s="100">
        <v>3</v>
      </c>
      <c r="I40" s="100">
        <v>3</v>
      </c>
      <c r="J40" s="100">
        <v>3</v>
      </c>
      <c r="K40" s="100">
        <v>3</v>
      </c>
      <c r="L40" s="100">
        <v>3</v>
      </c>
      <c r="M40" s="100">
        <v>3</v>
      </c>
      <c r="N40" s="100" t="s">
        <v>6</v>
      </c>
      <c r="O40" s="100">
        <v>3</v>
      </c>
      <c r="P40" s="100">
        <v>3</v>
      </c>
      <c r="Q40" s="100">
        <v>3</v>
      </c>
      <c r="R40" s="100">
        <v>3</v>
      </c>
      <c r="S40" s="100">
        <v>3</v>
      </c>
      <c r="T40" s="100">
        <v>3</v>
      </c>
      <c r="U40" s="99">
        <f>AVERAGE(C40:T40)</f>
        <v>3</v>
      </c>
    </row>
    <row r="41" spans="1:21">
      <c r="A41" s="187" t="s">
        <v>64</v>
      </c>
      <c r="B41" s="188"/>
      <c r="C41" s="188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188"/>
      <c r="Q41" s="188"/>
      <c r="R41" s="188"/>
      <c r="S41" s="188"/>
      <c r="T41" s="188"/>
      <c r="U41" s="189"/>
    </row>
    <row r="42" spans="1:21" ht="20.399999999999999" customHeight="1">
      <c r="A42" s="95" t="s">
        <v>65</v>
      </c>
      <c r="B42" s="98" t="s">
        <v>66</v>
      </c>
      <c r="C42" s="101" t="s">
        <v>6</v>
      </c>
      <c r="D42" s="101" t="s">
        <v>6</v>
      </c>
      <c r="E42" s="101" t="s">
        <v>6</v>
      </c>
      <c r="F42" s="101" t="s">
        <v>6</v>
      </c>
      <c r="G42" s="101" t="s">
        <v>6</v>
      </c>
      <c r="H42" s="101" t="s">
        <v>6</v>
      </c>
      <c r="I42" s="101" t="s">
        <v>6</v>
      </c>
      <c r="J42" s="101" t="s">
        <v>6</v>
      </c>
      <c r="K42" s="101" t="s">
        <v>6</v>
      </c>
      <c r="L42" s="101" t="s">
        <v>6</v>
      </c>
      <c r="M42" s="101" t="s">
        <v>6</v>
      </c>
      <c r="N42" s="101" t="s">
        <v>6</v>
      </c>
      <c r="O42" s="101" t="s">
        <v>6</v>
      </c>
      <c r="P42" s="101" t="s">
        <v>6</v>
      </c>
      <c r="Q42" s="101" t="s">
        <v>6</v>
      </c>
      <c r="R42" s="101" t="s">
        <v>6</v>
      </c>
      <c r="S42" s="101" t="s">
        <v>6</v>
      </c>
      <c r="T42" s="101" t="s">
        <v>6</v>
      </c>
      <c r="U42" s="101" t="s">
        <v>6</v>
      </c>
    </row>
    <row r="43" spans="1:21" ht="24.6" customHeight="1">
      <c r="A43" s="190"/>
      <c r="B43" s="192"/>
      <c r="C43" s="106">
        <f t="shared" ref="C43:M43" si="0">AVERAGE(C6:C42)</f>
        <v>2.96875</v>
      </c>
      <c r="D43" s="107">
        <f t="shared" si="0"/>
        <v>2.75</v>
      </c>
      <c r="E43" s="108">
        <f t="shared" si="0"/>
        <v>2.71875</v>
      </c>
      <c r="F43" s="108">
        <f t="shared" si="0"/>
        <v>2.8125</v>
      </c>
      <c r="G43" s="108">
        <f t="shared" si="0"/>
        <v>2.6875</v>
      </c>
      <c r="H43" s="108">
        <f t="shared" si="0"/>
        <v>2.53125</v>
      </c>
      <c r="I43" s="108">
        <f t="shared" si="0"/>
        <v>2.75</v>
      </c>
      <c r="J43" s="108">
        <f t="shared" si="0"/>
        <v>2.46875</v>
      </c>
      <c r="K43" s="108">
        <f t="shared" si="0"/>
        <v>2.78125</v>
      </c>
      <c r="L43" s="106">
        <f t="shared" si="0"/>
        <v>2.875</v>
      </c>
      <c r="M43" s="113">
        <f t="shared" si="0"/>
        <v>2.84375</v>
      </c>
      <c r="N43" s="104" t="s">
        <v>6</v>
      </c>
      <c r="O43" s="108">
        <f t="shared" ref="O43:T43" si="1">AVERAGE(O6:O42)</f>
        <v>2.59375</v>
      </c>
      <c r="P43" s="108">
        <f t="shared" si="1"/>
        <v>2.4375</v>
      </c>
      <c r="Q43" s="108">
        <f t="shared" si="1"/>
        <v>2.6875</v>
      </c>
      <c r="R43" s="106">
        <f t="shared" si="1"/>
        <v>3</v>
      </c>
      <c r="S43" s="108">
        <f t="shared" si="1"/>
        <v>2.53125</v>
      </c>
      <c r="T43" s="108">
        <f t="shared" si="1"/>
        <v>2.4666666666666668</v>
      </c>
      <c r="U43" s="108">
        <f>AVERAGE(C43:T43)</f>
        <v>2.7002450980392156</v>
      </c>
    </row>
    <row r="44" spans="1:21">
      <c r="A44" s="109"/>
      <c r="B44" s="109"/>
      <c r="C44" s="110"/>
      <c r="D44" s="110"/>
      <c r="E44" s="110"/>
      <c r="F44" s="110"/>
      <c r="G44" s="110"/>
      <c r="H44" s="110"/>
      <c r="I44" s="111"/>
      <c r="J44" s="110"/>
      <c r="K44" s="110"/>
      <c r="L44" s="110"/>
      <c r="M44" s="110"/>
      <c r="N44" s="110"/>
      <c r="O44" s="111"/>
      <c r="P44" s="110"/>
      <c r="Q44" s="110"/>
      <c r="R44" s="110"/>
      <c r="S44" s="110"/>
      <c r="T44" s="110"/>
      <c r="U44" s="111"/>
    </row>
    <row r="45" spans="1:21">
      <c r="A45" s="203" t="s">
        <v>117</v>
      </c>
      <c r="B45" s="204"/>
      <c r="C45" s="204"/>
      <c r="D45" s="204"/>
      <c r="E45" s="204"/>
      <c r="F45" s="204"/>
      <c r="G45" s="204"/>
      <c r="H45" s="204"/>
      <c r="I45" s="204"/>
      <c r="J45" s="204"/>
      <c r="K45" s="204"/>
      <c r="L45" s="204"/>
      <c r="M45" s="204"/>
      <c r="N45" s="205"/>
      <c r="O45" s="112"/>
      <c r="P45" s="112"/>
      <c r="Q45" s="112"/>
      <c r="R45" s="112"/>
      <c r="S45" s="112"/>
      <c r="T45" s="112"/>
      <c r="U45" s="112"/>
    </row>
    <row r="46" spans="1:21">
      <c r="A46" s="206" t="s">
        <v>98</v>
      </c>
      <c r="B46" s="207"/>
      <c r="C46" s="207"/>
      <c r="D46" s="207"/>
      <c r="E46" s="207"/>
      <c r="F46" s="208"/>
      <c r="G46" s="190" t="s">
        <v>109</v>
      </c>
      <c r="H46" s="191"/>
      <c r="I46" s="191"/>
      <c r="J46" s="191"/>
      <c r="K46" s="191"/>
      <c r="L46" s="191"/>
      <c r="M46" s="191"/>
      <c r="N46" s="192"/>
      <c r="O46" s="112"/>
      <c r="P46" s="112"/>
      <c r="Q46" s="112"/>
      <c r="R46" s="112"/>
      <c r="S46" s="112"/>
      <c r="T46" s="112"/>
      <c r="U46" s="112"/>
    </row>
    <row r="47" spans="1:21">
      <c r="A47" s="203" t="s">
        <v>67</v>
      </c>
      <c r="B47" s="205"/>
      <c r="C47" s="190" t="s">
        <v>68</v>
      </c>
      <c r="D47" s="191"/>
      <c r="E47" s="191"/>
      <c r="F47" s="192"/>
      <c r="G47" s="190" t="s">
        <v>69</v>
      </c>
      <c r="H47" s="191"/>
      <c r="I47" s="191"/>
      <c r="J47" s="192"/>
      <c r="K47" s="190" t="s">
        <v>70</v>
      </c>
      <c r="L47" s="191"/>
      <c r="M47" s="191"/>
      <c r="N47" s="192"/>
      <c r="O47" s="112"/>
      <c r="P47" s="112"/>
      <c r="Q47" s="112"/>
      <c r="R47" s="112"/>
      <c r="S47" s="112"/>
      <c r="T47" s="112"/>
      <c r="U47" s="112"/>
    </row>
    <row r="48" spans="1:21">
      <c r="A48" s="209" t="s">
        <v>71</v>
      </c>
      <c r="B48" s="210"/>
      <c r="C48" s="213" t="s">
        <v>93</v>
      </c>
      <c r="D48" s="214"/>
      <c r="E48" s="214"/>
      <c r="F48" s="215"/>
      <c r="G48" s="213" t="s">
        <v>79</v>
      </c>
      <c r="H48" s="214"/>
      <c r="I48" s="214"/>
      <c r="J48" s="215"/>
      <c r="K48" s="213" t="s">
        <v>88</v>
      </c>
      <c r="L48" s="214"/>
      <c r="M48" s="214"/>
      <c r="N48" s="215"/>
      <c r="O48" s="112"/>
      <c r="P48" s="112"/>
      <c r="Q48" s="112"/>
      <c r="R48" s="112"/>
      <c r="S48" s="112"/>
      <c r="T48" s="112"/>
      <c r="U48" s="112"/>
    </row>
    <row r="49" spans="1:21">
      <c r="A49" s="211"/>
      <c r="B49" s="212"/>
      <c r="C49" s="219">
        <v>3</v>
      </c>
      <c r="D49" s="220"/>
      <c r="E49" s="220"/>
      <c r="F49" s="221"/>
      <c r="G49" s="219">
        <v>2.96875</v>
      </c>
      <c r="H49" s="220"/>
      <c r="I49" s="220"/>
      <c r="J49" s="221"/>
      <c r="K49" s="219">
        <v>2.875</v>
      </c>
      <c r="L49" s="220"/>
      <c r="M49" s="220"/>
      <c r="N49" s="221"/>
      <c r="O49" s="112"/>
      <c r="P49" s="112"/>
      <c r="Q49" s="112"/>
      <c r="R49" s="112"/>
      <c r="S49" s="112"/>
      <c r="T49" s="112"/>
      <c r="U49" s="112"/>
    </row>
    <row r="50" spans="1:21">
      <c r="A50" s="203" t="s">
        <v>72</v>
      </c>
      <c r="B50" s="205"/>
      <c r="C50" s="213" t="s">
        <v>79</v>
      </c>
      <c r="D50" s="214"/>
      <c r="E50" s="214"/>
      <c r="F50" s="215"/>
      <c r="G50" s="216" t="s">
        <v>89</v>
      </c>
      <c r="H50" s="217"/>
      <c r="I50" s="217"/>
      <c r="J50" s="218"/>
      <c r="K50" s="213" t="s">
        <v>93</v>
      </c>
      <c r="L50" s="214"/>
      <c r="M50" s="214"/>
      <c r="N50" s="215"/>
      <c r="O50" s="112"/>
      <c r="P50" s="91"/>
      <c r="Q50" s="91"/>
      <c r="R50" s="91"/>
      <c r="S50" s="91"/>
      <c r="T50" s="112"/>
      <c r="U50" s="112"/>
    </row>
    <row r="51" spans="1:21">
      <c r="A51" s="203" t="s">
        <v>73</v>
      </c>
      <c r="B51" s="205"/>
      <c r="C51" s="213" t="s">
        <v>101</v>
      </c>
      <c r="D51" s="214"/>
      <c r="E51" s="214"/>
      <c r="F51" s="215"/>
      <c r="G51" s="213" t="s">
        <v>85</v>
      </c>
      <c r="H51" s="214"/>
      <c r="I51" s="214"/>
      <c r="J51" s="215"/>
      <c r="K51" s="213" t="s">
        <v>94</v>
      </c>
      <c r="L51" s="214"/>
      <c r="M51" s="214"/>
      <c r="N51" s="215"/>
      <c r="O51" s="112"/>
      <c r="P51" s="112"/>
      <c r="Q51" s="112"/>
      <c r="R51" s="112"/>
      <c r="S51" s="112"/>
      <c r="T51" s="112"/>
      <c r="U51" s="112"/>
    </row>
    <row r="52" spans="1:21">
      <c r="A52" s="203" t="s">
        <v>74</v>
      </c>
      <c r="B52" s="205"/>
      <c r="C52" s="213" t="s">
        <v>80</v>
      </c>
      <c r="D52" s="214"/>
      <c r="E52" s="214"/>
      <c r="F52" s="215"/>
      <c r="G52" s="213" t="s">
        <v>88</v>
      </c>
      <c r="H52" s="214"/>
      <c r="I52" s="214"/>
      <c r="J52" s="215"/>
      <c r="K52" s="213" t="s">
        <v>90</v>
      </c>
      <c r="L52" s="214"/>
      <c r="M52" s="214"/>
      <c r="N52" s="215"/>
      <c r="O52" s="112"/>
      <c r="P52" s="112"/>
      <c r="Q52" s="112"/>
      <c r="R52" s="112"/>
      <c r="S52" s="112"/>
      <c r="T52" s="112"/>
      <c r="U52" s="112"/>
    </row>
    <row r="53" spans="1:21">
      <c r="A53" s="203" t="s">
        <v>75</v>
      </c>
      <c r="B53" s="205"/>
      <c r="C53" s="213" t="s">
        <v>6</v>
      </c>
      <c r="D53" s="214"/>
      <c r="E53" s="214"/>
      <c r="F53" s="215"/>
      <c r="G53" s="213" t="s">
        <v>6</v>
      </c>
      <c r="H53" s="214"/>
      <c r="I53" s="214"/>
      <c r="J53" s="215"/>
      <c r="K53" s="213" t="s">
        <v>6</v>
      </c>
      <c r="L53" s="214"/>
      <c r="M53" s="214"/>
      <c r="N53" s="215"/>
      <c r="O53" s="112"/>
      <c r="P53" s="112"/>
      <c r="Q53" s="112"/>
      <c r="R53" s="112"/>
      <c r="S53" s="112"/>
      <c r="T53" s="112"/>
      <c r="U53" s="112"/>
    </row>
    <row r="54" spans="1:21">
      <c r="A54" s="203" t="s">
        <v>76</v>
      </c>
      <c r="B54" s="205"/>
      <c r="C54" s="213" t="s">
        <v>6</v>
      </c>
      <c r="D54" s="214"/>
      <c r="E54" s="214"/>
      <c r="F54" s="215"/>
      <c r="G54" s="213" t="s">
        <v>6</v>
      </c>
      <c r="H54" s="214"/>
      <c r="I54" s="214"/>
      <c r="J54" s="215"/>
      <c r="K54" s="213" t="s">
        <v>6</v>
      </c>
      <c r="L54" s="214"/>
      <c r="M54" s="214"/>
      <c r="N54" s="215"/>
      <c r="O54" s="112"/>
      <c r="P54" s="112"/>
      <c r="Q54" s="112"/>
      <c r="R54" s="112"/>
      <c r="S54" s="112"/>
      <c r="T54" s="112"/>
      <c r="U54" s="112"/>
    </row>
    <row r="55" spans="1:21">
      <c r="A55" s="222" t="s">
        <v>116</v>
      </c>
      <c r="B55" s="223"/>
      <c r="C55" s="223"/>
      <c r="D55" s="223"/>
      <c r="E55" s="223"/>
      <c r="F55" s="223"/>
      <c r="G55" s="223"/>
      <c r="H55" s="223"/>
      <c r="I55" s="223"/>
      <c r="J55" s="223"/>
      <c r="K55" s="223"/>
      <c r="L55" s="223"/>
      <c r="M55" s="223"/>
      <c r="N55" s="224"/>
      <c r="O55" s="112"/>
      <c r="P55" s="112"/>
      <c r="Q55" s="112"/>
      <c r="R55" s="112"/>
      <c r="S55" s="112"/>
      <c r="T55" s="112"/>
      <c r="U55" s="112"/>
    </row>
    <row r="56" spans="1:21">
      <c r="A56" s="91"/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</row>
  </sheetData>
  <mergeCells count="53">
    <mergeCell ref="A5:U5"/>
    <mergeCell ref="A1:U1"/>
    <mergeCell ref="A2:B2"/>
    <mergeCell ref="C2:T2"/>
    <mergeCell ref="U2:U4"/>
    <mergeCell ref="A3:B4"/>
    <mergeCell ref="A43:B43"/>
    <mergeCell ref="A9:U9"/>
    <mergeCell ref="A18:U18"/>
    <mergeCell ref="A20:U20"/>
    <mergeCell ref="A23:U23"/>
    <mergeCell ref="A25:U25"/>
    <mergeCell ref="A29:U29"/>
    <mergeCell ref="A31:U31"/>
    <mergeCell ref="A33:U33"/>
    <mergeCell ref="A35:U35"/>
    <mergeCell ref="A38:U38"/>
    <mergeCell ref="A41:U41"/>
    <mergeCell ref="A45:N45"/>
    <mergeCell ref="A46:F46"/>
    <mergeCell ref="G46:N46"/>
    <mergeCell ref="A47:B47"/>
    <mergeCell ref="C47:F47"/>
    <mergeCell ref="G47:J47"/>
    <mergeCell ref="K47:N47"/>
    <mergeCell ref="A48:B49"/>
    <mergeCell ref="C48:F48"/>
    <mergeCell ref="G48:J48"/>
    <mergeCell ref="K48:N48"/>
    <mergeCell ref="C49:F49"/>
    <mergeCell ref="G49:J49"/>
    <mergeCell ref="K49:N49"/>
    <mergeCell ref="A50:B50"/>
    <mergeCell ref="C50:F50"/>
    <mergeCell ref="G50:J50"/>
    <mergeCell ref="K50:N50"/>
    <mergeCell ref="A51:B51"/>
    <mergeCell ref="C51:F51"/>
    <mergeCell ref="G51:J51"/>
    <mergeCell ref="K51:N51"/>
    <mergeCell ref="A52:B52"/>
    <mergeCell ref="C52:F52"/>
    <mergeCell ref="G52:J52"/>
    <mergeCell ref="K52:N52"/>
    <mergeCell ref="A53:B53"/>
    <mergeCell ref="C53:F53"/>
    <mergeCell ref="G53:J53"/>
    <mergeCell ref="K53:N53"/>
    <mergeCell ref="A54:B54"/>
    <mergeCell ref="C54:F54"/>
    <mergeCell ref="G54:J54"/>
    <mergeCell ref="K54:N54"/>
    <mergeCell ref="A55:N5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7DBEE-8EF6-49D7-9DAC-C63CDFDF39A7}">
  <dimension ref="A1:W56"/>
  <sheetViews>
    <sheetView tabSelected="1" zoomScaleNormal="100" workbookViewId="0">
      <selection activeCell="V27" sqref="V27"/>
    </sheetView>
  </sheetViews>
  <sheetFormatPr defaultRowHeight="14.4"/>
  <cols>
    <col min="1" max="1" width="7" customWidth="1"/>
    <col min="2" max="2" width="25.109375" customWidth="1"/>
    <col min="3" max="3" width="7.44140625" customWidth="1"/>
    <col min="4" max="4" width="7" customWidth="1"/>
    <col min="5" max="5" width="6.44140625" customWidth="1"/>
    <col min="6" max="6" width="6.6640625" customWidth="1"/>
    <col min="7" max="7" width="7.109375" customWidth="1"/>
    <col min="8" max="9" width="7.44140625" customWidth="1"/>
    <col min="10" max="10" width="7.21875" customWidth="1"/>
    <col min="11" max="11" width="6.88671875" customWidth="1"/>
    <col min="12" max="12" width="7.88671875" customWidth="1"/>
    <col min="13" max="13" width="7.77734375" customWidth="1"/>
    <col min="14" max="14" width="6.44140625" customWidth="1"/>
    <col min="15" max="15" width="7.109375" customWidth="1"/>
    <col min="16" max="16" width="7.44140625" customWidth="1"/>
    <col min="17" max="17" width="7" customWidth="1"/>
    <col min="18" max="18" width="6.5546875" customWidth="1"/>
    <col min="19" max="19" width="7.44140625" customWidth="1"/>
    <col min="20" max="20" width="6.5546875" customWidth="1"/>
    <col min="21" max="21" width="5.88671875" customWidth="1"/>
    <col min="22" max="22" width="5.77734375" customWidth="1"/>
    <col min="23" max="23" width="8.88671875" hidden="1" customWidth="1"/>
    <col min="24" max="24" width="8.88671875" customWidth="1"/>
  </cols>
  <sheetData>
    <row r="1" spans="1:23">
      <c r="A1" s="190" t="s">
        <v>119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2"/>
    </row>
    <row r="2" spans="1:23">
      <c r="A2" s="190" t="s">
        <v>98</v>
      </c>
      <c r="B2" s="192"/>
      <c r="C2" s="190" t="s">
        <v>99</v>
      </c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3" t="s">
        <v>1</v>
      </c>
    </row>
    <row r="3" spans="1:23">
      <c r="A3" s="196" t="s">
        <v>2</v>
      </c>
      <c r="B3" s="197"/>
      <c r="C3" s="92">
        <v>1</v>
      </c>
      <c r="D3" s="92">
        <v>2</v>
      </c>
      <c r="E3" s="92">
        <v>3</v>
      </c>
      <c r="F3" s="92">
        <v>4</v>
      </c>
      <c r="G3" s="92">
        <v>5</v>
      </c>
      <c r="H3" s="92">
        <v>6</v>
      </c>
      <c r="I3" s="92">
        <v>7</v>
      </c>
      <c r="J3" s="92">
        <v>8</v>
      </c>
      <c r="K3" s="92">
        <v>9</v>
      </c>
      <c r="L3" s="92">
        <v>10</v>
      </c>
      <c r="M3" s="92">
        <v>11</v>
      </c>
      <c r="N3" s="92">
        <v>12</v>
      </c>
      <c r="O3" s="92">
        <v>13</v>
      </c>
      <c r="P3" s="92">
        <v>14</v>
      </c>
      <c r="Q3" s="92">
        <v>15</v>
      </c>
      <c r="R3" s="92">
        <v>16</v>
      </c>
      <c r="S3" s="92">
        <v>17</v>
      </c>
      <c r="T3" s="92">
        <v>18</v>
      </c>
      <c r="U3" s="194"/>
    </row>
    <row r="4" spans="1:23" ht="94.8">
      <c r="A4" s="198"/>
      <c r="B4" s="199"/>
      <c r="C4" s="114" t="s">
        <v>79</v>
      </c>
      <c r="D4" s="114" t="s">
        <v>80</v>
      </c>
      <c r="E4" s="115" t="s">
        <v>81</v>
      </c>
      <c r="F4" s="115" t="s">
        <v>82</v>
      </c>
      <c r="G4" s="115" t="s">
        <v>84</v>
      </c>
      <c r="H4" s="115" t="s">
        <v>85</v>
      </c>
      <c r="I4" s="115" t="s">
        <v>86</v>
      </c>
      <c r="J4" s="115" t="s">
        <v>101</v>
      </c>
      <c r="K4" s="115" t="s">
        <v>87</v>
      </c>
      <c r="L4" s="115" t="s">
        <v>88</v>
      </c>
      <c r="M4" s="115" t="s">
        <v>89</v>
      </c>
      <c r="N4" s="115" t="s">
        <v>102</v>
      </c>
      <c r="O4" s="115" t="s">
        <v>90</v>
      </c>
      <c r="P4" s="115" t="s">
        <v>91</v>
      </c>
      <c r="Q4" s="115" t="s">
        <v>92</v>
      </c>
      <c r="R4" s="115" t="s">
        <v>93</v>
      </c>
      <c r="S4" s="115" t="s">
        <v>94</v>
      </c>
      <c r="T4" s="114" t="s">
        <v>104</v>
      </c>
      <c r="U4" s="195"/>
    </row>
    <row r="5" spans="1:23">
      <c r="A5" s="187" t="s">
        <v>3</v>
      </c>
      <c r="B5" s="188"/>
      <c r="C5" s="188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9"/>
    </row>
    <row r="6" spans="1:23">
      <c r="A6" s="95" t="s">
        <v>107</v>
      </c>
      <c r="B6" s="95" t="s">
        <v>5</v>
      </c>
      <c r="C6" s="96">
        <v>2.5</v>
      </c>
      <c r="D6" s="96">
        <v>2.5</v>
      </c>
      <c r="E6" s="96">
        <v>2.5</v>
      </c>
      <c r="F6" s="96">
        <v>2.5</v>
      </c>
      <c r="G6" s="96">
        <v>3</v>
      </c>
      <c r="H6" s="96">
        <v>2.5</v>
      </c>
      <c r="I6" s="96">
        <v>3</v>
      </c>
      <c r="J6" s="96">
        <v>2</v>
      </c>
      <c r="K6" s="96">
        <v>3</v>
      </c>
      <c r="L6" s="96">
        <v>3</v>
      </c>
      <c r="M6" s="96">
        <v>3</v>
      </c>
      <c r="N6" s="96" t="s">
        <v>6</v>
      </c>
      <c r="O6" s="96">
        <v>2.5</v>
      </c>
      <c r="P6" s="96">
        <v>2.5</v>
      </c>
      <c r="Q6" s="96">
        <v>2.5</v>
      </c>
      <c r="R6" s="96">
        <v>3</v>
      </c>
      <c r="S6" s="96">
        <v>2.5</v>
      </c>
      <c r="T6" s="96" t="s">
        <v>6</v>
      </c>
      <c r="U6" s="237">
        <f>AVERAGE(C6:T6)</f>
        <v>2.65625</v>
      </c>
      <c r="V6" s="30"/>
    </row>
    <row r="7" spans="1:23" ht="21" customHeight="1">
      <c r="A7" s="95" t="s">
        <v>7</v>
      </c>
      <c r="B7" s="98" t="s">
        <v>8</v>
      </c>
      <c r="C7" s="96">
        <v>3</v>
      </c>
      <c r="D7" s="96">
        <v>3</v>
      </c>
      <c r="E7" s="96">
        <v>3</v>
      </c>
      <c r="F7" s="96">
        <v>3</v>
      </c>
      <c r="G7" s="96">
        <v>3</v>
      </c>
      <c r="H7" s="96">
        <v>3</v>
      </c>
      <c r="I7" s="96">
        <v>2</v>
      </c>
      <c r="J7" s="96">
        <v>3</v>
      </c>
      <c r="K7" s="96">
        <v>3</v>
      </c>
      <c r="L7" s="96">
        <v>3</v>
      </c>
      <c r="M7" s="96">
        <v>3</v>
      </c>
      <c r="N7" s="96" t="s">
        <v>6</v>
      </c>
      <c r="O7" s="96">
        <v>3</v>
      </c>
      <c r="P7" s="96">
        <v>3</v>
      </c>
      <c r="Q7" s="96">
        <v>3</v>
      </c>
      <c r="R7" s="96">
        <v>3</v>
      </c>
      <c r="S7" s="96">
        <v>2</v>
      </c>
      <c r="T7" s="96" t="s">
        <v>6</v>
      </c>
      <c r="U7" s="238">
        <f>AVERAGE(C7:T7)</f>
        <v>2.875</v>
      </c>
      <c r="V7" s="30"/>
    </row>
    <row r="8" spans="1:23">
      <c r="A8" s="95" t="s">
        <v>9</v>
      </c>
      <c r="B8" s="98" t="s">
        <v>10</v>
      </c>
      <c r="C8" s="100">
        <v>3</v>
      </c>
      <c r="D8" s="100">
        <v>3</v>
      </c>
      <c r="E8" s="100">
        <v>3</v>
      </c>
      <c r="F8" s="100">
        <v>3</v>
      </c>
      <c r="G8" s="100">
        <v>3</v>
      </c>
      <c r="H8" s="100">
        <v>3</v>
      </c>
      <c r="I8" s="100">
        <v>3</v>
      </c>
      <c r="J8" s="100">
        <v>2</v>
      </c>
      <c r="K8" s="100">
        <v>3</v>
      </c>
      <c r="L8" s="100">
        <v>3</v>
      </c>
      <c r="M8" s="100">
        <v>3</v>
      </c>
      <c r="N8" s="96" t="s">
        <v>6</v>
      </c>
      <c r="O8" s="100">
        <v>3</v>
      </c>
      <c r="P8" s="100">
        <v>2</v>
      </c>
      <c r="Q8" s="100">
        <v>3</v>
      </c>
      <c r="R8" s="100">
        <v>3</v>
      </c>
      <c r="S8" s="100">
        <v>2</v>
      </c>
      <c r="T8" s="96" t="s">
        <v>6</v>
      </c>
      <c r="U8" s="238">
        <f>AVERAGE(C8:T8)</f>
        <v>2.8125</v>
      </c>
      <c r="V8" s="30"/>
    </row>
    <row r="9" spans="1:23">
      <c r="A9" s="243" t="s">
        <v>121</v>
      </c>
      <c r="B9" s="188"/>
      <c r="C9" s="225"/>
      <c r="D9" s="225"/>
      <c r="E9" s="225"/>
      <c r="F9" s="225"/>
      <c r="G9" s="225"/>
      <c r="H9" s="225"/>
      <c r="I9" s="225"/>
      <c r="J9" s="225"/>
      <c r="K9" s="225"/>
      <c r="L9" s="225"/>
      <c r="M9" s="225"/>
      <c r="N9" s="225"/>
      <c r="O9" s="225"/>
      <c r="P9" s="225"/>
      <c r="Q9" s="225"/>
      <c r="R9" s="225"/>
      <c r="S9" s="225"/>
      <c r="T9" s="225"/>
      <c r="U9" s="226"/>
    </row>
    <row r="10" spans="1:23">
      <c r="A10" s="95" t="s">
        <v>11</v>
      </c>
      <c r="B10" s="254" t="s">
        <v>12</v>
      </c>
      <c r="C10" s="229">
        <v>3</v>
      </c>
      <c r="D10" s="229">
        <v>3</v>
      </c>
      <c r="E10" s="229">
        <v>3</v>
      </c>
      <c r="F10" s="229">
        <v>3</v>
      </c>
      <c r="G10" s="229">
        <v>3</v>
      </c>
      <c r="H10" s="229">
        <v>3</v>
      </c>
      <c r="I10" s="229">
        <v>3</v>
      </c>
      <c r="J10" s="229">
        <v>3</v>
      </c>
      <c r="K10" s="229">
        <v>3</v>
      </c>
      <c r="L10" s="229">
        <v>3</v>
      </c>
      <c r="M10" s="229">
        <v>3</v>
      </c>
      <c r="N10" s="229" t="s">
        <v>6</v>
      </c>
      <c r="O10" s="229">
        <v>3</v>
      </c>
      <c r="P10" s="229">
        <v>3</v>
      </c>
      <c r="Q10" s="229">
        <v>3</v>
      </c>
      <c r="R10" s="229">
        <v>3</v>
      </c>
      <c r="S10" s="229">
        <v>3</v>
      </c>
      <c r="T10" s="227" t="s">
        <v>6</v>
      </c>
      <c r="U10" s="239">
        <f>AVERAGE(C10:T10)</f>
        <v>3</v>
      </c>
      <c r="V10" s="30"/>
      <c r="W10" s="30"/>
    </row>
    <row r="11" spans="1:23">
      <c r="A11" s="95" t="s">
        <v>13</v>
      </c>
      <c r="B11" s="254" t="s">
        <v>14</v>
      </c>
      <c r="C11" s="229">
        <v>0</v>
      </c>
      <c r="D11" s="229">
        <v>0</v>
      </c>
      <c r="E11" s="229">
        <v>0</v>
      </c>
      <c r="F11" s="229">
        <v>0</v>
      </c>
      <c r="G11" s="229">
        <v>0</v>
      </c>
      <c r="H11" s="229">
        <v>0</v>
      </c>
      <c r="I11" s="229">
        <v>0</v>
      </c>
      <c r="J11" s="229">
        <v>0</v>
      </c>
      <c r="K11" s="229">
        <v>0</v>
      </c>
      <c r="L11" s="229">
        <v>0</v>
      </c>
      <c r="M11" s="229">
        <v>3</v>
      </c>
      <c r="N11" s="229" t="s">
        <v>6</v>
      </c>
      <c r="O11" s="229">
        <v>0</v>
      </c>
      <c r="P11" s="229">
        <v>0</v>
      </c>
      <c r="Q11" s="229">
        <v>0</v>
      </c>
      <c r="R11" s="229">
        <v>0</v>
      </c>
      <c r="S11" s="229">
        <v>0</v>
      </c>
      <c r="T11" s="227" t="s">
        <v>6</v>
      </c>
      <c r="U11" s="240">
        <f>AVERAGE(B11:S11)</f>
        <v>0.1875</v>
      </c>
      <c r="V11" s="30"/>
      <c r="W11" s="30"/>
    </row>
    <row r="12" spans="1:23" ht="22.8" customHeight="1">
      <c r="A12" s="95" t="s">
        <v>15</v>
      </c>
      <c r="B12" s="254" t="s">
        <v>16</v>
      </c>
      <c r="C12" s="229">
        <v>3</v>
      </c>
      <c r="D12" s="229">
        <v>2</v>
      </c>
      <c r="E12" s="229">
        <v>2</v>
      </c>
      <c r="F12" s="229">
        <v>2</v>
      </c>
      <c r="G12" s="229">
        <v>2</v>
      </c>
      <c r="H12" s="229">
        <v>2</v>
      </c>
      <c r="I12" s="229">
        <v>2</v>
      </c>
      <c r="J12" s="229">
        <v>2</v>
      </c>
      <c r="K12" s="229">
        <v>2</v>
      </c>
      <c r="L12" s="229">
        <v>2</v>
      </c>
      <c r="M12" s="229">
        <v>2</v>
      </c>
      <c r="N12" s="229" t="s">
        <v>6</v>
      </c>
      <c r="O12" s="229">
        <v>2</v>
      </c>
      <c r="P12" s="229">
        <v>2</v>
      </c>
      <c r="Q12" s="229">
        <v>2</v>
      </c>
      <c r="R12" s="229">
        <v>2</v>
      </c>
      <c r="S12" s="229">
        <v>2</v>
      </c>
      <c r="T12" s="227" t="s">
        <v>6</v>
      </c>
      <c r="U12" s="240">
        <f>AVERAGE(B12:S12)</f>
        <v>2.0625</v>
      </c>
      <c r="V12" s="30"/>
    </row>
    <row r="13" spans="1:23" ht="23.4" customHeight="1">
      <c r="A13" s="95" t="s">
        <v>17</v>
      </c>
      <c r="B13" s="254" t="s">
        <v>18</v>
      </c>
      <c r="C13" s="229">
        <v>2</v>
      </c>
      <c r="D13" s="229">
        <v>2</v>
      </c>
      <c r="E13" s="229">
        <v>2</v>
      </c>
      <c r="F13" s="229">
        <v>2</v>
      </c>
      <c r="G13" s="229">
        <v>2</v>
      </c>
      <c r="H13" s="229">
        <v>2</v>
      </c>
      <c r="I13" s="229">
        <v>3</v>
      </c>
      <c r="J13" s="229">
        <v>2</v>
      </c>
      <c r="K13" s="229">
        <v>2</v>
      </c>
      <c r="L13" s="229">
        <v>2</v>
      </c>
      <c r="M13" s="229">
        <v>3</v>
      </c>
      <c r="N13" s="229" t="s">
        <v>6</v>
      </c>
      <c r="O13" s="229">
        <v>2</v>
      </c>
      <c r="P13" s="229">
        <v>2</v>
      </c>
      <c r="Q13" s="229">
        <v>2</v>
      </c>
      <c r="R13" s="229">
        <v>2</v>
      </c>
      <c r="S13" s="229">
        <v>2</v>
      </c>
      <c r="T13" s="227" t="s">
        <v>6</v>
      </c>
      <c r="U13" s="240">
        <f>AVERAGE(B13:S13)</f>
        <v>2.125</v>
      </c>
      <c r="V13" s="30"/>
    </row>
    <row r="14" spans="1:23" ht="25.8" customHeight="1">
      <c r="A14" s="95" t="s">
        <v>19</v>
      </c>
      <c r="B14" s="254" t="s">
        <v>20</v>
      </c>
      <c r="C14" s="229" t="s">
        <v>6</v>
      </c>
      <c r="D14" s="229" t="s">
        <v>6</v>
      </c>
      <c r="E14" s="229" t="s">
        <v>6</v>
      </c>
      <c r="F14" s="229" t="s">
        <v>6</v>
      </c>
      <c r="G14" s="229" t="s">
        <v>6</v>
      </c>
      <c r="H14" s="229" t="s">
        <v>6</v>
      </c>
      <c r="I14" s="229" t="s">
        <v>6</v>
      </c>
      <c r="J14" s="229" t="s">
        <v>6</v>
      </c>
      <c r="K14" s="229" t="s">
        <v>6</v>
      </c>
      <c r="L14" s="229" t="s">
        <v>6</v>
      </c>
      <c r="M14" s="229" t="s">
        <v>6</v>
      </c>
      <c r="N14" s="229" t="s">
        <v>6</v>
      </c>
      <c r="O14" s="229" t="s">
        <v>6</v>
      </c>
      <c r="P14" s="229" t="s">
        <v>6</v>
      </c>
      <c r="Q14" s="229" t="s">
        <v>6</v>
      </c>
      <c r="R14" s="229" t="s">
        <v>6</v>
      </c>
      <c r="S14" s="229" t="s">
        <v>6</v>
      </c>
      <c r="T14" s="227" t="s">
        <v>6</v>
      </c>
      <c r="U14" s="241" t="s">
        <v>6</v>
      </c>
    </row>
    <row r="15" spans="1:23">
      <c r="A15" s="95" t="s">
        <v>21</v>
      </c>
      <c r="B15" s="254" t="s">
        <v>22</v>
      </c>
      <c r="C15" s="229" t="s">
        <v>6</v>
      </c>
      <c r="D15" s="229" t="s">
        <v>6</v>
      </c>
      <c r="E15" s="229" t="s">
        <v>6</v>
      </c>
      <c r="F15" s="229" t="s">
        <v>6</v>
      </c>
      <c r="G15" s="229" t="s">
        <v>6</v>
      </c>
      <c r="H15" s="229" t="s">
        <v>6</v>
      </c>
      <c r="I15" s="229" t="s">
        <v>6</v>
      </c>
      <c r="J15" s="229" t="s">
        <v>6</v>
      </c>
      <c r="K15" s="229" t="s">
        <v>6</v>
      </c>
      <c r="L15" s="229" t="s">
        <v>6</v>
      </c>
      <c r="M15" s="229" t="s">
        <v>6</v>
      </c>
      <c r="N15" s="229" t="s">
        <v>6</v>
      </c>
      <c r="O15" s="229" t="s">
        <v>6</v>
      </c>
      <c r="P15" s="229" t="s">
        <v>6</v>
      </c>
      <c r="Q15" s="229" t="s">
        <v>6</v>
      </c>
      <c r="R15" s="229" t="s">
        <v>6</v>
      </c>
      <c r="S15" s="229" t="s">
        <v>6</v>
      </c>
      <c r="T15" s="227" t="s">
        <v>6</v>
      </c>
      <c r="U15" s="241" t="s">
        <v>6</v>
      </c>
    </row>
    <row r="16" spans="1:23">
      <c r="A16" s="95" t="s">
        <v>23</v>
      </c>
      <c r="B16" s="254" t="s">
        <v>24</v>
      </c>
      <c r="C16" s="229" t="s">
        <v>6</v>
      </c>
      <c r="D16" s="229" t="s">
        <v>6</v>
      </c>
      <c r="E16" s="229" t="s">
        <v>6</v>
      </c>
      <c r="F16" s="229" t="s">
        <v>6</v>
      </c>
      <c r="G16" s="229" t="s">
        <v>6</v>
      </c>
      <c r="H16" s="229" t="s">
        <v>6</v>
      </c>
      <c r="I16" s="229" t="s">
        <v>6</v>
      </c>
      <c r="J16" s="229" t="s">
        <v>6</v>
      </c>
      <c r="K16" s="229" t="s">
        <v>6</v>
      </c>
      <c r="L16" s="229" t="s">
        <v>6</v>
      </c>
      <c r="M16" s="229" t="s">
        <v>6</v>
      </c>
      <c r="N16" s="229" t="s">
        <v>6</v>
      </c>
      <c r="O16" s="229" t="s">
        <v>6</v>
      </c>
      <c r="P16" s="229" t="s">
        <v>6</v>
      </c>
      <c r="Q16" s="229" t="s">
        <v>6</v>
      </c>
      <c r="R16" s="229" t="s">
        <v>6</v>
      </c>
      <c r="S16" s="229" t="s">
        <v>6</v>
      </c>
      <c r="T16" s="227" t="s">
        <v>6</v>
      </c>
      <c r="U16" s="241" t="s">
        <v>6</v>
      </c>
    </row>
    <row r="17" spans="1:23" ht="12.6" customHeight="1">
      <c r="A17" s="95" t="s">
        <v>25</v>
      </c>
      <c r="B17" s="254" t="s">
        <v>26</v>
      </c>
      <c r="C17" s="229">
        <v>2</v>
      </c>
      <c r="D17" s="229">
        <v>2</v>
      </c>
      <c r="E17" s="229">
        <v>2</v>
      </c>
      <c r="F17" s="229">
        <v>2</v>
      </c>
      <c r="G17" s="229">
        <v>2</v>
      </c>
      <c r="H17" s="229">
        <v>2</v>
      </c>
      <c r="I17" s="229">
        <v>2</v>
      </c>
      <c r="J17" s="229">
        <v>2</v>
      </c>
      <c r="K17" s="229">
        <v>2</v>
      </c>
      <c r="L17" s="229">
        <v>2</v>
      </c>
      <c r="M17" s="229">
        <v>3</v>
      </c>
      <c r="N17" s="229" t="s">
        <v>6</v>
      </c>
      <c r="O17" s="229">
        <v>2</v>
      </c>
      <c r="P17" s="229">
        <v>2</v>
      </c>
      <c r="Q17" s="229">
        <v>2</v>
      </c>
      <c r="R17" s="229">
        <v>2</v>
      </c>
      <c r="S17" s="229">
        <v>2</v>
      </c>
      <c r="T17" s="229" t="s">
        <v>6</v>
      </c>
      <c r="U17" s="240">
        <f>AVERAGE(B17:S17)</f>
        <v>2.0625</v>
      </c>
      <c r="V17" s="30"/>
      <c r="W17" s="30"/>
    </row>
    <row r="18" spans="1:23" ht="12.6" customHeight="1">
      <c r="A18" s="200" t="s">
        <v>27</v>
      </c>
      <c r="B18" s="201"/>
      <c r="C18" s="230"/>
      <c r="D18" s="230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  <c r="Q18" s="230"/>
      <c r="R18" s="230"/>
      <c r="S18" s="230"/>
      <c r="T18" s="230"/>
      <c r="U18" s="231"/>
    </row>
    <row r="19" spans="1:23">
      <c r="A19" s="95" t="s">
        <v>28</v>
      </c>
      <c r="B19" s="98" t="s">
        <v>29</v>
      </c>
      <c r="C19" s="101">
        <v>3</v>
      </c>
      <c r="D19" s="101">
        <v>2</v>
      </c>
      <c r="E19" s="101">
        <v>3</v>
      </c>
      <c r="F19" s="101">
        <v>2</v>
      </c>
      <c r="G19" s="101">
        <v>2</v>
      </c>
      <c r="H19" s="101">
        <v>2</v>
      </c>
      <c r="I19" s="101">
        <v>3</v>
      </c>
      <c r="J19" s="101">
        <v>2</v>
      </c>
      <c r="K19" s="101">
        <v>2</v>
      </c>
      <c r="L19" s="101">
        <v>3</v>
      </c>
      <c r="M19" s="101">
        <v>3</v>
      </c>
      <c r="N19" s="101" t="s">
        <v>6</v>
      </c>
      <c r="O19" s="101">
        <v>3</v>
      </c>
      <c r="P19" s="101">
        <v>2</v>
      </c>
      <c r="Q19" s="101">
        <v>3</v>
      </c>
      <c r="R19" s="101">
        <v>3</v>
      </c>
      <c r="S19" s="101">
        <v>3</v>
      </c>
      <c r="T19" s="101" t="s">
        <v>6</v>
      </c>
      <c r="U19" s="99">
        <f>AVERAGE(C19:T19)</f>
        <v>2.5625</v>
      </c>
      <c r="V19" s="30"/>
    </row>
    <row r="20" spans="1:23">
      <c r="A20" s="187" t="s">
        <v>30</v>
      </c>
      <c r="B20" s="188"/>
      <c r="C20" s="188"/>
      <c r="D20" s="188"/>
      <c r="E20" s="188"/>
      <c r="F20" s="188"/>
      <c r="G20" s="188"/>
      <c r="H20" s="188"/>
      <c r="I20" s="188"/>
      <c r="J20" s="188"/>
      <c r="K20" s="188"/>
      <c r="L20" s="188"/>
      <c r="M20" s="188"/>
      <c r="N20" s="188"/>
      <c r="O20" s="188"/>
      <c r="P20" s="188"/>
      <c r="Q20" s="188"/>
      <c r="R20" s="188"/>
      <c r="S20" s="188"/>
      <c r="T20" s="188"/>
      <c r="U20" s="189"/>
    </row>
    <row r="21" spans="1:23">
      <c r="A21" s="95" t="s">
        <v>31</v>
      </c>
      <c r="B21" s="98" t="s">
        <v>32</v>
      </c>
      <c r="C21" s="101">
        <v>3</v>
      </c>
      <c r="D21" s="101">
        <v>3</v>
      </c>
      <c r="E21" s="101">
        <v>3</v>
      </c>
      <c r="F21" s="101">
        <v>3</v>
      </c>
      <c r="G21" s="101">
        <v>3</v>
      </c>
      <c r="H21" s="101">
        <v>3</v>
      </c>
      <c r="I21" s="101">
        <v>2</v>
      </c>
      <c r="J21" s="101">
        <v>2</v>
      </c>
      <c r="K21" s="101">
        <v>3</v>
      </c>
      <c r="L21" s="101">
        <v>3</v>
      </c>
      <c r="M21" s="101">
        <v>3</v>
      </c>
      <c r="N21" s="101" t="s">
        <v>6</v>
      </c>
      <c r="O21" s="101">
        <v>2</v>
      </c>
      <c r="P21" s="101">
        <v>2</v>
      </c>
      <c r="Q21" s="101">
        <v>3</v>
      </c>
      <c r="R21" s="101">
        <v>3</v>
      </c>
      <c r="S21" s="101">
        <v>2</v>
      </c>
      <c r="T21" s="101" t="s">
        <v>6</v>
      </c>
      <c r="U21" s="247">
        <f>AVERAGE(C21:T21)</f>
        <v>2.6875</v>
      </c>
      <c r="V21" s="30"/>
    </row>
    <row r="22" spans="1:23">
      <c r="A22" s="244" t="s">
        <v>33</v>
      </c>
      <c r="B22" s="245" t="s">
        <v>34</v>
      </c>
      <c r="C22" s="246">
        <v>3</v>
      </c>
      <c r="D22" s="246">
        <v>3</v>
      </c>
      <c r="E22" s="246">
        <v>3</v>
      </c>
      <c r="F22" s="246">
        <v>3</v>
      </c>
      <c r="G22" s="246">
        <v>3</v>
      </c>
      <c r="H22" s="246">
        <v>3</v>
      </c>
      <c r="I22" s="246">
        <v>3</v>
      </c>
      <c r="J22" s="246">
        <v>3</v>
      </c>
      <c r="K22" s="246">
        <v>3</v>
      </c>
      <c r="L22" s="246">
        <v>3</v>
      </c>
      <c r="M22" s="246">
        <v>3</v>
      </c>
      <c r="N22" s="246" t="s">
        <v>6</v>
      </c>
      <c r="O22" s="246">
        <v>2</v>
      </c>
      <c r="P22" s="246">
        <v>3</v>
      </c>
      <c r="Q22" s="246">
        <v>2</v>
      </c>
      <c r="R22" s="246">
        <v>3</v>
      </c>
      <c r="S22" s="246">
        <v>3</v>
      </c>
      <c r="T22" s="255" t="s">
        <v>6</v>
      </c>
      <c r="U22" s="228">
        <f>AVERAGE(C22:T22)</f>
        <v>2.875</v>
      </c>
      <c r="V22" s="248"/>
      <c r="W22" s="249"/>
    </row>
    <row r="23" spans="1:23">
      <c r="A23" s="251" t="s">
        <v>35</v>
      </c>
      <c r="B23" s="252"/>
      <c r="C23" s="252"/>
      <c r="D23" s="252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3"/>
      <c r="V23" s="250"/>
      <c r="W23" s="250"/>
    </row>
    <row r="24" spans="1:23">
      <c r="A24" s="95" t="s">
        <v>36</v>
      </c>
      <c r="B24" s="95" t="s">
        <v>37</v>
      </c>
      <c r="C24" s="96">
        <v>3</v>
      </c>
      <c r="D24" s="96">
        <v>2</v>
      </c>
      <c r="E24" s="96">
        <v>3</v>
      </c>
      <c r="F24" s="96">
        <v>3</v>
      </c>
      <c r="G24" s="96">
        <v>3</v>
      </c>
      <c r="H24" s="96">
        <v>3</v>
      </c>
      <c r="I24" s="96">
        <v>3</v>
      </c>
      <c r="J24" s="96">
        <v>3</v>
      </c>
      <c r="K24" s="96">
        <v>3</v>
      </c>
      <c r="L24" s="96">
        <v>3</v>
      </c>
      <c r="M24" s="96">
        <v>3</v>
      </c>
      <c r="N24" s="96" t="s">
        <v>6</v>
      </c>
      <c r="O24" s="96">
        <v>2</v>
      </c>
      <c r="P24" s="96">
        <v>3</v>
      </c>
      <c r="Q24" s="96">
        <v>3</v>
      </c>
      <c r="R24" s="96">
        <v>3</v>
      </c>
      <c r="S24" s="96">
        <v>2</v>
      </c>
      <c r="T24" s="256" t="s">
        <v>6</v>
      </c>
      <c r="U24" s="228">
        <f>AVERAGE(C24:T24)</f>
        <v>2.8125</v>
      </c>
      <c r="V24" s="248"/>
      <c r="W24" s="249"/>
    </row>
    <row r="25" spans="1:23">
      <c r="A25" s="200" t="s">
        <v>38</v>
      </c>
      <c r="B25" s="201"/>
      <c r="C25" s="201"/>
      <c r="D25" s="201"/>
      <c r="E25" s="201"/>
      <c r="F25" s="201"/>
      <c r="G25" s="201"/>
      <c r="H25" s="201"/>
      <c r="I25" s="201"/>
      <c r="J25" s="201"/>
      <c r="K25" s="201"/>
      <c r="L25" s="201"/>
      <c r="M25" s="201"/>
      <c r="N25" s="201"/>
      <c r="O25" s="201"/>
      <c r="P25" s="201"/>
      <c r="Q25" s="201"/>
      <c r="R25" s="201"/>
      <c r="S25" s="201"/>
      <c r="T25" s="201"/>
      <c r="U25" s="231"/>
    </row>
    <row r="26" spans="1:23" ht="26.4">
      <c r="A26" s="95" t="s">
        <v>39</v>
      </c>
      <c r="B26" s="98" t="s">
        <v>40</v>
      </c>
      <c r="C26" s="101">
        <v>3</v>
      </c>
      <c r="D26" s="101">
        <v>3</v>
      </c>
      <c r="E26" s="101">
        <v>3</v>
      </c>
      <c r="F26" s="101">
        <v>3</v>
      </c>
      <c r="G26" s="101">
        <v>2</v>
      </c>
      <c r="H26" s="101">
        <v>2</v>
      </c>
      <c r="I26" s="101">
        <v>3</v>
      </c>
      <c r="J26" s="101">
        <v>2</v>
      </c>
      <c r="K26" s="101">
        <v>3</v>
      </c>
      <c r="L26" s="101">
        <v>3</v>
      </c>
      <c r="M26" s="101">
        <v>3</v>
      </c>
      <c r="N26" s="101" t="s">
        <v>6</v>
      </c>
      <c r="O26" s="101">
        <v>3</v>
      </c>
      <c r="P26" s="101">
        <v>3</v>
      </c>
      <c r="Q26" s="101">
        <v>3</v>
      </c>
      <c r="R26" s="101">
        <v>3</v>
      </c>
      <c r="S26" s="101">
        <v>2</v>
      </c>
      <c r="T26" s="101" t="s">
        <v>6</v>
      </c>
      <c r="U26" s="99">
        <f>AVERAGE(C26:T26)</f>
        <v>2.75</v>
      </c>
      <c r="V26" s="30"/>
    </row>
    <row r="27" spans="1:23">
      <c r="A27" s="95" t="s">
        <v>41</v>
      </c>
      <c r="B27" s="98" t="s">
        <v>42</v>
      </c>
      <c r="C27" s="101">
        <v>3</v>
      </c>
      <c r="D27" s="101">
        <v>3</v>
      </c>
      <c r="E27" s="101">
        <v>3</v>
      </c>
      <c r="F27" s="101">
        <v>2</v>
      </c>
      <c r="G27" s="101">
        <v>3</v>
      </c>
      <c r="H27" s="101">
        <v>2</v>
      </c>
      <c r="I27" s="101">
        <v>3</v>
      </c>
      <c r="J27" s="101">
        <v>3</v>
      </c>
      <c r="K27" s="101">
        <v>3</v>
      </c>
      <c r="L27" s="101">
        <v>3</v>
      </c>
      <c r="M27" s="101">
        <v>3</v>
      </c>
      <c r="N27" s="101" t="s">
        <v>6</v>
      </c>
      <c r="O27" s="101">
        <v>2</v>
      </c>
      <c r="P27" s="101">
        <v>2</v>
      </c>
      <c r="Q27" s="101">
        <v>3</v>
      </c>
      <c r="R27" s="101">
        <v>3</v>
      </c>
      <c r="S27" s="101">
        <v>3</v>
      </c>
      <c r="T27" s="101" t="s">
        <v>6</v>
      </c>
      <c r="U27" s="99">
        <f>AVERAGE(C27:T27)</f>
        <v>2.75</v>
      </c>
      <c r="V27" s="30"/>
    </row>
    <row r="28" spans="1:23">
      <c r="A28" s="95" t="s">
        <v>43</v>
      </c>
      <c r="B28" s="98" t="s">
        <v>44</v>
      </c>
      <c r="C28" s="101">
        <v>3</v>
      </c>
      <c r="D28" s="101">
        <v>3</v>
      </c>
      <c r="E28" s="101">
        <v>3</v>
      </c>
      <c r="F28" s="101">
        <v>3</v>
      </c>
      <c r="G28" s="101">
        <v>3</v>
      </c>
      <c r="H28" s="101">
        <v>3</v>
      </c>
      <c r="I28" s="101">
        <v>3</v>
      </c>
      <c r="J28" s="101">
        <v>2</v>
      </c>
      <c r="K28" s="101">
        <v>3</v>
      </c>
      <c r="L28" s="101">
        <v>3</v>
      </c>
      <c r="M28" s="101">
        <v>3</v>
      </c>
      <c r="N28" s="101" t="s">
        <v>6</v>
      </c>
      <c r="O28" s="101">
        <v>2</v>
      </c>
      <c r="P28" s="101">
        <v>2</v>
      </c>
      <c r="Q28" s="101">
        <v>3</v>
      </c>
      <c r="R28" s="101">
        <v>3</v>
      </c>
      <c r="S28" s="101">
        <v>3</v>
      </c>
      <c r="T28" s="101" t="s">
        <v>6</v>
      </c>
      <c r="U28" s="99">
        <f>AVERAGE(C28:T28)</f>
        <v>2.8125</v>
      </c>
      <c r="V28" s="30"/>
    </row>
    <row r="29" spans="1:23">
      <c r="A29" s="200" t="s">
        <v>45</v>
      </c>
      <c r="B29" s="201"/>
      <c r="C29" s="201"/>
      <c r="D29" s="201"/>
      <c r="E29" s="201"/>
      <c r="F29" s="201"/>
      <c r="G29" s="201"/>
      <c r="H29" s="201"/>
      <c r="I29" s="201"/>
      <c r="J29" s="201"/>
      <c r="K29" s="201"/>
      <c r="L29" s="201"/>
      <c r="M29" s="201"/>
      <c r="N29" s="201"/>
      <c r="O29" s="201"/>
      <c r="P29" s="201"/>
      <c r="Q29" s="201"/>
      <c r="R29" s="201"/>
      <c r="S29" s="201"/>
      <c r="T29" s="201"/>
      <c r="U29" s="202"/>
    </row>
    <row r="30" spans="1:23" ht="26.4">
      <c r="A30" s="95" t="s">
        <v>46</v>
      </c>
      <c r="B30" s="98" t="s">
        <v>47</v>
      </c>
      <c r="C30" s="100">
        <v>3</v>
      </c>
      <c r="D30" s="100">
        <v>2</v>
      </c>
      <c r="E30" s="100">
        <v>2</v>
      </c>
      <c r="F30" s="100">
        <v>2</v>
      </c>
      <c r="G30" s="100">
        <v>2</v>
      </c>
      <c r="H30" s="100">
        <v>0</v>
      </c>
      <c r="I30" s="100">
        <v>2</v>
      </c>
      <c r="J30" s="100">
        <v>2</v>
      </c>
      <c r="K30" s="100">
        <v>2</v>
      </c>
      <c r="L30" s="100">
        <v>3</v>
      </c>
      <c r="M30" s="100">
        <v>2</v>
      </c>
      <c r="N30" s="100" t="s">
        <v>6</v>
      </c>
      <c r="O30" s="100">
        <v>3</v>
      </c>
      <c r="P30" s="100">
        <v>2</v>
      </c>
      <c r="Q30" s="100">
        <v>3</v>
      </c>
      <c r="R30" s="100">
        <v>3</v>
      </c>
      <c r="S30" s="100">
        <v>2</v>
      </c>
      <c r="T30" s="100" t="s">
        <v>6</v>
      </c>
      <c r="U30" s="99">
        <f>AVERAGE(C30:T30)</f>
        <v>2.1875</v>
      </c>
      <c r="V30" s="30"/>
    </row>
    <row r="31" spans="1:23">
      <c r="A31" s="187" t="s">
        <v>48</v>
      </c>
      <c r="B31" s="188"/>
      <c r="C31" s="188"/>
      <c r="D31" s="188"/>
      <c r="E31" s="188"/>
      <c r="F31" s="188"/>
      <c r="G31" s="188"/>
      <c r="H31" s="188"/>
      <c r="I31" s="188"/>
      <c r="J31" s="188"/>
      <c r="K31" s="188"/>
      <c r="L31" s="188"/>
      <c r="M31" s="188"/>
      <c r="N31" s="188"/>
      <c r="O31" s="188"/>
      <c r="P31" s="188"/>
      <c r="Q31" s="188"/>
      <c r="R31" s="188"/>
      <c r="S31" s="188"/>
      <c r="T31" s="188"/>
      <c r="U31" s="189"/>
    </row>
    <row r="32" spans="1:23">
      <c r="A32" s="95" t="s">
        <v>49</v>
      </c>
      <c r="B32" s="98" t="s">
        <v>50</v>
      </c>
      <c r="C32" s="101">
        <v>3</v>
      </c>
      <c r="D32" s="101">
        <v>3</v>
      </c>
      <c r="E32" s="101">
        <v>1</v>
      </c>
      <c r="F32" s="101">
        <v>3</v>
      </c>
      <c r="G32" s="101">
        <v>3</v>
      </c>
      <c r="H32" s="101">
        <v>3</v>
      </c>
      <c r="I32" s="101">
        <v>3</v>
      </c>
      <c r="J32" s="101">
        <v>3</v>
      </c>
      <c r="K32" s="101">
        <v>3</v>
      </c>
      <c r="L32" s="101">
        <v>3</v>
      </c>
      <c r="M32" s="101">
        <v>3</v>
      </c>
      <c r="N32" s="101" t="s">
        <v>6</v>
      </c>
      <c r="O32" s="101">
        <v>3</v>
      </c>
      <c r="P32" s="101">
        <v>3</v>
      </c>
      <c r="Q32" s="101">
        <v>1</v>
      </c>
      <c r="R32" s="101">
        <v>3</v>
      </c>
      <c r="S32" s="101">
        <v>3</v>
      </c>
      <c r="T32" s="101" t="s">
        <v>6</v>
      </c>
      <c r="U32" s="99">
        <f>AVERAGE(C32:T32)</f>
        <v>2.75</v>
      </c>
      <c r="V32" s="30"/>
    </row>
    <row r="33" spans="1:22">
      <c r="A33" s="187" t="s">
        <v>51</v>
      </c>
      <c r="B33" s="188"/>
      <c r="C33" s="188"/>
      <c r="D33" s="188"/>
      <c r="E33" s="188"/>
      <c r="F33" s="188"/>
      <c r="G33" s="188"/>
      <c r="H33" s="188"/>
      <c r="I33" s="188"/>
      <c r="J33" s="188"/>
      <c r="K33" s="188"/>
      <c r="L33" s="188"/>
      <c r="M33" s="188"/>
      <c r="N33" s="188"/>
      <c r="O33" s="188"/>
      <c r="P33" s="188"/>
      <c r="Q33" s="188"/>
      <c r="R33" s="188"/>
      <c r="S33" s="188"/>
      <c r="T33" s="188"/>
      <c r="U33" s="189"/>
    </row>
    <row r="34" spans="1:22">
      <c r="A34" s="95" t="s">
        <v>52</v>
      </c>
      <c r="B34" s="98" t="s">
        <v>78</v>
      </c>
      <c r="C34" s="100">
        <v>3</v>
      </c>
      <c r="D34" s="100">
        <v>2.5</v>
      </c>
      <c r="E34" s="100">
        <v>3</v>
      </c>
      <c r="F34" s="100">
        <v>3</v>
      </c>
      <c r="G34" s="100">
        <v>2</v>
      </c>
      <c r="H34" s="100">
        <v>3</v>
      </c>
      <c r="I34" s="100">
        <v>2</v>
      </c>
      <c r="J34" s="100">
        <v>2</v>
      </c>
      <c r="K34" s="100">
        <v>3</v>
      </c>
      <c r="L34" s="100">
        <v>2.5</v>
      </c>
      <c r="M34" s="100">
        <v>3</v>
      </c>
      <c r="N34" s="100" t="s">
        <v>6</v>
      </c>
      <c r="O34" s="100">
        <v>2</v>
      </c>
      <c r="P34" s="100">
        <v>1</v>
      </c>
      <c r="Q34" s="100">
        <v>2.5</v>
      </c>
      <c r="R34" s="100">
        <v>3</v>
      </c>
      <c r="S34" s="100">
        <v>2</v>
      </c>
      <c r="T34" s="100" t="s">
        <v>6</v>
      </c>
      <c r="U34" s="105">
        <f>AVERAGE(C34:T34)</f>
        <v>2.46875</v>
      </c>
    </row>
    <row r="35" spans="1:22">
      <c r="A35" s="187" t="s">
        <v>54</v>
      </c>
      <c r="B35" s="188"/>
      <c r="C35" s="188"/>
      <c r="D35" s="188"/>
      <c r="E35" s="188"/>
      <c r="F35" s="188"/>
      <c r="G35" s="188"/>
      <c r="H35" s="188"/>
      <c r="I35" s="188"/>
      <c r="J35" s="188"/>
      <c r="K35" s="188"/>
      <c r="L35" s="188"/>
      <c r="M35" s="188"/>
      <c r="N35" s="188"/>
      <c r="O35" s="188"/>
      <c r="P35" s="188"/>
      <c r="Q35" s="188"/>
      <c r="R35" s="188"/>
      <c r="S35" s="188"/>
      <c r="T35" s="188"/>
      <c r="U35" s="189"/>
    </row>
    <row r="36" spans="1:22">
      <c r="A36" s="95" t="s">
        <v>55</v>
      </c>
      <c r="B36" s="98" t="s">
        <v>56</v>
      </c>
      <c r="C36" s="101" t="s">
        <v>6</v>
      </c>
      <c r="D36" s="101" t="s">
        <v>6</v>
      </c>
      <c r="E36" s="101" t="s">
        <v>6</v>
      </c>
      <c r="F36" s="101" t="s">
        <v>6</v>
      </c>
      <c r="G36" s="101" t="s">
        <v>6</v>
      </c>
      <c r="H36" s="101" t="s">
        <v>6</v>
      </c>
      <c r="I36" s="101" t="s">
        <v>6</v>
      </c>
      <c r="J36" s="101" t="s">
        <v>6</v>
      </c>
      <c r="K36" s="101" t="s">
        <v>6</v>
      </c>
      <c r="L36" s="101" t="s">
        <v>6</v>
      </c>
      <c r="M36" s="101" t="s">
        <v>6</v>
      </c>
      <c r="N36" s="101" t="s">
        <v>6</v>
      </c>
      <c r="O36" s="101" t="s">
        <v>6</v>
      </c>
      <c r="P36" s="101" t="s">
        <v>6</v>
      </c>
      <c r="Q36" s="101" t="s">
        <v>6</v>
      </c>
      <c r="R36" s="101" t="s">
        <v>6</v>
      </c>
      <c r="S36" s="101" t="s">
        <v>6</v>
      </c>
      <c r="T36" s="101" t="s">
        <v>6</v>
      </c>
      <c r="U36" s="242" t="s">
        <v>6</v>
      </c>
    </row>
    <row r="37" spans="1:22">
      <c r="A37" s="95" t="s">
        <v>57</v>
      </c>
      <c r="B37" s="98" t="s">
        <v>58</v>
      </c>
      <c r="C37" s="101" t="s">
        <v>6</v>
      </c>
      <c r="D37" s="101" t="s">
        <v>6</v>
      </c>
      <c r="E37" s="101" t="s">
        <v>6</v>
      </c>
      <c r="F37" s="101" t="s">
        <v>6</v>
      </c>
      <c r="G37" s="101" t="s">
        <v>6</v>
      </c>
      <c r="H37" s="101" t="s">
        <v>6</v>
      </c>
      <c r="I37" s="101" t="s">
        <v>6</v>
      </c>
      <c r="J37" s="101" t="s">
        <v>6</v>
      </c>
      <c r="K37" s="101" t="s">
        <v>6</v>
      </c>
      <c r="L37" s="101" t="s">
        <v>6</v>
      </c>
      <c r="M37" s="101" t="s">
        <v>6</v>
      </c>
      <c r="N37" s="101" t="s">
        <v>6</v>
      </c>
      <c r="O37" s="101" t="s">
        <v>6</v>
      </c>
      <c r="P37" s="101" t="s">
        <v>6</v>
      </c>
      <c r="Q37" s="101" t="s">
        <v>6</v>
      </c>
      <c r="R37" s="101" t="s">
        <v>6</v>
      </c>
      <c r="S37" s="101" t="s">
        <v>6</v>
      </c>
      <c r="T37" s="101" t="s">
        <v>6</v>
      </c>
      <c r="U37" s="242" t="s">
        <v>6</v>
      </c>
    </row>
    <row r="38" spans="1:22">
      <c r="A38" s="187" t="s">
        <v>59</v>
      </c>
      <c r="B38" s="188"/>
      <c r="C38" s="188"/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8"/>
      <c r="P38" s="188"/>
      <c r="Q38" s="188"/>
      <c r="R38" s="188"/>
      <c r="S38" s="188"/>
      <c r="T38" s="188"/>
      <c r="U38" s="189"/>
    </row>
    <row r="39" spans="1:22">
      <c r="A39" s="95" t="s">
        <v>60</v>
      </c>
      <c r="B39" s="98" t="s">
        <v>61</v>
      </c>
      <c r="C39" s="100">
        <v>3</v>
      </c>
      <c r="D39" s="100">
        <v>3</v>
      </c>
      <c r="E39" s="100">
        <v>2</v>
      </c>
      <c r="F39" s="100">
        <v>3</v>
      </c>
      <c r="G39" s="100">
        <v>2</v>
      </c>
      <c r="H39" s="100">
        <v>3</v>
      </c>
      <c r="I39" s="100">
        <v>3</v>
      </c>
      <c r="J39" s="100">
        <v>2</v>
      </c>
      <c r="K39" s="100">
        <v>2</v>
      </c>
      <c r="L39" s="100">
        <v>2</v>
      </c>
      <c r="M39" s="100">
        <v>2</v>
      </c>
      <c r="N39" s="100" t="s">
        <v>6</v>
      </c>
      <c r="O39" s="100">
        <v>3</v>
      </c>
      <c r="P39" s="100">
        <v>3</v>
      </c>
      <c r="Q39" s="100">
        <v>2</v>
      </c>
      <c r="R39" s="100">
        <v>3</v>
      </c>
      <c r="S39" s="100">
        <v>3</v>
      </c>
      <c r="T39" s="100" t="s">
        <v>6</v>
      </c>
      <c r="U39" s="99">
        <f>AVERAGE(C39:T39)</f>
        <v>2.5625</v>
      </c>
      <c r="V39" s="30"/>
    </row>
    <row r="40" spans="1:22">
      <c r="A40" s="95" t="s">
        <v>62</v>
      </c>
      <c r="B40" s="98" t="s">
        <v>63</v>
      </c>
      <c r="C40" s="100">
        <v>3</v>
      </c>
      <c r="D40" s="100">
        <v>3</v>
      </c>
      <c r="E40" s="100">
        <v>3</v>
      </c>
      <c r="F40" s="100">
        <v>3</v>
      </c>
      <c r="G40" s="100">
        <v>3</v>
      </c>
      <c r="H40" s="100">
        <v>3</v>
      </c>
      <c r="I40" s="100">
        <v>3</v>
      </c>
      <c r="J40" s="100">
        <v>3</v>
      </c>
      <c r="K40" s="100">
        <v>3</v>
      </c>
      <c r="L40" s="100">
        <v>3</v>
      </c>
      <c r="M40" s="100">
        <v>3</v>
      </c>
      <c r="N40" s="100" t="s">
        <v>6</v>
      </c>
      <c r="O40" s="100">
        <v>3</v>
      </c>
      <c r="P40" s="100">
        <v>3</v>
      </c>
      <c r="Q40" s="100">
        <v>3</v>
      </c>
      <c r="R40" s="100">
        <v>3</v>
      </c>
      <c r="S40" s="100">
        <v>3</v>
      </c>
      <c r="T40" s="100" t="s">
        <v>6</v>
      </c>
      <c r="U40" s="99">
        <f>AVERAGE(C40:T40)</f>
        <v>3</v>
      </c>
      <c r="V40" s="30"/>
    </row>
    <row r="41" spans="1:22">
      <c r="A41" s="187" t="s">
        <v>64</v>
      </c>
      <c r="B41" s="188"/>
      <c r="C41" s="188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188"/>
      <c r="Q41" s="188"/>
      <c r="R41" s="188"/>
      <c r="S41" s="188"/>
      <c r="T41" s="188"/>
      <c r="U41" s="189"/>
    </row>
    <row r="42" spans="1:22">
      <c r="A42" s="95" t="s">
        <v>65</v>
      </c>
      <c r="B42" s="98" t="s">
        <v>66</v>
      </c>
      <c r="C42" s="101" t="s">
        <v>6</v>
      </c>
      <c r="D42" s="101" t="s">
        <v>6</v>
      </c>
      <c r="E42" s="101" t="s">
        <v>6</v>
      </c>
      <c r="F42" s="101" t="s">
        <v>6</v>
      </c>
      <c r="G42" s="101" t="s">
        <v>6</v>
      </c>
      <c r="H42" s="101" t="s">
        <v>6</v>
      </c>
      <c r="I42" s="101" t="s">
        <v>6</v>
      </c>
      <c r="J42" s="101" t="s">
        <v>6</v>
      </c>
      <c r="K42" s="101" t="s">
        <v>6</v>
      </c>
      <c r="L42" s="101" t="s">
        <v>6</v>
      </c>
      <c r="M42" s="101" t="s">
        <v>6</v>
      </c>
      <c r="N42" s="101" t="s">
        <v>6</v>
      </c>
      <c r="O42" s="101" t="s">
        <v>6</v>
      </c>
      <c r="P42" s="101" t="s">
        <v>6</v>
      </c>
      <c r="Q42" s="101" t="s">
        <v>6</v>
      </c>
      <c r="R42" s="101" t="s">
        <v>6</v>
      </c>
      <c r="S42" s="101" t="s">
        <v>6</v>
      </c>
      <c r="T42" s="101" t="s">
        <v>6</v>
      </c>
      <c r="U42" s="242" t="s">
        <v>6</v>
      </c>
    </row>
    <row r="43" spans="1:22">
      <c r="A43" s="190"/>
      <c r="B43" s="192"/>
      <c r="C43" s="232">
        <f t="shared" ref="C43:M43" si="0">AVERAGE(C6:C42)</f>
        <v>2.7250000000000001</v>
      </c>
      <c r="D43" s="233">
        <f t="shared" si="0"/>
        <v>2.5</v>
      </c>
      <c r="E43" s="234">
        <f t="shared" si="0"/>
        <v>2.4750000000000001</v>
      </c>
      <c r="F43" s="234">
        <f t="shared" si="0"/>
        <v>2.5249999999999999</v>
      </c>
      <c r="G43" s="234">
        <f t="shared" si="0"/>
        <v>2.4500000000000002</v>
      </c>
      <c r="H43" s="234">
        <f t="shared" si="0"/>
        <v>2.375</v>
      </c>
      <c r="I43" s="234">
        <f t="shared" si="0"/>
        <v>2.5499999999999998</v>
      </c>
      <c r="J43" s="234">
        <f t="shared" si="0"/>
        <v>2.25</v>
      </c>
      <c r="K43" s="234">
        <f t="shared" si="0"/>
        <v>2.5499999999999998</v>
      </c>
      <c r="L43" s="235">
        <f t="shared" si="0"/>
        <v>2.625</v>
      </c>
      <c r="M43" s="232">
        <f t="shared" si="0"/>
        <v>2.85</v>
      </c>
      <c r="N43" s="236" t="s">
        <v>6</v>
      </c>
      <c r="O43" s="234">
        <f t="shared" ref="O43:S43" si="1">AVERAGE(O6:O42)</f>
        <v>2.375</v>
      </c>
      <c r="P43" s="235">
        <f t="shared" si="1"/>
        <v>2.2749999999999999</v>
      </c>
      <c r="Q43" s="234">
        <f t="shared" si="1"/>
        <v>2.4500000000000002</v>
      </c>
      <c r="R43" s="232">
        <f t="shared" si="1"/>
        <v>2.7</v>
      </c>
      <c r="S43" s="234">
        <f t="shared" si="1"/>
        <v>2.3250000000000002</v>
      </c>
      <c r="T43" s="234" t="s">
        <v>6</v>
      </c>
      <c r="U43" s="234">
        <f>AVERAGE(C43:T43)</f>
        <v>2.5000000000000009</v>
      </c>
    </row>
    <row r="44" spans="1:22">
      <c r="A44" s="109"/>
      <c r="B44" s="109"/>
      <c r="C44" s="110"/>
      <c r="D44" s="110"/>
      <c r="E44" s="110"/>
      <c r="F44" s="110"/>
      <c r="G44" s="110"/>
      <c r="H44" s="110"/>
      <c r="I44" s="111"/>
      <c r="J44" s="110"/>
      <c r="K44" s="110"/>
      <c r="L44" s="110"/>
      <c r="M44" s="110"/>
      <c r="N44" s="110"/>
      <c r="O44" s="111"/>
      <c r="P44" s="110"/>
      <c r="Q44" s="110"/>
      <c r="R44" s="110"/>
      <c r="S44" s="110"/>
      <c r="T44" s="110"/>
      <c r="U44" s="111"/>
    </row>
    <row r="45" spans="1:22">
      <c r="A45" s="203" t="s">
        <v>120</v>
      </c>
      <c r="B45" s="204"/>
      <c r="C45" s="204"/>
      <c r="D45" s="204"/>
      <c r="E45" s="204"/>
      <c r="F45" s="204"/>
      <c r="G45" s="204"/>
      <c r="H45" s="204"/>
      <c r="I45" s="204"/>
      <c r="J45" s="204"/>
      <c r="K45" s="204"/>
      <c r="L45" s="204"/>
      <c r="M45" s="204"/>
      <c r="N45" s="205"/>
      <c r="O45" s="112"/>
      <c r="P45" s="112"/>
      <c r="Q45" s="112"/>
      <c r="R45" s="112"/>
      <c r="S45" s="112"/>
      <c r="T45" s="112"/>
      <c r="U45" s="112"/>
    </row>
    <row r="46" spans="1:22">
      <c r="A46" s="206" t="s">
        <v>98</v>
      </c>
      <c r="B46" s="207"/>
      <c r="C46" s="207"/>
      <c r="D46" s="207"/>
      <c r="E46" s="207"/>
      <c r="F46" s="208"/>
      <c r="G46" s="190" t="s">
        <v>109</v>
      </c>
      <c r="H46" s="191"/>
      <c r="I46" s="191"/>
      <c r="J46" s="191"/>
      <c r="K46" s="191"/>
      <c r="L46" s="191"/>
      <c r="M46" s="191"/>
      <c r="N46" s="192"/>
      <c r="O46" s="112"/>
      <c r="P46" s="112"/>
      <c r="Q46" s="112"/>
      <c r="R46" s="112"/>
      <c r="S46" s="112"/>
      <c r="T46" s="112"/>
      <c r="U46" s="112"/>
    </row>
    <row r="47" spans="1:22">
      <c r="A47" s="203" t="s">
        <v>67</v>
      </c>
      <c r="B47" s="205"/>
      <c r="C47" s="190" t="s">
        <v>68</v>
      </c>
      <c r="D47" s="191"/>
      <c r="E47" s="191"/>
      <c r="F47" s="192"/>
      <c r="G47" s="190" t="s">
        <v>69</v>
      </c>
      <c r="H47" s="191"/>
      <c r="I47" s="191"/>
      <c r="J47" s="192"/>
      <c r="K47" s="190" t="s">
        <v>70</v>
      </c>
      <c r="L47" s="191"/>
      <c r="M47" s="191"/>
      <c r="N47" s="192"/>
      <c r="O47" s="112"/>
      <c r="P47" s="112"/>
      <c r="Q47" s="112"/>
      <c r="R47" s="112"/>
      <c r="S47" s="112"/>
      <c r="T47" s="112"/>
      <c r="U47" s="112"/>
    </row>
    <row r="48" spans="1:22">
      <c r="A48" s="209" t="s">
        <v>71</v>
      </c>
      <c r="B48" s="210"/>
      <c r="C48" s="213" t="s">
        <v>89</v>
      </c>
      <c r="D48" s="214"/>
      <c r="E48" s="214"/>
      <c r="F48" s="215"/>
      <c r="G48" s="213" t="s">
        <v>79</v>
      </c>
      <c r="H48" s="214"/>
      <c r="I48" s="214"/>
      <c r="J48" s="215"/>
      <c r="K48" s="213" t="s">
        <v>93</v>
      </c>
      <c r="L48" s="214"/>
      <c r="M48" s="214"/>
      <c r="N48" s="215"/>
      <c r="O48" s="112"/>
      <c r="P48" s="112"/>
      <c r="Q48" s="112"/>
      <c r="R48" s="112"/>
      <c r="S48" s="112"/>
      <c r="T48" s="112"/>
      <c r="U48" s="112"/>
    </row>
    <row r="49" spans="1:21">
      <c r="A49" s="211"/>
      <c r="B49" s="212"/>
      <c r="C49" s="219">
        <v>2.85</v>
      </c>
      <c r="D49" s="220"/>
      <c r="E49" s="220"/>
      <c r="F49" s="221"/>
      <c r="G49" s="219">
        <v>2.7250000000000001</v>
      </c>
      <c r="H49" s="220"/>
      <c r="I49" s="220"/>
      <c r="J49" s="221"/>
      <c r="K49" s="219">
        <v>2.7</v>
      </c>
      <c r="L49" s="220"/>
      <c r="M49" s="220"/>
      <c r="N49" s="221"/>
      <c r="O49" s="112"/>
      <c r="P49" s="112"/>
      <c r="Q49" s="112"/>
      <c r="R49" s="112"/>
      <c r="S49" s="112"/>
      <c r="T49" s="112"/>
      <c r="U49" s="112"/>
    </row>
    <row r="50" spans="1:21">
      <c r="A50" s="203" t="s">
        <v>72</v>
      </c>
      <c r="B50" s="205"/>
      <c r="C50" s="213" t="s">
        <v>85</v>
      </c>
      <c r="D50" s="214"/>
      <c r="E50" s="214"/>
      <c r="F50" s="215"/>
      <c r="G50" s="213" t="s">
        <v>79</v>
      </c>
      <c r="H50" s="214"/>
      <c r="I50" s="214"/>
      <c r="J50" s="215"/>
      <c r="K50" s="213" t="s">
        <v>93</v>
      </c>
      <c r="L50" s="214"/>
      <c r="M50" s="214"/>
      <c r="N50" s="215"/>
      <c r="O50" s="112"/>
      <c r="P50" s="91"/>
      <c r="Q50" s="91"/>
      <c r="R50" s="91"/>
      <c r="S50" s="91"/>
      <c r="T50" s="112"/>
      <c r="U50" s="112"/>
    </row>
    <row r="51" spans="1:21">
      <c r="A51" s="203" t="s">
        <v>73</v>
      </c>
      <c r="B51" s="205"/>
      <c r="C51" s="213" t="s">
        <v>84</v>
      </c>
      <c r="D51" s="214"/>
      <c r="E51" s="214"/>
      <c r="F51" s="215"/>
      <c r="G51" s="213" t="s">
        <v>101</v>
      </c>
      <c r="H51" s="214"/>
      <c r="I51" s="214"/>
      <c r="J51" s="215"/>
      <c r="K51" s="213" t="s">
        <v>94</v>
      </c>
      <c r="L51" s="214"/>
      <c r="M51" s="214"/>
      <c r="N51" s="215"/>
      <c r="O51" s="112"/>
      <c r="P51" s="112"/>
      <c r="Q51" s="112"/>
      <c r="R51" s="112"/>
      <c r="S51" s="112"/>
      <c r="T51" s="112"/>
      <c r="U51" s="112"/>
    </row>
    <row r="52" spans="1:21">
      <c r="A52" s="203" t="s">
        <v>74</v>
      </c>
      <c r="B52" s="205"/>
      <c r="C52" s="213" t="s">
        <v>88</v>
      </c>
      <c r="D52" s="214"/>
      <c r="E52" s="214"/>
      <c r="F52" s="215"/>
      <c r="G52" s="213" t="s">
        <v>90</v>
      </c>
      <c r="H52" s="214"/>
      <c r="I52" s="214"/>
      <c r="J52" s="215"/>
      <c r="K52" s="213" t="s">
        <v>81</v>
      </c>
      <c r="L52" s="214"/>
      <c r="M52" s="214"/>
      <c r="N52" s="215"/>
      <c r="O52" s="112"/>
      <c r="P52" s="112"/>
      <c r="Q52" s="112"/>
      <c r="R52" s="112"/>
      <c r="S52" s="112"/>
      <c r="T52" s="112"/>
      <c r="U52" s="112"/>
    </row>
    <row r="53" spans="1:21">
      <c r="A53" s="203" t="s">
        <v>75</v>
      </c>
      <c r="B53" s="205"/>
      <c r="C53" s="213" t="s">
        <v>89</v>
      </c>
      <c r="D53" s="214"/>
      <c r="E53" s="214"/>
      <c r="F53" s="215"/>
      <c r="G53" s="213" t="s">
        <v>101</v>
      </c>
      <c r="H53" s="214"/>
      <c r="I53" s="214"/>
      <c r="J53" s="215"/>
      <c r="K53" s="213" t="s">
        <v>92</v>
      </c>
      <c r="L53" s="214"/>
      <c r="M53" s="214"/>
      <c r="N53" s="215"/>
      <c r="O53" s="112"/>
      <c r="P53" s="112"/>
      <c r="Q53" s="112"/>
      <c r="R53" s="112"/>
      <c r="S53" s="112"/>
      <c r="T53" s="112"/>
      <c r="U53" s="112"/>
    </row>
    <row r="54" spans="1:21">
      <c r="A54" s="203" t="s">
        <v>76</v>
      </c>
      <c r="B54" s="205"/>
      <c r="C54" s="213" t="s">
        <v>6</v>
      </c>
      <c r="D54" s="214"/>
      <c r="E54" s="214"/>
      <c r="F54" s="215"/>
      <c r="G54" s="213" t="s">
        <v>6</v>
      </c>
      <c r="H54" s="214"/>
      <c r="I54" s="214"/>
      <c r="J54" s="215"/>
      <c r="K54" s="213" t="s">
        <v>6</v>
      </c>
      <c r="L54" s="214"/>
      <c r="M54" s="214"/>
      <c r="N54" s="215"/>
      <c r="O54" s="112"/>
      <c r="P54" s="112"/>
      <c r="Q54" s="112"/>
      <c r="R54" s="112"/>
      <c r="S54" s="112"/>
      <c r="T54" s="112"/>
      <c r="U54" s="112"/>
    </row>
    <row r="55" spans="1:21">
      <c r="A55" s="222" t="s">
        <v>116</v>
      </c>
      <c r="B55" s="223"/>
      <c r="C55" s="223"/>
      <c r="D55" s="223"/>
      <c r="E55" s="223"/>
      <c r="F55" s="223"/>
      <c r="G55" s="223"/>
      <c r="H55" s="223"/>
      <c r="I55" s="223"/>
      <c r="J55" s="223"/>
      <c r="K55" s="223"/>
      <c r="L55" s="223"/>
      <c r="M55" s="223"/>
      <c r="N55" s="224"/>
      <c r="O55" s="112"/>
      <c r="P55" s="112"/>
      <c r="Q55" s="112"/>
      <c r="R55" s="112"/>
      <c r="S55" s="112"/>
      <c r="T55" s="112"/>
      <c r="U55" s="112"/>
    </row>
    <row r="56" spans="1:21">
      <c r="A56" s="91"/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</row>
  </sheetData>
  <mergeCells count="52">
    <mergeCell ref="A54:B54"/>
    <mergeCell ref="C54:F54"/>
    <mergeCell ref="G54:J54"/>
    <mergeCell ref="K54:N54"/>
    <mergeCell ref="A55:N55"/>
    <mergeCell ref="A52:B52"/>
    <mergeCell ref="C52:F52"/>
    <mergeCell ref="G52:J52"/>
    <mergeCell ref="K52:N52"/>
    <mergeCell ref="A53:B53"/>
    <mergeCell ref="C53:F53"/>
    <mergeCell ref="G53:J53"/>
    <mergeCell ref="K53:N53"/>
    <mergeCell ref="A50:B50"/>
    <mergeCell ref="C50:F50"/>
    <mergeCell ref="G50:J50"/>
    <mergeCell ref="K50:N50"/>
    <mergeCell ref="A51:B51"/>
    <mergeCell ref="C51:F51"/>
    <mergeCell ref="G51:J51"/>
    <mergeCell ref="K51:N51"/>
    <mergeCell ref="A48:B49"/>
    <mergeCell ref="C48:F48"/>
    <mergeCell ref="G48:J48"/>
    <mergeCell ref="K48:N48"/>
    <mergeCell ref="C49:F49"/>
    <mergeCell ref="G49:J49"/>
    <mergeCell ref="K49:N49"/>
    <mergeCell ref="A45:N45"/>
    <mergeCell ref="A46:F46"/>
    <mergeCell ref="G46:N46"/>
    <mergeCell ref="A47:B47"/>
    <mergeCell ref="C47:F47"/>
    <mergeCell ref="G47:J47"/>
    <mergeCell ref="K47:N47"/>
    <mergeCell ref="A31:U31"/>
    <mergeCell ref="A33:U33"/>
    <mergeCell ref="A35:U35"/>
    <mergeCell ref="A38:U38"/>
    <mergeCell ref="A41:U41"/>
    <mergeCell ref="A43:B43"/>
    <mergeCell ref="A9:U9"/>
    <mergeCell ref="A18:U18"/>
    <mergeCell ref="A20:U20"/>
    <mergeCell ref="A25:U25"/>
    <mergeCell ref="A29:U29"/>
    <mergeCell ref="A1:U1"/>
    <mergeCell ref="A2:B2"/>
    <mergeCell ref="C2:T2"/>
    <mergeCell ref="U2:U4"/>
    <mergeCell ref="A3:B4"/>
    <mergeCell ref="A5:U5"/>
  </mergeCells>
  <pageMargins left="0.39" right="0.17" top="0.42" bottom="0.36" header="0.31496062992125984" footer="0.31496062992125984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2BJune </vt:lpstr>
      <vt:lpstr>2B July</vt:lpstr>
      <vt:lpstr>2B August</vt:lpstr>
      <vt:lpstr>2B September</vt:lpstr>
      <vt:lpstr>2B October</vt:lpstr>
      <vt:lpstr>2B November</vt:lpstr>
      <vt:lpstr>2B December</vt:lpstr>
      <vt:lpstr>2B January</vt:lpstr>
      <vt:lpstr>'2B January'!Print_Titles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edithqmis7@gmail.com</cp:lastModifiedBy>
  <cp:lastPrinted>2026-01-26T18:07:41Z</cp:lastPrinted>
  <dcterms:created xsi:type="dcterms:W3CDTF">2025-06-23T14:03:05Z</dcterms:created>
  <dcterms:modified xsi:type="dcterms:W3CDTF">2026-01-26T18:08:06Z</dcterms:modified>
</cp:coreProperties>
</file>