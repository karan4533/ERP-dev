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QMIS\payroll\Salary\"/>
    </mc:Choice>
  </mc:AlternateContent>
  <xr:revisionPtr revIDLastSave="0" documentId="13_ncr:1_{C605AA95-9CD2-4D1F-BCC6-06A60F503EB7}" xr6:coauthVersionLast="47" xr6:coauthVersionMax="47" xr10:uidLastSave="{00000000-0000-0000-0000-000000000000}"/>
  <bookViews>
    <workbookView xWindow="-110" yWindow="-110" windowWidth="19420" windowHeight="10300" tabRatio="975" firstSheet="7" activeTab="17" xr2:uid="{00000000-000D-0000-FFFF-FFFF00000000}"/>
  </bookViews>
  <sheets>
    <sheet name="Overall - Top sheet" sheetId="1" r:id="rId1"/>
    <sheet name="Academics" sheetId="2" r:id="rId2"/>
    <sheet name="Relieved Academics" sheetId="4" r:id="rId3"/>
    <sheet name="Admin" sheetId="5" r:id="rId4"/>
    <sheet name="Relieved Admin" sheetId="6" r:id="rId5"/>
    <sheet name="Drivers" sheetId="7" r:id="rId6"/>
    <sheet name="Conductors" sheetId="8" r:id="rId7"/>
    <sheet name="Securities" sheetId="9" r:id="rId8"/>
    <sheet name="House Keeping" sheetId="10" r:id="rId9"/>
    <sheet name="Kindly Pay Salary Pay" sheetId="11" r:id="rId10"/>
    <sheet name="Hostel" sheetId="12" r:id="rId11"/>
    <sheet name="ECA " sheetId="26" r:id="rId12"/>
    <sheet name="Part time academic" sheetId="25" r:id="rId13"/>
    <sheet name="Theni - Upparpatti" sheetId="17" r:id="rId14"/>
    <sheet name="AEP" sheetId="18" r:id="rId15"/>
    <sheet name="Rifle" sheetId="19" r:id="rId16"/>
    <sheet name="Part Time - Admin" sheetId="20" r:id="rId17"/>
    <sheet name="Sheet5" sheetId="21" r:id="rId18"/>
    <sheet name="Sheet6" sheetId="3" r:id="rId19"/>
    <sheet name="Sheet2" sheetId="22" r:id="rId20"/>
    <sheet name="Split Up" sheetId="23" r:id="rId21"/>
    <sheet name="Sheet1" sheetId="24" r:id="rId22"/>
  </sheets>
  <definedNames>
    <definedName name="_xlnm._FilterDatabase" localSheetId="1" hidden="1">Academics!$A$4:$AR$9</definedName>
    <definedName name="_xlnm._FilterDatabase" localSheetId="3" hidden="1">Admin!$A$4:$AS$9</definedName>
    <definedName name="_xlnm._FilterDatabase" localSheetId="14" hidden="1">AEP!$AE$3:$AF$86</definedName>
    <definedName name="_xlnm._FilterDatabase" localSheetId="6" hidden="1">Conductors!$A$4:$AT$8</definedName>
    <definedName name="_xlnm._FilterDatabase" localSheetId="5" hidden="1">Drivers!$A$4:$AU$8</definedName>
    <definedName name="_xlnm._FilterDatabase" localSheetId="8" hidden="1">'House Keeping'!$C$1:$C$86</definedName>
    <definedName name="_xlnm._FilterDatabase" localSheetId="2" hidden="1">'Relieved Academics'!$AG$4:$AH$21</definedName>
    <definedName name="_xlnm._FilterDatabase" localSheetId="4" hidden="1">'Relieved Admin'!$AG$4:$AH$22</definedName>
    <definedName name="_xlnm._FilterDatabase" localSheetId="13" hidden="1">'Theni - Upparpatti'!$AG$4:$AH$23</definedName>
    <definedName name="_xlnm.Print_Area" localSheetId="11">'ECA '!$A$1:$N$20</definedName>
    <definedName name="_xlnm.Print_Area" localSheetId="0">'Overall - Top sheet'!$A$1:$O$99</definedName>
    <definedName name="_xlnm.Print_Area" localSheetId="12">'Part time academic'!$A$1:$K$15</definedName>
    <definedName name="_xlnm.Print_Titles" localSheetId="11">'ECA '!$1:$4</definedName>
    <definedName name="_xlnm.Print_Titles" localSheetId="12">'Part time academic'!$1:$3</definedName>
  </definedNames>
  <calcPr calcId="191029"/>
</workbook>
</file>

<file path=xl/calcChain.xml><?xml version="1.0" encoding="utf-8"?>
<calcChain xmlns="http://schemas.openxmlformats.org/spreadsheetml/2006/main">
  <c r="C19" i="1" l="1"/>
  <c r="C18" i="1"/>
  <c r="AF6" i="4"/>
  <c r="F6" i="2"/>
  <c r="G6" i="2" s="1"/>
  <c r="I6" i="2"/>
  <c r="J6" i="2"/>
  <c r="P6" i="2"/>
  <c r="AF5" i="5"/>
  <c r="AF6" i="2"/>
  <c r="AF5" i="2"/>
  <c r="Q6" i="2" l="1"/>
  <c r="M17" i="26"/>
  <c r="D13" i="25"/>
  <c r="F8" i="25"/>
  <c r="S6" i="10"/>
  <c r="S5" i="9"/>
  <c r="F13" i="25" l="1"/>
  <c r="I13" i="25" s="1"/>
  <c r="J13" i="25" s="1"/>
  <c r="F10" i="25"/>
  <c r="F9" i="25"/>
  <c r="F7" i="25"/>
  <c r="E14" i="25"/>
  <c r="K7" i="26"/>
  <c r="K5" i="26"/>
  <c r="Z5" i="6" l="1"/>
  <c r="D5" i="25" l="1"/>
  <c r="F5" i="25" s="1"/>
  <c r="D4" i="25"/>
  <c r="F4" i="25" s="1"/>
  <c r="AE6" i="6" l="1"/>
  <c r="Z6" i="6"/>
  <c r="AD6" i="6" s="1"/>
  <c r="W6" i="6"/>
  <c r="U6" i="6"/>
  <c r="P6" i="6"/>
  <c r="I6" i="6"/>
  <c r="J6" i="6" s="1"/>
  <c r="F6" i="6"/>
  <c r="AE5" i="6"/>
  <c r="AD5" i="6"/>
  <c r="W5" i="6"/>
  <c r="AA5" i="6" s="1"/>
  <c r="U5" i="6"/>
  <c r="P5" i="6"/>
  <c r="I5" i="6"/>
  <c r="J5" i="6" s="1"/>
  <c r="F5" i="6"/>
  <c r="Q6" i="6" l="1"/>
  <c r="AB6" i="6" s="1"/>
  <c r="AI6" i="6"/>
  <c r="AJ6" i="6" s="1"/>
  <c r="Y6" i="6"/>
  <c r="G6" i="6"/>
  <c r="AA6" i="6"/>
  <c r="Q5" i="6"/>
  <c r="AB5" i="6" s="1"/>
  <c r="Y5" i="6" s="1"/>
  <c r="G5" i="6"/>
  <c r="AI5" i="6" l="1"/>
  <c r="AJ5" i="6" s="1"/>
  <c r="R5" i="5" l="1"/>
  <c r="S5" i="5"/>
  <c r="S5" i="2"/>
  <c r="AE6" i="4"/>
  <c r="AD6" i="4"/>
  <c r="Z6" i="4"/>
  <c r="W6" i="4"/>
  <c r="U6" i="4"/>
  <c r="P6" i="4"/>
  <c r="I6" i="4"/>
  <c r="J6" i="4" s="1"/>
  <c r="F6" i="4"/>
  <c r="W5" i="4"/>
  <c r="Z5" i="4"/>
  <c r="AD5" i="4" s="1"/>
  <c r="AE5" i="4"/>
  <c r="U5" i="4"/>
  <c r="P5" i="4"/>
  <c r="I5" i="4"/>
  <c r="J5" i="4" s="1"/>
  <c r="F5" i="4"/>
  <c r="AA5" i="12"/>
  <c r="P30" i="24"/>
  <c r="D14" i="23"/>
  <c r="C10" i="1"/>
  <c r="Q6" i="4" l="1"/>
  <c r="AB6" i="4" s="1"/>
  <c r="Q5" i="4"/>
  <c r="AB5" i="4" s="1"/>
  <c r="AI6" i="4"/>
  <c r="AJ6" i="4" s="1"/>
  <c r="Y6" i="4"/>
  <c r="G6" i="4"/>
  <c r="AA6" i="4"/>
  <c r="Y5" i="4"/>
  <c r="AA5" i="4"/>
  <c r="AI5" i="4"/>
  <c r="AJ5" i="4" s="1"/>
  <c r="G5" i="4"/>
  <c r="G4" i="20"/>
  <c r="I5" i="25"/>
  <c r="J5" i="25" s="1"/>
  <c r="K18" i="26"/>
  <c r="K17" i="26"/>
  <c r="K16" i="26"/>
  <c r="T7" i="9"/>
  <c r="X7" i="9"/>
  <c r="AC7" i="9"/>
  <c r="AF7" i="9"/>
  <c r="AG7" i="9"/>
  <c r="AH7" i="9"/>
  <c r="AK7" i="9"/>
  <c r="AL7" i="9"/>
  <c r="E6" i="20"/>
  <c r="F6" i="20"/>
  <c r="H6" i="20"/>
  <c r="I6" i="20"/>
  <c r="J6" i="20"/>
  <c r="K6" i="20"/>
  <c r="AA6" i="17"/>
  <c r="Z6" i="17"/>
  <c r="S7" i="17"/>
  <c r="T7" i="17"/>
  <c r="V7" i="17"/>
  <c r="X7" i="17"/>
  <c r="AC7" i="17"/>
  <c r="AF7" i="17"/>
  <c r="AG7" i="17"/>
  <c r="AH7" i="17"/>
  <c r="AK7" i="17"/>
  <c r="AL7" i="17"/>
  <c r="AJ6" i="12"/>
  <c r="AB6" i="12"/>
  <c r="AB7" i="12"/>
  <c r="AA6" i="12"/>
  <c r="AA7" i="12"/>
  <c r="Z7" i="12"/>
  <c r="Z8" i="12" s="1"/>
  <c r="Z6" i="12"/>
  <c r="Z5" i="12"/>
  <c r="S8" i="12"/>
  <c r="T8" i="12"/>
  <c r="U8" i="12"/>
  <c r="V8" i="12"/>
  <c r="X8" i="12"/>
  <c r="AC8" i="12"/>
  <c r="AE8" i="12"/>
  <c r="AF8" i="12"/>
  <c r="AG8" i="12"/>
  <c r="AH8" i="12"/>
  <c r="AK8" i="12"/>
  <c r="AL8" i="12"/>
  <c r="AE6" i="10"/>
  <c r="T7" i="10"/>
  <c r="V7" i="10"/>
  <c r="X7" i="10"/>
  <c r="AC7" i="10"/>
  <c r="AF7" i="10"/>
  <c r="AE6" i="9"/>
  <c r="AE6" i="8"/>
  <c r="S7" i="8"/>
  <c r="T7" i="8"/>
  <c r="V7" i="8"/>
  <c r="X7" i="8"/>
  <c r="AC7" i="8"/>
  <c r="AF7" i="8"/>
  <c r="R7" i="8"/>
  <c r="AE6" i="7"/>
  <c r="W6" i="7"/>
  <c r="Z6" i="7" s="1"/>
  <c r="S7" i="7"/>
  <c r="T7" i="7"/>
  <c r="V7" i="7"/>
  <c r="X7" i="7"/>
  <c r="AC7" i="7"/>
  <c r="AC7" i="6"/>
  <c r="AF7" i="6"/>
  <c r="AG7" i="6"/>
  <c r="AH7" i="6"/>
  <c r="AK7" i="6"/>
  <c r="AL7" i="6"/>
  <c r="S7" i="5"/>
  <c r="T7" i="5"/>
  <c r="V7" i="5"/>
  <c r="X7" i="5"/>
  <c r="AC7" i="5"/>
  <c r="AE6" i="5"/>
  <c r="Z6" i="5"/>
  <c r="I48" i="3"/>
  <c r="I49"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H50" i="3"/>
  <c r="G50" i="3"/>
  <c r="AE7" i="4"/>
  <c r="T7" i="4"/>
  <c r="V7" i="4"/>
  <c r="X7" i="4"/>
  <c r="AC7" i="4"/>
  <c r="AF7" i="4"/>
  <c r="AG7" i="4"/>
  <c r="AH7" i="4"/>
  <c r="AE6" i="2"/>
  <c r="AE5" i="2"/>
  <c r="Z6" i="2"/>
  <c r="X7" i="2"/>
  <c r="AC7" i="2"/>
  <c r="AH7" i="2"/>
  <c r="AL7" i="2"/>
  <c r="D57" i="3"/>
  <c r="D58" i="3"/>
  <c r="D59" i="3"/>
  <c r="D60" i="3"/>
  <c r="D61" i="3"/>
  <c r="D62" i="3"/>
  <c r="D63" i="3"/>
  <c r="D64" i="3"/>
  <c r="D65" i="3"/>
  <c r="D66" i="3"/>
  <c r="D67" i="3"/>
  <c r="D68" i="3"/>
  <c r="D69" i="3"/>
  <c r="D70" i="3"/>
  <c r="D71" i="3"/>
  <c r="D72" i="3"/>
  <c r="D73" i="3"/>
  <c r="D74" i="3"/>
  <c r="D75" i="3"/>
  <c r="D76" i="3"/>
  <c r="D77" i="3"/>
  <c r="D78" i="3"/>
  <c r="D79" i="3"/>
  <c r="D80" i="3"/>
  <c r="D52" i="3"/>
  <c r="D53" i="3"/>
  <c r="D54" i="3"/>
  <c r="D55" i="3"/>
  <c r="D56" i="3"/>
  <c r="D81" i="3"/>
  <c r="D36" i="3"/>
  <c r="D37" i="3"/>
  <c r="D38" i="3"/>
  <c r="D39" i="3"/>
  <c r="D40" i="3"/>
  <c r="D41" i="3"/>
  <c r="D42" i="3"/>
  <c r="D43" i="3"/>
  <c r="D44" i="3"/>
  <c r="D45" i="3"/>
  <c r="D46" i="3"/>
  <c r="D47" i="3"/>
  <c r="D48" i="3"/>
  <c r="D49" i="3"/>
  <c r="D50" i="3"/>
  <c r="D51" i="3"/>
  <c r="D30" i="3"/>
  <c r="D31" i="3"/>
  <c r="D32" i="3"/>
  <c r="D33" i="3"/>
  <c r="D34" i="3"/>
  <c r="D35" i="3"/>
  <c r="D29" i="3"/>
  <c r="C78" i="3"/>
  <c r="C70" i="3"/>
  <c r="B81" i="3"/>
  <c r="B70" i="3"/>
  <c r="AA8" i="12" l="1"/>
  <c r="I10" i="25" l="1"/>
  <c r="J10" i="25" s="1"/>
  <c r="I9" i="25"/>
  <c r="J9" i="25" s="1"/>
  <c r="I8" i="25" l="1"/>
  <c r="J8" i="25" s="1"/>
  <c r="I7" i="25"/>
  <c r="J7" i="25" s="1"/>
  <c r="S7" i="9"/>
  <c r="S7" i="2" l="1"/>
  <c r="S7" i="10"/>
  <c r="I6" i="7" l="1"/>
  <c r="AE7" i="6" l="1"/>
  <c r="K9" i="26"/>
  <c r="U7" i="4" l="1"/>
  <c r="S7" i="4"/>
  <c r="AA7" i="4"/>
  <c r="W7" i="4"/>
  <c r="AD7" i="4"/>
  <c r="Z7" i="4"/>
  <c r="AB7" i="4" l="1"/>
  <c r="J115" i="11"/>
  <c r="M114" i="11"/>
  <c r="L114" i="11"/>
  <c r="K114" i="11"/>
  <c r="J114" i="11"/>
  <c r="L113" i="11"/>
  <c r="K113" i="11"/>
  <c r="J113" i="11"/>
  <c r="L112" i="11"/>
  <c r="K112" i="11"/>
  <c r="J112" i="11"/>
  <c r="L111" i="11"/>
  <c r="K111" i="11"/>
  <c r="J111" i="11"/>
  <c r="L110" i="11"/>
  <c r="K110" i="11"/>
  <c r="J110" i="11"/>
  <c r="L109" i="11"/>
  <c r="K109" i="11"/>
  <c r="J109" i="11"/>
  <c r="J105" i="11"/>
  <c r="L104" i="11"/>
  <c r="K104" i="11"/>
  <c r="J104" i="11"/>
  <c r="L103" i="11"/>
  <c r="K103" i="11"/>
  <c r="J103" i="11"/>
  <c r="L102" i="11"/>
  <c r="K102" i="11"/>
  <c r="J102" i="11"/>
  <c r="L101" i="11"/>
  <c r="K101" i="11"/>
  <c r="J101" i="11"/>
  <c r="L100" i="11"/>
  <c r="K100" i="11"/>
  <c r="J100" i="11"/>
  <c r="L99" i="11"/>
  <c r="K99" i="11"/>
  <c r="J99" i="11"/>
  <c r="L98" i="11"/>
  <c r="K98" i="11"/>
  <c r="J98" i="11"/>
  <c r="L97" i="11"/>
  <c r="K97" i="11"/>
  <c r="J97" i="11"/>
  <c r="L96" i="11"/>
  <c r="K96" i="11"/>
  <c r="J96" i="11"/>
  <c r="L95" i="11"/>
  <c r="K95" i="11"/>
  <c r="J95" i="11"/>
  <c r="L94" i="11"/>
  <c r="K94" i="11"/>
  <c r="J94" i="11"/>
  <c r="L93" i="11"/>
  <c r="K93" i="11"/>
  <c r="J93" i="11"/>
  <c r="J78" i="11"/>
  <c r="L77" i="11"/>
  <c r="K77" i="11"/>
  <c r="J77" i="11"/>
  <c r="M76" i="11"/>
  <c r="L76" i="11"/>
  <c r="K76" i="11"/>
  <c r="J76" i="11"/>
  <c r="L75" i="11"/>
  <c r="K75" i="11"/>
  <c r="J75" i="11"/>
  <c r="L74" i="11"/>
  <c r="K74" i="11"/>
  <c r="J74" i="11"/>
  <c r="L73" i="11"/>
  <c r="K73" i="11"/>
  <c r="J73" i="11"/>
  <c r="L72" i="11"/>
  <c r="K72" i="11"/>
  <c r="J72" i="11"/>
  <c r="L71" i="11"/>
  <c r="K71" i="11"/>
  <c r="J71" i="11"/>
  <c r="L70" i="11"/>
  <c r="K70" i="11"/>
  <c r="J70" i="11"/>
  <c r="L69" i="11"/>
  <c r="K69" i="11"/>
  <c r="J69" i="11"/>
  <c r="L68" i="11"/>
  <c r="K68" i="11"/>
  <c r="J68" i="11"/>
  <c r="L67" i="11"/>
  <c r="K67" i="11"/>
  <c r="J67" i="11"/>
  <c r="L66" i="11"/>
  <c r="K66" i="11"/>
  <c r="J66" i="11"/>
  <c r="L65" i="11"/>
  <c r="K65" i="11"/>
  <c r="J65" i="11"/>
  <c r="L64" i="11"/>
  <c r="K64" i="11"/>
  <c r="J64" i="11"/>
  <c r="J90" i="11"/>
  <c r="L89" i="11"/>
  <c r="K89" i="11"/>
  <c r="J89" i="11"/>
  <c r="L88" i="11"/>
  <c r="K88" i="11"/>
  <c r="J88" i="11"/>
  <c r="J59" i="11"/>
  <c r="L58" i="11"/>
  <c r="K58" i="11"/>
  <c r="J58" i="11"/>
  <c r="L57" i="11"/>
  <c r="K57" i="11"/>
  <c r="J57" i="11"/>
  <c r="L56" i="11"/>
  <c r="K56" i="11"/>
  <c r="J56" i="11"/>
  <c r="Y7" i="4" l="1"/>
  <c r="AJ7" i="4"/>
  <c r="AJ8" i="4" s="1"/>
  <c r="AI7" i="4"/>
  <c r="O76" i="11"/>
  <c r="Q75" i="11"/>
  <c r="P75" i="11"/>
  <c r="O75" i="11"/>
  <c r="Q74" i="11"/>
  <c r="P74" i="11"/>
  <c r="O74" i="11"/>
  <c r="Q73" i="11"/>
  <c r="P73" i="11"/>
  <c r="O73" i="11"/>
  <c r="Q72" i="11"/>
  <c r="P72" i="11"/>
  <c r="O72" i="11"/>
  <c r="Q71" i="11"/>
  <c r="P71" i="11"/>
  <c r="O71" i="11"/>
  <c r="Q70" i="11"/>
  <c r="P70" i="11"/>
  <c r="O70" i="11"/>
  <c r="Q69" i="11"/>
  <c r="P69" i="11"/>
  <c r="O69" i="11"/>
  <c r="Q68" i="11"/>
  <c r="P68" i="11"/>
  <c r="O68" i="11"/>
  <c r="Q67" i="11"/>
  <c r="P67" i="11"/>
  <c r="O67" i="11"/>
  <c r="Q66" i="11"/>
  <c r="P66" i="11"/>
  <c r="O66" i="11"/>
  <c r="Q65" i="11"/>
  <c r="P65" i="11"/>
  <c r="O65" i="11"/>
  <c r="Q64" i="11"/>
  <c r="P64" i="11"/>
  <c r="O64" i="11"/>
  <c r="Q63" i="11"/>
  <c r="P63" i="11"/>
  <c r="O63" i="11"/>
  <c r="Q62" i="11"/>
  <c r="P62" i="11"/>
  <c r="O62" i="11"/>
  <c r="Q61" i="11"/>
  <c r="P61" i="11"/>
  <c r="O61" i="11"/>
  <c r="O50" i="11"/>
  <c r="Q49" i="11"/>
  <c r="P49" i="11"/>
  <c r="O49" i="11"/>
  <c r="Q48" i="11"/>
  <c r="P48" i="11"/>
  <c r="O48" i="11"/>
  <c r="Q47" i="11"/>
  <c r="P47" i="11"/>
  <c r="O47" i="11"/>
  <c r="Q46" i="11"/>
  <c r="P46" i="11"/>
  <c r="O46" i="11"/>
  <c r="Q45" i="11"/>
  <c r="P45" i="11"/>
  <c r="O45" i="11"/>
  <c r="O20" i="11"/>
  <c r="Q19" i="11"/>
  <c r="P19" i="11"/>
  <c r="O19" i="11"/>
  <c r="Q18" i="11"/>
  <c r="P18" i="11"/>
  <c r="O18" i="11"/>
  <c r="Q17" i="11"/>
  <c r="P17" i="11"/>
  <c r="O17" i="11"/>
  <c r="Q16" i="11"/>
  <c r="P16" i="11"/>
  <c r="O16" i="11"/>
  <c r="Q15" i="11"/>
  <c r="P15" i="11"/>
  <c r="O15" i="11"/>
  <c r="Q14" i="11"/>
  <c r="P14" i="11"/>
  <c r="O14" i="11"/>
  <c r="Q13" i="11"/>
  <c r="P13" i="11"/>
  <c r="O13" i="11"/>
  <c r="Q12" i="11"/>
  <c r="P12" i="11"/>
  <c r="O12" i="11"/>
  <c r="Q11" i="11"/>
  <c r="P11" i="11"/>
  <c r="O11" i="11"/>
  <c r="Q10" i="11"/>
  <c r="P10" i="11"/>
  <c r="O10" i="11"/>
  <c r="Q9" i="11"/>
  <c r="P9" i="11"/>
  <c r="O9" i="11"/>
  <c r="Q8" i="11"/>
  <c r="P8" i="11"/>
  <c r="O8" i="11"/>
  <c r="Q7" i="11"/>
  <c r="P7" i="11"/>
  <c r="O7" i="11"/>
  <c r="Q6" i="11"/>
  <c r="P6" i="11"/>
  <c r="O6" i="11"/>
  <c r="Q5" i="11"/>
  <c r="P5" i="11"/>
  <c r="O5" i="11"/>
  <c r="L48" i="11"/>
  <c r="K48" i="11"/>
  <c r="J48" i="11"/>
  <c r="L47" i="11"/>
  <c r="K47" i="11"/>
  <c r="J47" i="11"/>
  <c r="L46" i="11"/>
  <c r="K46" i="11"/>
  <c r="J46" i="11"/>
  <c r="L45" i="11"/>
  <c r="K45" i="11"/>
  <c r="J45" i="11"/>
  <c r="L44" i="11"/>
  <c r="K44" i="11"/>
  <c r="J44" i="11"/>
  <c r="L43" i="11"/>
  <c r="K43" i="11"/>
  <c r="J43" i="11"/>
  <c r="L42" i="11"/>
  <c r="K42" i="11"/>
  <c r="J42" i="11"/>
  <c r="L41" i="11"/>
  <c r="K41" i="11"/>
  <c r="J41" i="11"/>
  <c r="L40" i="11"/>
  <c r="K40" i="11"/>
  <c r="J40" i="11"/>
  <c r="L39" i="11"/>
  <c r="K39" i="11"/>
  <c r="J39" i="11"/>
  <c r="L38" i="11"/>
  <c r="K38" i="11"/>
  <c r="J38" i="11"/>
  <c r="L37" i="11"/>
  <c r="K37" i="11"/>
  <c r="J37" i="11"/>
  <c r="L36" i="11"/>
  <c r="K36" i="11"/>
  <c r="J36" i="11"/>
  <c r="L35" i="11"/>
  <c r="K35" i="11"/>
  <c r="J35" i="11"/>
  <c r="L34" i="11"/>
  <c r="K34" i="11"/>
  <c r="J34" i="11"/>
  <c r="L33" i="11"/>
  <c r="K33" i="11"/>
  <c r="J33" i="11"/>
  <c r="L32" i="11"/>
  <c r="K32" i="11"/>
  <c r="J32" i="11"/>
  <c r="L31" i="11"/>
  <c r="K31" i="11"/>
  <c r="J31" i="11"/>
  <c r="L30" i="11"/>
  <c r="K30" i="11"/>
  <c r="J30" i="11"/>
  <c r="L29" i="11"/>
  <c r="K29" i="11"/>
  <c r="J29" i="11"/>
  <c r="L28" i="11"/>
  <c r="K28" i="11"/>
  <c r="J28" i="11"/>
  <c r="L27" i="11"/>
  <c r="K27" i="11"/>
  <c r="J27" i="11"/>
  <c r="L26" i="11"/>
  <c r="K26" i="11"/>
  <c r="J26" i="11"/>
  <c r="L25" i="11"/>
  <c r="K25" i="11"/>
  <c r="J25" i="11"/>
  <c r="L24" i="11"/>
  <c r="K24" i="11"/>
  <c r="J24" i="11"/>
  <c r="L23" i="11"/>
  <c r="K23" i="11"/>
  <c r="J23" i="11"/>
  <c r="L22" i="11"/>
  <c r="K22" i="11"/>
  <c r="J22" i="11"/>
  <c r="L21" i="11"/>
  <c r="K21" i="11"/>
  <c r="J21" i="11"/>
  <c r="L20" i="11"/>
  <c r="K20" i="11"/>
  <c r="J20" i="11"/>
  <c r="L19" i="11"/>
  <c r="K19" i="11"/>
  <c r="J19" i="11"/>
  <c r="L18" i="11"/>
  <c r="K18" i="11"/>
  <c r="J18" i="11"/>
  <c r="L17" i="11"/>
  <c r="K17" i="11"/>
  <c r="J17" i="11"/>
  <c r="L16" i="11"/>
  <c r="K16" i="11"/>
  <c r="J16" i="11"/>
  <c r="L15" i="11"/>
  <c r="K15" i="11"/>
  <c r="J15" i="11"/>
  <c r="L14" i="11"/>
  <c r="K14" i="11"/>
  <c r="J14" i="11"/>
  <c r="L13" i="11"/>
  <c r="K13" i="11"/>
  <c r="J13" i="11"/>
  <c r="L12" i="11"/>
  <c r="K12" i="11"/>
  <c r="J12" i="11"/>
  <c r="L11" i="11"/>
  <c r="K11" i="11"/>
  <c r="J11" i="11"/>
  <c r="L10" i="11"/>
  <c r="K10" i="11"/>
  <c r="J10" i="11"/>
  <c r="L9" i="11"/>
  <c r="K9" i="11"/>
  <c r="J9" i="11"/>
  <c r="L8" i="11"/>
  <c r="K8" i="11"/>
  <c r="J8" i="11"/>
  <c r="L7" i="11"/>
  <c r="K7" i="11"/>
  <c r="J7" i="11"/>
  <c r="L6" i="11"/>
  <c r="K6" i="11"/>
  <c r="J6" i="11"/>
  <c r="L5" i="11"/>
  <c r="K5" i="11"/>
  <c r="J5" i="11"/>
  <c r="G76" i="11"/>
  <c r="F76" i="11"/>
  <c r="E76" i="11"/>
  <c r="G75" i="11"/>
  <c r="F75" i="11"/>
  <c r="E75" i="11"/>
  <c r="G74" i="11"/>
  <c r="F74" i="11"/>
  <c r="E74" i="11"/>
  <c r="G73" i="11"/>
  <c r="F73" i="11"/>
  <c r="E73" i="11"/>
  <c r="G72" i="11"/>
  <c r="F72" i="11"/>
  <c r="E72" i="11"/>
  <c r="G71" i="11"/>
  <c r="F71" i="11"/>
  <c r="E71" i="11"/>
  <c r="G70" i="11"/>
  <c r="F70" i="11"/>
  <c r="E70" i="11"/>
  <c r="G69" i="11"/>
  <c r="F69" i="11"/>
  <c r="E69" i="11"/>
  <c r="G68" i="11"/>
  <c r="F68" i="11"/>
  <c r="E68" i="11"/>
  <c r="G67" i="11"/>
  <c r="F67" i="11"/>
  <c r="E67" i="11"/>
  <c r="G66" i="11"/>
  <c r="F66" i="11"/>
  <c r="E66" i="11"/>
  <c r="G65" i="11"/>
  <c r="F65" i="11"/>
  <c r="E65" i="11"/>
  <c r="G64" i="11"/>
  <c r="F64" i="11"/>
  <c r="E64" i="11"/>
  <c r="G63" i="11"/>
  <c r="F63" i="11"/>
  <c r="E63" i="11"/>
  <c r="G62" i="11"/>
  <c r="F62" i="11"/>
  <c r="E62" i="11"/>
  <c r="G61" i="11"/>
  <c r="F61" i="11"/>
  <c r="E61" i="11"/>
  <c r="G60" i="11"/>
  <c r="F60" i="11"/>
  <c r="E60" i="11"/>
  <c r="G59" i="11"/>
  <c r="F59" i="11"/>
  <c r="E59" i="11"/>
  <c r="G58" i="11"/>
  <c r="F58" i="11"/>
  <c r="E58" i="11"/>
  <c r="G57" i="11"/>
  <c r="F57" i="11"/>
  <c r="E57" i="11"/>
  <c r="G56" i="11"/>
  <c r="F56" i="11"/>
  <c r="E56" i="11"/>
  <c r="G55" i="11"/>
  <c r="F55" i="11"/>
  <c r="E55" i="11"/>
  <c r="G54" i="11"/>
  <c r="F54" i="11"/>
  <c r="E54" i="11"/>
  <c r="G53" i="11"/>
  <c r="F53" i="11"/>
  <c r="E53" i="11"/>
  <c r="G52" i="11"/>
  <c r="F52" i="11"/>
  <c r="E52" i="11"/>
  <c r="G51" i="11"/>
  <c r="F51" i="11"/>
  <c r="E51" i="11"/>
  <c r="G50" i="11"/>
  <c r="F50" i="11"/>
  <c r="E50" i="11"/>
  <c r="G49" i="11"/>
  <c r="F49" i="11"/>
  <c r="E49" i="11"/>
  <c r="G48" i="11"/>
  <c r="F48" i="11"/>
  <c r="E48" i="11"/>
  <c r="G47" i="11"/>
  <c r="F47" i="11"/>
  <c r="E47" i="11"/>
  <c r="G46" i="11"/>
  <c r="F46" i="11"/>
  <c r="E46" i="11"/>
  <c r="G45" i="11"/>
  <c r="F45" i="11"/>
  <c r="E45" i="11"/>
  <c r="G44" i="11"/>
  <c r="F44" i="11"/>
  <c r="E44" i="11"/>
  <c r="G43" i="11"/>
  <c r="F43" i="11"/>
  <c r="E43" i="11"/>
  <c r="G42" i="11"/>
  <c r="F42" i="11"/>
  <c r="E42" i="11"/>
  <c r="G41" i="11"/>
  <c r="F41" i="11"/>
  <c r="E41" i="11"/>
  <c r="G40" i="11"/>
  <c r="F40" i="11"/>
  <c r="E40" i="11"/>
  <c r="G39" i="11"/>
  <c r="F39" i="11"/>
  <c r="E39" i="11"/>
  <c r="G38" i="11"/>
  <c r="F38" i="11"/>
  <c r="E38" i="11"/>
  <c r="G37" i="11"/>
  <c r="F37" i="11"/>
  <c r="E37" i="11"/>
  <c r="G36" i="11"/>
  <c r="F36" i="11"/>
  <c r="E36" i="11"/>
  <c r="G35" i="11"/>
  <c r="F35" i="11"/>
  <c r="E35" i="11"/>
  <c r="G34" i="11"/>
  <c r="F34" i="11"/>
  <c r="E34" i="11"/>
  <c r="G33" i="11"/>
  <c r="F33" i="11"/>
  <c r="E33" i="11"/>
  <c r="G32" i="11"/>
  <c r="F32" i="11"/>
  <c r="E32" i="11"/>
  <c r="G31" i="11"/>
  <c r="F31" i="11"/>
  <c r="E31" i="11"/>
  <c r="G30" i="11"/>
  <c r="F30" i="11"/>
  <c r="E30" i="11"/>
  <c r="G29" i="11"/>
  <c r="F29" i="11"/>
  <c r="E29" i="11"/>
  <c r="G28" i="11"/>
  <c r="F28" i="11"/>
  <c r="E28" i="11"/>
  <c r="G27" i="11"/>
  <c r="F27" i="11"/>
  <c r="E27" i="11"/>
  <c r="G26" i="11"/>
  <c r="F26" i="11"/>
  <c r="E26" i="11"/>
  <c r="G25" i="11"/>
  <c r="F25" i="11"/>
  <c r="E25" i="11"/>
  <c r="G24" i="11"/>
  <c r="F24" i="11"/>
  <c r="E24" i="11"/>
  <c r="G23" i="11"/>
  <c r="F23" i="11"/>
  <c r="E23" i="11"/>
  <c r="G22" i="11"/>
  <c r="F22" i="11"/>
  <c r="E22" i="11"/>
  <c r="G21" i="11"/>
  <c r="F21" i="11"/>
  <c r="E21" i="11"/>
  <c r="G20" i="11"/>
  <c r="F20" i="11"/>
  <c r="E20" i="11"/>
  <c r="G19" i="11"/>
  <c r="F19" i="11"/>
  <c r="E19" i="11"/>
  <c r="G18" i="11"/>
  <c r="F18" i="11"/>
  <c r="E18" i="11"/>
  <c r="G17" i="11"/>
  <c r="F17" i="11"/>
  <c r="E17" i="11"/>
  <c r="G16" i="11"/>
  <c r="F16" i="11"/>
  <c r="E16" i="11"/>
  <c r="G15" i="11"/>
  <c r="F15" i="11"/>
  <c r="E15" i="11"/>
  <c r="G14" i="11"/>
  <c r="F14" i="11"/>
  <c r="E14" i="11"/>
  <c r="G13" i="11"/>
  <c r="F13" i="11"/>
  <c r="E13" i="11"/>
  <c r="G12" i="11"/>
  <c r="F12" i="11"/>
  <c r="E12" i="11"/>
  <c r="G11" i="11"/>
  <c r="F11" i="11"/>
  <c r="E11" i="11"/>
  <c r="G10" i="11"/>
  <c r="F10" i="11"/>
  <c r="E10" i="11"/>
  <c r="G9" i="11"/>
  <c r="F9" i="11"/>
  <c r="E9" i="11"/>
  <c r="G8" i="11"/>
  <c r="F8" i="11"/>
  <c r="E8" i="11"/>
  <c r="G7" i="11"/>
  <c r="F7" i="11"/>
  <c r="E7" i="11"/>
  <c r="G6" i="11"/>
  <c r="F6" i="11"/>
  <c r="E6" i="11"/>
  <c r="G5" i="11"/>
  <c r="F5" i="11"/>
  <c r="E5" i="11"/>
  <c r="C13" i="1"/>
  <c r="C12" i="1"/>
  <c r="M97" i="11"/>
  <c r="M99" i="11"/>
  <c r="M101" i="11"/>
  <c r="M102" i="11"/>
  <c r="G14" i="25"/>
  <c r="H14" i="25"/>
  <c r="I13" i="1" s="1"/>
  <c r="M18" i="26"/>
  <c r="M77" i="11" s="1"/>
  <c r="M16" i="26"/>
  <c r="M75" i="11" s="1"/>
  <c r="M7" i="26"/>
  <c r="M66" i="11" s="1"/>
  <c r="M9" i="26"/>
  <c r="M68" i="11" s="1"/>
  <c r="F19" i="26"/>
  <c r="G19" i="26"/>
  <c r="H19" i="26"/>
  <c r="I12" i="1" s="1"/>
  <c r="I19" i="26"/>
  <c r="J19" i="26"/>
  <c r="H12" i="1" s="1"/>
  <c r="L19" i="26"/>
  <c r="E19" i="26"/>
  <c r="D19" i="26"/>
  <c r="D12" i="1" s="1"/>
  <c r="K15" i="26"/>
  <c r="M15" i="26" s="1"/>
  <c r="M74" i="11" s="1"/>
  <c r="K14" i="26"/>
  <c r="M14" i="26" s="1"/>
  <c r="M73" i="11" s="1"/>
  <c r="K13" i="26"/>
  <c r="M13" i="26" s="1"/>
  <c r="M72" i="11" s="1"/>
  <c r="K12" i="26"/>
  <c r="M12" i="26" s="1"/>
  <c r="M71" i="11" s="1"/>
  <c r="K11" i="26"/>
  <c r="M11" i="26" s="1"/>
  <c r="M70" i="11" s="1"/>
  <c r="K10" i="26"/>
  <c r="M10" i="26" s="1"/>
  <c r="M69" i="11" s="1"/>
  <c r="K8" i="26"/>
  <c r="M8" i="26" s="1"/>
  <c r="M67" i="11" s="1"/>
  <c r="K6" i="26"/>
  <c r="M6" i="26" s="1"/>
  <c r="M65" i="11" s="1"/>
  <c r="D12" i="25"/>
  <c r="F12" i="25" s="1"/>
  <c r="D11" i="25"/>
  <c r="F11" i="25" s="1"/>
  <c r="M100" i="11"/>
  <c r="D6" i="25"/>
  <c r="F6" i="25" s="1"/>
  <c r="D14" i="25" l="1"/>
  <c r="D13" i="1" s="1"/>
  <c r="I6" i="25"/>
  <c r="J6" i="25" s="1"/>
  <c r="M96" i="11" s="1"/>
  <c r="M94" i="11"/>
  <c r="K19" i="26"/>
  <c r="F12" i="1" s="1"/>
  <c r="M5" i="26"/>
  <c r="I4" i="25"/>
  <c r="M95" i="11"/>
  <c r="I11" i="25" l="1"/>
  <c r="J11" i="25" s="1"/>
  <c r="M103" i="11" s="1"/>
  <c r="I12" i="25"/>
  <c r="J12" i="25" s="1"/>
  <c r="M104" i="11" s="1"/>
  <c r="M98" i="11"/>
  <c r="M19" i="26"/>
  <c r="M78" i="11" s="1"/>
  <c r="M64" i="11"/>
  <c r="F14" i="25"/>
  <c r="I14" i="25" l="1"/>
  <c r="F13" i="1" s="1"/>
  <c r="XFD19" i="26"/>
  <c r="L12" i="1"/>
  <c r="J4" i="25"/>
  <c r="M93" i="11" l="1"/>
  <c r="J14" i="25"/>
  <c r="D12" i="23" s="1"/>
  <c r="M105" i="11" l="1"/>
  <c r="L13" i="1"/>
  <c r="E6" i="18"/>
  <c r="F6" i="18"/>
  <c r="G6" i="18"/>
  <c r="S7" i="6"/>
  <c r="T7" i="6"/>
  <c r="R7" i="6"/>
  <c r="R7" i="7"/>
  <c r="V7" i="6"/>
  <c r="D25" i="3"/>
  <c r="D26" i="3"/>
  <c r="D27" i="3"/>
  <c r="D28" i="3"/>
  <c r="F44" i="24" l="1"/>
  <c r="E44" i="24"/>
  <c r="H44" i="24" s="1"/>
  <c r="H43" i="24"/>
  <c r="H42" i="24"/>
  <c r="F41" i="24"/>
  <c r="H41" i="24" s="1"/>
  <c r="N36" i="24"/>
  <c r="M36" i="24"/>
  <c r="L36" i="24"/>
  <c r="P34" i="24"/>
  <c r="P32" i="24"/>
  <c r="P31" i="24"/>
  <c r="P29" i="24"/>
  <c r="P28" i="24"/>
  <c r="P27" i="24"/>
  <c r="P26" i="24"/>
  <c r="P25" i="24"/>
  <c r="P24" i="24"/>
  <c r="P23" i="24"/>
  <c r="P22" i="24"/>
  <c r="P21" i="24"/>
  <c r="P20" i="24"/>
  <c r="P19" i="24"/>
  <c r="P18" i="24"/>
  <c r="P17" i="24"/>
  <c r="P16" i="24"/>
  <c r="P15" i="24"/>
  <c r="P14" i="24"/>
  <c r="P13" i="24"/>
  <c r="P12" i="24"/>
  <c r="P11" i="24"/>
  <c r="P10" i="24"/>
  <c r="P9" i="24"/>
  <c r="P8" i="24"/>
  <c r="P7" i="24"/>
  <c r="P6" i="24"/>
  <c r="M4" i="24"/>
  <c r="L4" i="24"/>
  <c r="L38" i="24" s="1"/>
  <c r="E14" i="23"/>
  <c r="F14" i="23" s="1"/>
  <c r="F13" i="23"/>
  <c r="D5" i="20"/>
  <c r="G5" i="20" s="1"/>
  <c r="G6" i="20" s="1"/>
  <c r="D4" i="20"/>
  <c r="J5" i="19"/>
  <c r="I5" i="19"/>
  <c r="H5" i="19"/>
  <c r="G5" i="19"/>
  <c r="F5" i="19"/>
  <c r="E5" i="19"/>
  <c r="D5" i="19"/>
  <c r="D16" i="1" s="1"/>
  <c r="K4" i="19"/>
  <c r="K5" i="19" s="1"/>
  <c r="M113" i="11"/>
  <c r="M112" i="11"/>
  <c r="D5" i="18"/>
  <c r="I5" i="18" s="1"/>
  <c r="M110" i="11" s="1"/>
  <c r="H4" i="18"/>
  <c r="H6" i="18" s="1"/>
  <c r="D4" i="18"/>
  <c r="I4" i="18" s="1"/>
  <c r="M109" i="11" s="1"/>
  <c r="R7" i="17"/>
  <c r="AE6" i="17"/>
  <c r="AD6" i="17"/>
  <c r="W6" i="17"/>
  <c r="U6" i="17"/>
  <c r="P6" i="17"/>
  <c r="I6" i="17"/>
  <c r="J6" i="17" s="1"/>
  <c r="F6" i="17"/>
  <c r="G6" i="17" s="1"/>
  <c r="AE5" i="17"/>
  <c r="AA5" i="17"/>
  <c r="AA7" i="17" s="1"/>
  <c r="Z5" i="17"/>
  <c r="Z7" i="17" s="1"/>
  <c r="W5" i="17"/>
  <c r="U5" i="17"/>
  <c r="U7" i="17" s="1"/>
  <c r="Q5" i="17"/>
  <c r="P5" i="17"/>
  <c r="I5" i="17"/>
  <c r="J5" i="17" s="1"/>
  <c r="F5" i="17"/>
  <c r="G5" i="17" s="1"/>
  <c r="W12" i="11"/>
  <c r="W10" i="11"/>
  <c r="W8" i="11"/>
  <c r="R15" i="12"/>
  <c r="R8" i="12"/>
  <c r="AE7" i="12"/>
  <c r="AD7" i="12"/>
  <c r="W7" i="12"/>
  <c r="W8" i="12" s="1"/>
  <c r="U7" i="12"/>
  <c r="P7" i="12"/>
  <c r="J7" i="12"/>
  <c r="I7" i="12"/>
  <c r="F7" i="12"/>
  <c r="G7" i="12" s="1"/>
  <c r="AE6" i="12"/>
  <c r="AD6" i="12"/>
  <c r="W6" i="12"/>
  <c r="U6" i="12"/>
  <c r="P6" i="12"/>
  <c r="I6" i="12"/>
  <c r="J6" i="12" s="1"/>
  <c r="F6" i="12"/>
  <c r="AE5" i="12"/>
  <c r="H11" i="1" s="1"/>
  <c r="AD5" i="12"/>
  <c r="W5" i="12"/>
  <c r="U5" i="12"/>
  <c r="P5" i="12"/>
  <c r="I5" i="12"/>
  <c r="J5" i="12" s="1"/>
  <c r="F5" i="12"/>
  <c r="G5" i="12" s="1"/>
  <c r="O94" i="11"/>
  <c r="R93" i="11"/>
  <c r="Q93" i="11"/>
  <c r="P93" i="11"/>
  <c r="O93" i="11"/>
  <c r="R92" i="11"/>
  <c r="Q92" i="11"/>
  <c r="P92" i="11"/>
  <c r="O92" i="11"/>
  <c r="R91" i="11"/>
  <c r="Q91" i="11"/>
  <c r="P91" i="11"/>
  <c r="O91" i="11"/>
  <c r="R90" i="11"/>
  <c r="Q90" i="11"/>
  <c r="P90" i="11"/>
  <c r="O90" i="11"/>
  <c r="Q89" i="11"/>
  <c r="P89" i="11"/>
  <c r="O89" i="11"/>
  <c r="Q88" i="11"/>
  <c r="P88" i="11"/>
  <c r="O88" i="11"/>
  <c r="R87" i="11"/>
  <c r="Q87" i="11"/>
  <c r="P87" i="11"/>
  <c r="O87" i="11"/>
  <c r="L87" i="11"/>
  <c r="K87" i="11"/>
  <c r="J87" i="11"/>
  <c r="Q60" i="11"/>
  <c r="P60" i="11"/>
  <c r="O60" i="11"/>
  <c r="L55" i="11"/>
  <c r="K55" i="11"/>
  <c r="J55" i="11"/>
  <c r="Q44" i="11"/>
  <c r="P44" i="11"/>
  <c r="O44" i="11"/>
  <c r="O38" i="11"/>
  <c r="Q37" i="11"/>
  <c r="P37" i="11"/>
  <c r="O37" i="11"/>
  <c r="Q36" i="11"/>
  <c r="P36" i="11"/>
  <c r="O36" i="11"/>
  <c r="Q35" i="11"/>
  <c r="P35" i="11"/>
  <c r="O35" i="11"/>
  <c r="Q34" i="11"/>
  <c r="P34" i="11"/>
  <c r="O34" i="11"/>
  <c r="Q33" i="11"/>
  <c r="P33" i="11"/>
  <c r="O33" i="11"/>
  <c r="Q32" i="11"/>
  <c r="P32" i="11"/>
  <c r="O32" i="11"/>
  <c r="Q31" i="11"/>
  <c r="P31" i="11"/>
  <c r="O31" i="11"/>
  <c r="Q30" i="11"/>
  <c r="P30" i="11"/>
  <c r="O30" i="11"/>
  <c r="Q29" i="11"/>
  <c r="P29" i="11"/>
  <c r="O29" i="11"/>
  <c r="Q28" i="11"/>
  <c r="P28" i="11"/>
  <c r="O28" i="11"/>
  <c r="Q27" i="11"/>
  <c r="P27" i="11"/>
  <c r="O27" i="11"/>
  <c r="V14" i="11"/>
  <c r="U14" i="11"/>
  <c r="T14" i="11"/>
  <c r="V13" i="11"/>
  <c r="U13" i="11"/>
  <c r="T13" i="11"/>
  <c r="V12" i="11"/>
  <c r="U12" i="11"/>
  <c r="T12" i="11"/>
  <c r="V11" i="11"/>
  <c r="U11" i="11"/>
  <c r="T11" i="11"/>
  <c r="V10" i="11"/>
  <c r="U10" i="11"/>
  <c r="T10" i="11"/>
  <c r="V9" i="11"/>
  <c r="U9" i="11"/>
  <c r="T9" i="11"/>
  <c r="V8" i="11"/>
  <c r="U8" i="11"/>
  <c r="T8" i="11"/>
  <c r="V7" i="11"/>
  <c r="U7" i="11"/>
  <c r="T7" i="11"/>
  <c r="V6" i="11"/>
  <c r="U6" i="11"/>
  <c r="T6" i="11"/>
  <c r="V5" i="11"/>
  <c r="U5" i="11"/>
  <c r="T5" i="11"/>
  <c r="V4" i="11"/>
  <c r="U4" i="11"/>
  <c r="T4" i="11"/>
  <c r="Q4" i="11"/>
  <c r="P4" i="11"/>
  <c r="O4" i="11"/>
  <c r="L4" i="11"/>
  <c r="K4" i="11"/>
  <c r="J4" i="11"/>
  <c r="G4" i="11"/>
  <c r="F4" i="11"/>
  <c r="E4" i="11"/>
  <c r="V3" i="11"/>
  <c r="U3" i="11"/>
  <c r="T3" i="11"/>
  <c r="AM7" i="10"/>
  <c r="R7" i="10"/>
  <c r="W6" i="10"/>
  <c r="P6" i="10"/>
  <c r="I6" i="10"/>
  <c r="J6" i="10" s="1"/>
  <c r="F6" i="10"/>
  <c r="AE5" i="10"/>
  <c r="AE7" i="10" s="1"/>
  <c r="W5" i="10"/>
  <c r="U5" i="10"/>
  <c r="P5" i="10"/>
  <c r="I5" i="10"/>
  <c r="J5" i="10" s="1"/>
  <c r="F5" i="10"/>
  <c r="G5" i="10" s="1"/>
  <c r="AM7" i="9"/>
  <c r="V7" i="9"/>
  <c r="W6" i="9"/>
  <c r="U6" i="9"/>
  <c r="P6" i="9"/>
  <c r="I6" i="9"/>
  <c r="J6" i="9" s="1"/>
  <c r="F6" i="9"/>
  <c r="AE5" i="9"/>
  <c r="AE7" i="9" s="1"/>
  <c r="W5" i="9"/>
  <c r="R5" i="9"/>
  <c r="R7" i="9" s="1"/>
  <c r="P5" i="9"/>
  <c r="I5" i="9"/>
  <c r="J5" i="9" s="1"/>
  <c r="F5" i="9"/>
  <c r="AO7" i="8"/>
  <c r="AM7" i="8"/>
  <c r="W6" i="8"/>
  <c r="U6" i="8"/>
  <c r="P6" i="8"/>
  <c r="I6" i="8"/>
  <c r="J6" i="8" s="1"/>
  <c r="F6" i="8"/>
  <c r="AE5" i="8"/>
  <c r="AE7" i="8" s="1"/>
  <c r="W5" i="8"/>
  <c r="U5" i="8"/>
  <c r="P5" i="8"/>
  <c r="I5" i="8"/>
  <c r="J5" i="8" s="1"/>
  <c r="F5" i="8"/>
  <c r="AF7" i="7"/>
  <c r="I7" i="1" s="1"/>
  <c r="U6" i="7"/>
  <c r="P6" i="7"/>
  <c r="J6" i="7"/>
  <c r="F6" i="7"/>
  <c r="G6" i="7" s="1"/>
  <c r="AE5" i="7"/>
  <c r="AE7" i="7" s="1"/>
  <c r="W5" i="7"/>
  <c r="U5" i="7"/>
  <c r="P5" i="7"/>
  <c r="I5" i="7"/>
  <c r="J5" i="7" s="1"/>
  <c r="F5" i="7"/>
  <c r="M19" i="1"/>
  <c r="X7" i="6"/>
  <c r="AA7" i="6"/>
  <c r="H19" i="1"/>
  <c r="U7" i="6"/>
  <c r="G15" i="5"/>
  <c r="D6" i="1"/>
  <c r="AD6" i="5"/>
  <c r="W6" i="5"/>
  <c r="U6" i="5"/>
  <c r="P6" i="5"/>
  <c r="I6" i="5"/>
  <c r="J6" i="5" s="1"/>
  <c r="F6" i="5"/>
  <c r="AK5" i="5"/>
  <c r="AG5" i="5"/>
  <c r="AE5" i="5"/>
  <c r="AE7" i="5" s="1"/>
  <c r="Z5" i="5"/>
  <c r="Z7" i="5" s="1"/>
  <c r="W5" i="5"/>
  <c r="R7" i="5"/>
  <c r="P5" i="5"/>
  <c r="I5" i="5"/>
  <c r="J5" i="5" s="1"/>
  <c r="F5" i="5"/>
  <c r="G5" i="5" s="1"/>
  <c r="AL7" i="4"/>
  <c r="N18" i="1" s="1"/>
  <c r="AK7" i="4"/>
  <c r="M18" i="1" s="1"/>
  <c r="K18" i="1"/>
  <c r="R7" i="4"/>
  <c r="H18" i="1"/>
  <c r="D24" i="3"/>
  <c r="D23" i="3"/>
  <c r="D22" i="3"/>
  <c r="D21" i="3"/>
  <c r="D20" i="3"/>
  <c r="D19" i="3"/>
  <c r="D18" i="3"/>
  <c r="D17" i="3"/>
  <c r="D16" i="3"/>
  <c r="D15" i="3"/>
  <c r="D14" i="3"/>
  <c r="D13" i="3"/>
  <c r="I12" i="3"/>
  <c r="D12" i="3"/>
  <c r="I11" i="3"/>
  <c r="D11" i="3"/>
  <c r="I10" i="3"/>
  <c r="D10" i="3"/>
  <c r="I9" i="3"/>
  <c r="D9" i="3"/>
  <c r="I8" i="3"/>
  <c r="D8" i="3"/>
  <c r="I7" i="3"/>
  <c r="D7" i="3"/>
  <c r="I6" i="3"/>
  <c r="D6" i="3"/>
  <c r="I5" i="3"/>
  <c r="D5" i="3"/>
  <c r="AM7" i="2"/>
  <c r="N5" i="1"/>
  <c r="K5" i="1"/>
  <c r="AD6" i="2"/>
  <c r="W6" i="2"/>
  <c r="U6" i="2"/>
  <c r="AK5" i="2"/>
  <c r="AG5" i="2"/>
  <c r="Z5" i="2"/>
  <c r="W5" i="2"/>
  <c r="R5" i="2"/>
  <c r="R7" i="2" s="1"/>
  <c r="P5" i="2"/>
  <c r="I5" i="2"/>
  <c r="J5" i="2" s="1"/>
  <c r="F5" i="2"/>
  <c r="G5" i="2" s="1"/>
  <c r="N19" i="1"/>
  <c r="K19" i="1"/>
  <c r="J19" i="1"/>
  <c r="I19" i="1"/>
  <c r="G19" i="1"/>
  <c r="D19" i="1"/>
  <c r="J18" i="1"/>
  <c r="I18" i="1"/>
  <c r="D18" i="1"/>
  <c r="I17" i="1"/>
  <c r="C17" i="1"/>
  <c r="I16" i="1"/>
  <c r="H16" i="1"/>
  <c r="F16" i="1"/>
  <c r="C16" i="1"/>
  <c r="I15" i="1"/>
  <c r="F15" i="1"/>
  <c r="C15" i="1"/>
  <c r="N14" i="1"/>
  <c r="M14" i="1"/>
  <c r="K14" i="1"/>
  <c r="J14" i="1"/>
  <c r="I14" i="1"/>
  <c r="D14" i="1"/>
  <c r="C14" i="1"/>
  <c r="O12" i="1"/>
  <c r="N11" i="1"/>
  <c r="M11" i="1"/>
  <c r="K11" i="1"/>
  <c r="J11" i="1"/>
  <c r="I11" i="1"/>
  <c r="D11" i="1"/>
  <c r="C11" i="1"/>
  <c r="I10" i="1"/>
  <c r="D10" i="1"/>
  <c r="N9" i="1"/>
  <c r="M9" i="1"/>
  <c r="K9" i="1"/>
  <c r="J9" i="1"/>
  <c r="I9" i="1"/>
  <c r="C9" i="1"/>
  <c r="I8" i="1"/>
  <c r="C8" i="1"/>
  <c r="D7" i="1"/>
  <c r="C7" i="1"/>
  <c r="C6" i="1"/>
  <c r="C5" i="1"/>
  <c r="R89" i="11" l="1"/>
  <c r="AE7" i="17"/>
  <c r="H14" i="1" s="1"/>
  <c r="Q5" i="8"/>
  <c r="D6" i="20"/>
  <c r="D17" i="1" s="1"/>
  <c r="W7" i="17"/>
  <c r="AA6" i="9"/>
  <c r="Z6" i="9"/>
  <c r="C20" i="1"/>
  <c r="AF7" i="5"/>
  <c r="I6" i="1" s="1"/>
  <c r="AF7" i="2"/>
  <c r="I5" i="1" s="1"/>
  <c r="M57" i="11"/>
  <c r="AB5" i="17"/>
  <c r="AD7" i="17"/>
  <c r="G14" i="1" s="1"/>
  <c r="AE7" i="2"/>
  <c r="H5" i="1" s="1"/>
  <c r="T7" i="2"/>
  <c r="Z7" i="2"/>
  <c r="V7" i="2"/>
  <c r="D5" i="1" s="1"/>
  <c r="E5" i="1" s="1"/>
  <c r="AD8" i="12"/>
  <c r="Z5" i="10"/>
  <c r="AD5" i="10" s="1"/>
  <c r="W7" i="10"/>
  <c r="AA6" i="10"/>
  <c r="AG6" i="10" s="1"/>
  <c r="Z6" i="10"/>
  <c r="U7" i="8"/>
  <c r="AA6" i="8"/>
  <c r="Z6" i="8"/>
  <c r="AA5" i="8"/>
  <c r="W7" i="8"/>
  <c r="D8" i="1" s="1"/>
  <c r="Z5" i="7"/>
  <c r="W7" i="7"/>
  <c r="U7" i="7"/>
  <c r="W7" i="5"/>
  <c r="R88" i="11"/>
  <c r="Q6" i="12"/>
  <c r="M38" i="24"/>
  <c r="L5" i="20"/>
  <c r="M5" i="20" s="1"/>
  <c r="N5" i="20" s="1"/>
  <c r="AD5" i="17"/>
  <c r="L4" i="19"/>
  <c r="L5" i="19" s="1"/>
  <c r="M111" i="11"/>
  <c r="I6" i="18"/>
  <c r="D10" i="23" s="1"/>
  <c r="Q5" i="9"/>
  <c r="H9" i="1"/>
  <c r="Z5" i="9"/>
  <c r="AD6" i="9"/>
  <c r="AA5" i="9"/>
  <c r="AD7" i="6"/>
  <c r="U5" i="5"/>
  <c r="U7" i="5" s="1"/>
  <c r="W7" i="6"/>
  <c r="Z7" i="6"/>
  <c r="AB6" i="2"/>
  <c r="AI6" i="2" s="1"/>
  <c r="O18" i="1"/>
  <c r="G5" i="9"/>
  <c r="E16" i="1"/>
  <c r="O16" i="1"/>
  <c r="O19" i="1"/>
  <c r="E12" i="1"/>
  <c r="E11" i="1"/>
  <c r="O11" i="1"/>
  <c r="Q6" i="10"/>
  <c r="AA5" i="10"/>
  <c r="H10" i="1"/>
  <c r="G6" i="10"/>
  <c r="Z5" i="8"/>
  <c r="AB5" i="8" s="1"/>
  <c r="AD6" i="8"/>
  <c r="G5" i="8"/>
  <c r="H8" i="1"/>
  <c r="AA6" i="7"/>
  <c r="E6" i="1"/>
  <c r="Q6" i="5"/>
  <c r="AB6" i="5" s="1"/>
  <c r="AI6" i="5" s="1"/>
  <c r="AJ6" i="5" s="1"/>
  <c r="M12" i="11"/>
  <c r="G6" i="5"/>
  <c r="H6" i="1"/>
  <c r="Q5" i="5"/>
  <c r="AB5" i="5" s="1"/>
  <c r="H51" i="11"/>
  <c r="AD5" i="2"/>
  <c r="AA6" i="2"/>
  <c r="AA7" i="2" s="1"/>
  <c r="O17" i="1"/>
  <c r="E17" i="1"/>
  <c r="E14" i="1"/>
  <c r="O14" i="1"/>
  <c r="E13" i="1"/>
  <c r="O13" i="1"/>
  <c r="E10" i="1"/>
  <c r="E7" i="1"/>
  <c r="Q5" i="2"/>
  <c r="AB5" i="2" s="1"/>
  <c r="U5" i="2"/>
  <c r="H29" i="11"/>
  <c r="H56" i="11"/>
  <c r="Q5" i="7"/>
  <c r="G5" i="7"/>
  <c r="AA6" i="5"/>
  <c r="G18" i="1"/>
  <c r="AD5" i="5"/>
  <c r="AK6" i="7"/>
  <c r="AG6" i="7"/>
  <c r="U6" i="10"/>
  <c r="Q6" i="7"/>
  <c r="AB6" i="7" s="1"/>
  <c r="G6" i="8"/>
  <c r="Q6" i="8"/>
  <c r="AB6" i="8" s="1"/>
  <c r="G6" i="9"/>
  <c r="Q6" i="9"/>
  <c r="AB6" i="9" s="1"/>
  <c r="AA5" i="7"/>
  <c r="W6" i="11"/>
  <c r="H7" i="1"/>
  <c r="U5" i="9"/>
  <c r="U7" i="9" s="1"/>
  <c r="W5" i="11"/>
  <c r="Y5" i="17"/>
  <c r="AI5" i="17"/>
  <c r="G6" i="12"/>
  <c r="Q5" i="12"/>
  <c r="AB5" i="12" s="1"/>
  <c r="G11" i="1"/>
  <c r="Q7" i="12"/>
  <c r="D9" i="1"/>
  <c r="O9" i="1" s="1"/>
  <c r="Q5" i="10"/>
  <c r="W7" i="11"/>
  <c r="W13" i="11"/>
  <c r="W3" i="11"/>
  <c r="W9" i="11"/>
  <c r="Q6" i="17"/>
  <c r="AB6" i="17" s="1"/>
  <c r="AI6" i="17" s="1"/>
  <c r="AJ6" i="17" s="1"/>
  <c r="W11" i="11"/>
  <c r="D6" i="18"/>
  <c r="D15" i="1" s="1"/>
  <c r="L4" i="20"/>
  <c r="R94" i="11" l="1"/>
  <c r="R74" i="11"/>
  <c r="L6" i="20"/>
  <c r="F17" i="1" s="1"/>
  <c r="L16" i="1"/>
  <c r="D15" i="23"/>
  <c r="R65" i="11"/>
  <c r="Z7" i="9"/>
  <c r="AA7" i="9"/>
  <c r="W7" i="9"/>
  <c r="AB6" i="10"/>
  <c r="Y6" i="10" s="1"/>
  <c r="AL6" i="10" s="1"/>
  <c r="AI6" i="9"/>
  <c r="AJ6" i="9" s="1"/>
  <c r="W7" i="2"/>
  <c r="Y6" i="17"/>
  <c r="AI7" i="12"/>
  <c r="Y7" i="12"/>
  <c r="AI6" i="12"/>
  <c r="M88" i="11" s="1"/>
  <c r="Y6" i="12"/>
  <c r="Y5" i="12"/>
  <c r="Y8" i="12" s="1"/>
  <c r="AB8" i="12"/>
  <c r="R66" i="11"/>
  <c r="U7" i="10"/>
  <c r="R75" i="11"/>
  <c r="R67" i="11"/>
  <c r="Z7" i="10"/>
  <c r="AD6" i="10"/>
  <c r="AD7" i="10" s="1"/>
  <c r="G10" i="1" s="1"/>
  <c r="AB5" i="10"/>
  <c r="Y5" i="10" s="1"/>
  <c r="AL5" i="10" s="1"/>
  <c r="R68" i="11"/>
  <c r="AA7" i="10"/>
  <c r="R73" i="11"/>
  <c r="R70" i="11"/>
  <c r="R72" i="11"/>
  <c r="Z7" i="8"/>
  <c r="AA7" i="8"/>
  <c r="R32" i="11"/>
  <c r="AD6" i="7"/>
  <c r="Z7" i="7"/>
  <c r="AA7" i="7"/>
  <c r="AA7" i="5"/>
  <c r="Y5" i="5"/>
  <c r="AD7" i="5"/>
  <c r="G6" i="1" s="1"/>
  <c r="I20" i="1"/>
  <c r="M41" i="11"/>
  <c r="M19" i="11"/>
  <c r="M29" i="11"/>
  <c r="M25" i="11"/>
  <c r="M16" i="11"/>
  <c r="M27" i="11"/>
  <c r="M21" i="11"/>
  <c r="M18" i="11"/>
  <c r="M14" i="11"/>
  <c r="M43" i="11"/>
  <c r="M8" i="11"/>
  <c r="M39" i="11"/>
  <c r="M44" i="11"/>
  <c r="M34" i="11"/>
  <c r="M35" i="11"/>
  <c r="M33" i="11"/>
  <c r="M30" i="11"/>
  <c r="M32" i="11"/>
  <c r="M6" i="11"/>
  <c r="M22" i="11"/>
  <c r="M23" i="11"/>
  <c r="M28" i="11"/>
  <c r="M10" i="11"/>
  <c r="M42" i="11"/>
  <c r="M31" i="11"/>
  <c r="Y6" i="5"/>
  <c r="M36" i="11"/>
  <c r="U7" i="2"/>
  <c r="AD7" i="2"/>
  <c r="G5" i="1" s="1"/>
  <c r="H68" i="11"/>
  <c r="H70" i="11"/>
  <c r="H67" i="11"/>
  <c r="H23" i="11"/>
  <c r="H42" i="11"/>
  <c r="H64" i="11"/>
  <c r="H10" i="11"/>
  <c r="H34" i="11"/>
  <c r="H63" i="11"/>
  <c r="H59" i="11"/>
  <c r="H14" i="11"/>
  <c r="H6" i="11"/>
  <c r="H48" i="11"/>
  <c r="H71" i="11"/>
  <c r="H36" i="11"/>
  <c r="H38" i="11"/>
  <c r="H52" i="11"/>
  <c r="H58" i="11"/>
  <c r="H19" i="11"/>
  <c r="H30" i="11"/>
  <c r="H45" i="11"/>
  <c r="H57" i="11"/>
  <c r="H25" i="11"/>
  <c r="H50" i="11"/>
  <c r="H28" i="11"/>
  <c r="H41" i="11"/>
  <c r="H37" i="11"/>
  <c r="H15" i="11"/>
  <c r="H65" i="11"/>
  <c r="H22" i="11"/>
  <c r="H32" i="11"/>
  <c r="H49" i="11"/>
  <c r="H46" i="11"/>
  <c r="H53" i="11"/>
  <c r="H9" i="11"/>
  <c r="Y6" i="2"/>
  <c r="H74" i="11"/>
  <c r="H20" i="11"/>
  <c r="H66" i="11"/>
  <c r="H39" i="11"/>
  <c r="AB5" i="9"/>
  <c r="M115" i="11"/>
  <c r="D20" i="1"/>
  <c r="L15" i="1"/>
  <c r="AK6" i="10"/>
  <c r="AD5" i="9"/>
  <c r="AD5" i="8"/>
  <c r="AI5" i="8" s="1"/>
  <c r="R17" i="11"/>
  <c r="Y6" i="7"/>
  <c r="H35" i="11"/>
  <c r="E9" i="1"/>
  <c r="E8" i="1"/>
  <c r="H20" i="1"/>
  <c r="F18" i="1"/>
  <c r="Y5" i="8"/>
  <c r="AK5" i="7"/>
  <c r="AG5" i="7"/>
  <c r="AI5" i="12"/>
  <c r="F11" i="1"/>
  <c r="AD5" i="7"/>
  <c r="AB5" i="7"/>
  <c r="Y5" i="2"/>
  <c r="AI5" i="2"/>
  <c r="J4" i="24"/>
  <c r="E10" i="23"/>
  <c r="F10" i="23" s="1"/>
  <c r="AK6" i="8"/>
  <c r="AG6" i="8"/>
  <c r="AI5" i="5"/>
  <c r="W4" i="11"/>
  <c r="AJ5" i="17"/>
  <c r="AH5" i="10"/>
  <c r="W14" i="11"/>
  <c r="AG5" i="10"/>
  <c r="AK5" i="10"/>
  <c r="M4" i="20"/>
  <c r="M6" i="20" s="1"/>
  <c r="AJ7" i="12" l="1"/>
  <c r="M89" i="11" s="1"/>
  <c r="N4" i="24"/>
  <c r="N38" i="24" s="1"/>
  <c r="E15" i="23"/>
  <c r="F15" i="23" s="1"/>
  <c r="AK7" i="7"/>
  <c r="AG7" i="7"/>
  <c r="J7" i="1" s="1"/>
  <c r="AG7" i="5"/>
  <c r="AI5" i="9"/>
  <c r="AD7" i="9"/>
  <c r="G9" i="1" s="1"/>
  <c r="Y5" i="9"/>
  <c r="H8" i="11"/>
  <c r="H17" i="11"/>
  <c r="H7" i="11"/>
  <c r="H11" i="11"/>
  <c r="M58" i="11"/>
  <c r="Y7" i="17"/>
  <c r="AB7" i="17"/>
  <c r="F14" i="1" s="1"/>
  <c r="AJ5" i="12"/>
  <c r="AI8" i="12"/>
  <c r="AG7" i="10"/>
  <c r="J10" i="1" s="1"/>
  <c r="AK7" i="10"/>
  <c r="M10" i="1" s="1"/>
  <c r="R69" i="11"/>
  <c r="R71" i="11"/>
  <c r="AB7" i="10"/>
  <c r="F10" i="1" s="1"/>
  <c r="R64" i="11"/>
  <c r="AH6" i="10"/>
  <c r="AI6" i="10" s="1"/>
  <c r="AJ6" i="10" s="1"/>
  <c r="R47" i="11"/>
  <c r="R46" i="11"/>
  <c r="R45" i="11"/>
  <c r="Y6" i="9"/>
  <c r="R49" i="11"/>
  <c r="AK7" i="8"/>
  <c r="M8" i="1" s="1"/>
  <c r="R31" i="11"/>
  <c r="AG7" i="8"/>
  <c r="J8" i="1" s="1"/>
  <c r="Y6" i="8"/>
  <c r="AH6" i="8" s="1"/>
  <c r="AI6" i="8" s="1"/>
  <c r="AJ6" i="8" s="1"/>
  <c r="AB7" i="8"/>
  <c r="F8" i="1" s="1"/>
  <c r="R33" i="11"/>
  <c r="R37" i="11"/>
  <c r="R34" i="11"/>
  <c r="R35" i="11"/>
  <c r="AD7" i="8"/>
  <c r="G8" i="1" s="1"/>
  <c r="R16" i="11"/>
  <c r="R14" i="11"/>
  <c r="R6" i="11"/>
  <c r="R9" i="11"/>
  <c r="R8" i="11"/>
  <c r="R13" i="11"/>
  <c r="R19" i="11"/>
  <c r="AD7" i="7"/>
  <c r="G7" i="1" s="1"/>
  <c r="R12" i="11"/>
  <c r="R11" i="11"/>
  <c r="R15" i="11"/>
  <c r="R18" i="11"/>
  <c r="AB7" i="7"/>
  <c r="F7" i="1" s="1"/>
  <c r="AB7" i="6"/>
  <c r="F19" i="1" s="1"/>
  <c r="M20" i="11"/>
  <c r="M24" i="11"/>
  <c r="AK7" i="5"/>
  <c r="M6" i="1" s="1"/>
  <c r="M13" i="11"/>
  <c r="AB7" i="5"/>
  <c r="F6" i="1" s="1"/>
  <c r="M5" i="11"/>
  <c r="M37" i="11"/>
  <c r="M26" i="11"/>
  <c r="M47" i="11"/>
  <c r="M46" i="11"/>
  <c r="M17" i="11"/>
  <c r="M7" i="11"/>
  <c r="M40" i="11"/>
  <c r="M38" i="11"/>
  <c r="M45" i="11"/>
  <c r="M48" i="11"/>
  <c r="AK7" i="2"/>
  <c r="M5" i="1" s="1"/>
  <c r="O5" i="1" s="1"/>
  <c r="AG7" i="2"/>
  <c r="J5" i="1" s="1"/>
  <c r="H12" i="11"/>
  <c r="H47" i="11"/>
  <c r="H75" i="11"/>
  <c r="H26" i="11"/>
  <c r="AB7" i="2"/>
  <c r="F5" i="1" s="1"/>
  <c r="H60" i="11"/>
  <c r="H27" i="11"/>
  <c r="H44" i="11"/>
  <c r="H62" i="11"/>
  <c r="H61" i="11"/>
  <c r="H18" i="11"/>
  <c r="H72" i="11"/>
  <c r="H43" i="11"/>
  <c r="H24" i="11"/>
  <c r="H13" i="11"/>
  <c r="H33" i="11"/>
  <c r="H40" i="11"/>
  <c r="H31" i="11"/>
  <c r="H76" i="11"/>
  <c r="H54" i="11"/>
  <c r="H16" i="11"/>
  <c r="H21" i="11"/>
  <c r="H55" i="11"/>
  <c r="H73" i="11"/>
  <c r="O15" i="1"/>
  <c r="E15" i="1"/>
  <c r="E20" i="1" s="1"/>
  <c r="Y7" i="6"/>
  <c r="H69" i="11"/>
  <c r="M7" i="1"/>
  <c r="J6" i="1"/>
  <c r="L18" i="1"/>
  <c r="J5" i="24"/>
  <c r="J36" i="24" s="1"/>
  <c r="J38" i="24" s="1"/>
  <c r="AI5" i="7"/>
  <c r="Y5" i="7"/>
  <c r="AJ5" i="8"/>
  <c r="N4" i="20"/>
  <c r="N6" i="20" s="1"/>
  <c r="D16" i="23" s="1"/>
  <c r="AJ5" i="2"/>
  <c r="M55" i="11"/>
  <c r="AI5" i="10"/>
  <c r="AJ5" i="5"/>
  <c r="AB7" i="9" l="1"/>
  <c r="AJ8" i="12"/>
  <c r="D9" i="23" s="1"/>
  <c r="O33" i="24"/>
  <c r="O4" i="24"/>
  <c r="E16" i="23"/>
  <c r="F16" i="23" s="1"/>
  <c r="AJ5" i="9"/>
  <c r="AI7" i="9"/>
  <c r="M15" i="11"/>
  <c r="AI7" i="17"/>
  <c r="M56" i="11"/>
  <c r="AJ7" i="17"/>
  <c r="R62" i="11"/>
  <c r="R63" i="11"/>
  <c r="AL7" i="10"/>
  <c r="N10" i="1" s="1"/>
  <c r="O10" i="1" s="1"/>
  <c r="Y7" i="10"/>
  <c r="AH7" i="10"/>
  <c r="K10" i="1" s="1"/>
  <c r="Y7" i="9"/>
  <c r="F9" i="1"/>
  <c r="F20" i="1" s="1"/>
  <c r="Y7" i="8"/>
  <c r="AL6" i="8"/>
  <c r="Y7" i="7"/>
  <c r="R7" i="11"/>
  <c r="AJ7" i="6"/>
  <c r="AJ8" i="6" s="1"/>
  <c r="L19" i="1" s="1"/>
  <c r="AI7" i="6"/>
  <c r="Y7" i="5"/>
  <c r="AL7" i="5"/>
  <c r="N6" i="1" s="1"/>
  <c r="O6" i="1" s="1"/>
  <c r="M11" i="11"/>
  <c r="Y7" i="2"/>
  <c r="AI7" i="2"/>
  <c r="H5" i="11"/>
  <c r="AJ7" i="2"/>
  <c r="R48" i="11"/>
  <c r="G20" i="1"/>
  <c r="R36" i="11"/>
  <c r="R10" i="11"/>
  <c r="L17" i="1"/>
  <c r="J20" i="1"/>
  <c r="AH6" i="7"/>
  <c r="AL6" i="7"/>
  <c r="AL7" i="7" s="1"/>
  <c r="M87" i="11"/>
  <c r="M90" i="11"/>
  <c r="AJ5" i="7"/>
  <c r="AJ5" i="10"/>
  <c r="H4" i="11"/>
  <c r="R27" i="11"/>
  <c r="M4" i="11"/>
  <c r="M20" i="1"/>
  <c r="O36" i="24" l="1"/>
  <c r="O38" i="24" s="1"/>
  <c r="P33" i="24"/>
  <c r="F24" i="23"/>
  <c r="AH7" i="5"/>
  <c r="K6" i="1" s="1"/>
  <c r="M59" i="11"/>
  <c r="D11" i="23"/>
  <c r="I4" i="24" s="1"/>
  <c r="AI7" i="10"/>
  <c r="AJ7" i="9"/>
  <c r="R50" i="11" s="1"/>
  <c r="R44" i="11"/>
  <c r="H77" i="11"/>
  <c r="D6" i="23"/>
  <c r="L14" i="1"/>
  <c r="R61" i="11"/>
  <c r="AJ7" i="10"/>
  <c r="AH7" i="8"/>
  <c r="K8" i="1" s="1"/>
  <c r="AL7" i="8"/>
  <c r="N8" i="1" s="1"/>
  <c r="O8" i="1" s="1"/>
  <c r="R28" i="11"/>
  <c r="AH7" i="7"/>
  <c r="K7" i="1" s="1"/>
  <c r="AI6" i="7"/>
  <c r="M9" i="11"/>
  <c r="AI7" i="5"/>
  <c r="R30" i="11"/>
  <c r="AI7" i="8"/>
  <c r="N7" i="1"/>
  <c r="L5" i="1"/>
  <c r="L11" i="1"/>
  <c r="R60" i="11"/>
  <c r="R4" i="11"/>
  <c r="E11" i="23" l="1"/>
  <c r="F11" i="23" s="1"/>
  <c r="R76" i="11"/>
  <c r="AJ6" i="7"/>
  <c r="AJ7" i="7" s="1"/>
  <c r="R20" i="11" s="1"/>
  <c r="AI7" i="7"/>
  <c r="AJ7" i="5"/>
  <c r="D7" i="23" s="1"/>
  <c r="K20" i="1"/>
  <c r="AJ7" i="8"/>
  <c r="O7" i="1"/>
  <c r="O20" i="1" s="1"/>
  <c r="N20" i="1"/>
  <c r="I5" i="24"/>
  <c r="I36" i="24" s="1"/>
  <c r="I38" i="24" s="1"/>
  <c r="L10" i="1"/>
  <c r="L9" i="1"/>
  <c r="E4" i="24"/>
  <c r="E6" i="23"/>
  <c r="F6" i="23" s="1"/>
  <c r="K4" i="24"/>
  <c r="E12" i="23"/>
  <c r="F12" i="23" s="1"/>
  <c r="G4" i="24"/>
  <c r="E9" i="23"/>
  <c r="F9" i="23" s="1"/>
  <c r="D8" i="23" l="1"/>
  <c r="F25" i="23"/>
  <c r="M49" i="11"/>
  <c r="R5" i="11"/>
  <c r="L6" i="1"/>
  <c r="R29" i="11"/>
  <c r="E5" i="24"/>
  <c r="G5" i="24"/>
  <c r="G36" i="24" s="1"/>
  <c r="G38" i="24" s="1"/>
  <c r="K5" i="24"/>
  <c r="K36" i="24" s="1"/>
  <c r="K38" i="24" s="1"/>
  <c r="E7" i="23" l="1"/>
  <c r="F7" i="23" s="1"/>
  <c r="F4" i="24"/>
  <c r="F5" i="24" s="1"/>
  <c r="F36" i="24" s="1"/>
  <c r="F38" i="24" s="1"/>
  <c r="R38" i="11"/>
  <c r="L8" i="1"/>
  <c r="L7" i="1"/>
  <c r="E36" i="24"/>
  <c r="E38" i="24" s="1"/>
  <c r="L20" i="1" l="1"/>
  <c r="O22" i="1" s="1"/>
  <c r="E8" i="23"/>
  <c r="E17" i="23" s="1"/>
  <c r="H4" i="24"/>
  <c r="D17" i="23"/>
  <c r="D25" i="23" l="1"/>
  <c r="D21" i="23"/>
  <c r="D24" i="23"/>
  <c r="D20" i="23"/>
  <c r="H5" i="24"/>
  <c r="P4" i="24"/>
  <c r="F8" i="23"/>
  <c r="F17" i="23" s="1"/>
  <c r="D26" i="23" l="1"/>
  <c r="H36" i="24"/>
  <c r="H38" i="24" s="1"/>
  <c r="P5" i="24"/>
  <c r="P36" i="24" s="1"/>
  <c r="P38" i="24" s="1"/>
  <c r="D22" i="23"/>
</calcChain>
</file>

<file path=xl/sharedStrings.xml><?xml version="1.0" encoding="utf-8"?>
<sst xmlns="http://schemas.openxmlformats.org/spreadsheetml/2006/main" count="1172" uniqueCount="600">
  <si>
    <t>QUEEN MIRA INTERNATIONAL SCHOOL</t>
  </si>
  <si>
    <t>S. No</t>
  </si>
  <si>
    <t>Particulars</t>
  </si>
  <si>
    <t>No of Employees</t>
  </si>
  <si>
    <t>Gross Salary
( A )</t>
  </si>
  <si>
    <t xml:space="preserve">Average Salary </t>
  </si>
  <si>
    <t>Deductions</t>
  </si>
  <si>
    <t>Net Salary
[D]</t>
  </si>
  <si>
    <t>Employer Contribution</t>
  </si>
  <si>
    <t>Total
[A+E+F]</t>
  </si>
  <si>
    <t xml:space="preserve">Late / Permission / Leave / Absent LOP </t>
  </si>
  <si>
    <t>Not Punched LOP</t>
  </si>
  <si>
    <t>Salary Advance / Loan</t>
  </si>
  <si>
    <t>Special Deductions [Telephone Bill + Laptop + Uniform + Trainings etc]</t>
  </si>
  <si>
    <t>PF 12%
[B]</t>
  </si>
  <si>
    <t>ESI 0.75% [C]</t>
  </si>
  <si>
    <t>PF 13.01%
[E]</t>
  </si>
  <si>
    <t>ESI 3.25%
[F]</t>
  </si>
  <si>
    <t xml:space="preserve">Academics Staff  </t>
  </si>
  <si>
    <t>Admin Staff</t>
  </si>
  <si>
    <t>Drivers</t>
  </si>
  <si>
    <t>Conductors</t>
  </si>
  <si>
    <t>Securities</t>
  </si>
  <si>
    <t>Housekeeping</t>
  </si>
  <si>
    <t>Hostel</t>
  </si>
  <si>
    <t>Part Time - Academics</t>
  </si>
  <si>
    <t>Theni Upparpatti</t>
  </si>
  <si>
    <t>Academic Enrichment Program</t>
  </si>
  <si>
    <t>Rifle Shooting</t>
  </si>
  <si>
    <t>Part Time Admin</t>
  </si>
  <si>
    <t xml:space="preserve">Relieved Academics </t>
  </si>
  <si>
    <t xml:space="preserve">Relieved Admin </t>
  </si>
  <si>
    <t>Total</t>
  </si>
  <si>
    <t>Payable Total (B+C+D+E+F)</t>
  </si>
  <si>
    <t>HR Manager</t>
  </si>
  <si>
    <t>Finance Manager</t>
  </si>
  <si>
    <t>Joint Director Admin</t>
  </si>
  <si>
    <t>Director Academics</t>
  </si>
  <si>
    <t>Managing Director</t>
  </si>
  <si>
    <t>S.No</t>
  </si>
  <si>
    <t>Name</t>
  </si>
  <si>
    <t>Department</t>
  </si>
  <si>
    <t>Attendance</t>
  </si>
  <si>
    <t>Salary Advance / Loan Details</t>
  </si>
  <si>
    <t>Gross Salary</t>
  </si>
  <si>
    <t>Payable Gross Salary</t>
  </si>
  <si>
    <t>Other Allownace</t>
  </si>
  <si>
    <t>Salary.Actuals
[Gross Salary - Leave Deduction]</t>
  </si>
  <si>
    <t>Salary per day [Gross salary / no of days that month]</t>
  </si>
  <si>
    <t>Basic [45% of Gross Salary]</t>
  </si>
  <si>
    <t>Net Salary</t>
  </si>
  <si>
    <t>QMIS Contribution</t>
  </si>
  <si>
    <t>Remarks</t>
  </si>
  <si>
    <t>Total working days</t>
  </si>
  <si>
    <t>Lates. Actuals</t>
  </si>
  <si>
    <t>Lates. Leave [Exceeding lates conversions count]</t>
  </si>
  <si>
    <t>Final Lates after deducting exceeding  Late leaves</t>
  </si>
  <si>
    <t>Permissions.Actuals</t>
  </si>
  <si>
    <t>Exceeding Permissions taken
for this month</t>
  </si>
  <si>
    <t xml:space="preserve">Proper Permissions </t>
  </si>
  <si>
    <t>Proper Casual Leave already
taken for this year till date</t>
  </si>
  <si>
    <t xml:space="preserve">Proper Casual Leave taken
for this month </t>
  </si>
  <si>
    <t>Exceeding Casual Leave taken
for this month / Memo issued</t>
  </si>
  <si>
    <t>Absent / Suspension.Actuals</t>
  </si>
  <si>
    <t>Gardening / Other Leave</t>
  </si>
  <si>
    <t>Total Leave days.Actuals</t>
  </si>
  <si>
    <t>Loss of Pay Days</t>
  </si>
  <si>
    <t>Total Loan Amount</t>
  </si>
  <si>
    <t>Amount already paid</t>
  </si>
  <si>
    <t>Amount to be paid for this month</t>
  </si>
  <si>
    <t>Remaining Loan Amount</t>
  </si>
  <si>
    <t>Leave / Absent / Permission Leave / Late Leave</t>
  </si>
  <si>
    <t>Not Punched Days</t>
  </si>
  <si>
    <t>Special Deductions [Telephone Bill + healthcheck up + Uniform + Trainings etc]</t>
  </si>
  <si>
    <t>PF 
[12% of Basic Salary]</t>
  </si>
  <si>
    <t>ESI 
[0.75% of Salary.Actuals]</t>
  </si>
  <si>
    <t>PF 
[13.01% of Basic Salary]</t>
  </si>
  <si>
    <t>ESI 
[3.25% of Salary.Actuals]</t>
  </si>
  <si>
    <t>SUJATHA D/O SUBBURAM</t>
  </si>
  <si>
    <t>Director - Academics</t>
  </si>
  <si>
    <t>1750155000050628</t>
  </si>
  <si>
    <t>A JAINCOL FATHIMA</t>
  </si>
  <si>
    <t>Assistant Vice Principal Kinder Garten / PRT-English</t>
  </si>
  <si>
    <t>1750061000000064</t>
  </si>
  <si>
    <t>GAYATHRI MURUGAN</t>
  </si>
  <si>
    <t>GOWSALYA DEVI BALAMURUGAN</t>
  </si>
  <si>
    <t>P JAGATHESWARI</t>
  </si>
  <si>
    <t>ANITA NANCY DIANA</t>
  </si>
  <si>
    <t>VANITHA T</t>
  </si>
  <si>
    <t>SANGEETHA M S T</t>
  </si>
  <si>
    <t>K G SATHYA PRIYA</t>
  </si>
  <si>
    <t>KAVITHA A</t>
  </si>
  <si>
    <t>VISWANATH G B</t>
  </si>
  <si>
    <t>EDITH INBAVADHANI ALEXANDER</t>
  </si>
  <si>
    <t>CUBA QUEEN J</t>
  </si>
  <si>
    <t>ZENOFER SYED MURADH</t>
  </si>
  <si>
    <t>SHALINI JOSEPH MANOHARAN</t>
  </si>
  <si>
    <t>ABIRAMY KUMARESAN</t>
  </si>
  <si>
    <t>SASIREKHA M</t>
  </si>
  <si>
    <t>ARAVIND REGHURAMAN</t>
  </si>
  <si>
    <t>ASHA RABACAL W</t>
  </si>
  <si>
    <t>INFANTSHIA VAZ</t>
  </si>
  <si>
    <t>SONIA ASHOKKUMAR</t>
  </si>
  <si>
    <t>VINAYAPRASAD NATTEEL</t>
  </si>
  <si>
    <t>CHANDRU CHINNASENDRAYAN</t>
  </si>
  <si>
    <t>School Counsellor</t>
  </si>
  <si>
    <t>Rajasekar</t>
  </si>
  <si>
    <t>AEP Coordinator / Mentor Grade 9 to 12</t>
  </si>
  <si>
    <t>1750060000003764</t>
  </si>
  <si>
    <t>R Veerachinna Krishnan</t>
  </si>
  <si>
    <t>TGT - Hindi</t>
  </si>
  <si>
    <t>1750060000003788</t>
  </si>
  <si>
    <t xml:space="preserve">Finance Manager </t>
  </si>
  <si>
    <t>Other Allowance</t>
  </si>
  <si>
    <t>Salary. Actuals
[Gross Salary - Leave Deduction]</t>
  </si>
  <si>
    <t>Permissions. Actuals</t>
  </si>
  <si>
    <t>Proper Casual Leave taken
for this month</t>
  </si>
  <si>
    <t>Exceeding Casual Leave taken
for this month</t>
  </si>
  <si>
    <t>Absent / Suspension. Actuals</t>
  </si>
  <si>
    <t>Total Leave days. Actuals</t>
  </si>
  <si>
    <t>ESI 
[0.75% of Salary. Actuals]</t>
  </si>
  <si>
    <t>ESI 
[3.25% of Salary. Actuals]</t>
  </si>
  <si>
    <t>INDIRA S</t>
  </si>
  <si>
    <t>TOTAL</t>
  </si>
  <si>
    <t>Payable salary</t>
  </si>
  <si>
    <r>
      <rPr>
        <b/>
        <sz val="14"/>
        <rFont val="Calibri"/>
        <family val="2"/>
      </rPr>
      <t xml:space="preserve">Special Deductions </t>
    </r>
    <r>
      <rPr>
        <b/>
        <sz val="12"/>
        <rFont val="Calibri Light"/>
        <family val="2"/>
      </rPr>
      <t>[Telephone Bill + healthcheck up + Uniform + Trainings etc]</t>
    </r>
  </si>
  <si>
    <r>
      <rPr>
        <b/>
        <sz val="14"/>
        <rFont val="Calibri"/>
        <family val="2"/>
      </rPr>
      <t xml:space="preserve">ESI </t>
    </r>
    <r>
      <rPr>
        <b/>
        <sz val="12"/>
        <rFont val="Calibri Light (Headings)"/>
      </rPr>
      <t xml:space="preserve">
[0.75% of Salary.Actuals]</t>
    </r>
  </si>
  <si>
    <t>JOSEPHINE ANNE SHEEBHA ARULDASS</t>
  </si>
  <si>
    <t>Joint Director- Admin</t>
  </si>
  <si>
    <t>1750062000000072</t>
  </si>
  <si>
    <t>Jeya Dharini Abinath</t>
  </si>
  <si>
    <t>GM - Finance</t>
  </si>
  <si>
    <t>Ashrafa</t>
  </si>
  <si>
    <t>G VAIYAPURI</t>
  </si>
  <si>
    <t>MUTHUKUMAR J</t>
  </si>
  <si>
    <t>ALANGARAM JOSEPH DOMINIC</t>
  </si>
  <si>
    <t>ASSWAH R</t>
  </si>
  <si>
    <t>JANANE V M</t>
  </si>
  <si>
    <t>DEEPIKA KANNAN</t>
  </si>
  <si>
    <t>Accountant</t>
  </si>
  <si>
    <t>1750060000000023</t>
  </si>
  <si>
    <t>AARTHY SELVAM</t>
  </si>
  <si>
    <t>House Keeping Supervisor</t>
  </si>
  <si>
    <t>1750060000001274</t>
  </si>
  <si>
    <t>KALPANA S</t>
  </si>
  <si>
    <t>MOHAMED AADHIL S</t>
  </si>
  <si>
    <t>CHRISTINAL SHANTHI E</t>
  </si>
  <si>
    <t xml:space="preserve">Executive Audit </t>
  </si>
  <si>
    <t>Meena</t>
  </si>
  <si>
    <t>AARTHI A T</t>
  </si>
  <si>
    <t>Shanmugavalli</t>
  </si>
  <si>
    <t>KAUSIK GANESAN</t>
  </si>
  <si>
    <t>1750060000000992</t>
  </si>
  <si>
    <t>1750060000002726</t>
  </si>
  <si>
    <t>G B Hemavathy</t>
  </si>
  <si>
    <t>1750061000000572</t>
  </si>
  <si>
    <t>Joint Director - Admin</t>
  </si>
  <si>
    <t>Gross Salalry</t>
  </si>
  <si>
    <t>Transport Driver</t>
  </si>
  <si>
    <t>Security Officer</t>
  </si>
  <si>
    <t>Joint Director-Admin</t>
  </si>
  <si>
    <r>
      <rPr>
        <b/>
        <sz val="14"/>
        <rFont val="Calibri"/>
        <family val="2"/>
      </rPr>
      <t>Special Deductions</t>
    </r>
    <r>
      <rPr>
        <b/>
        <sz val="12"/>
        <rFont val="Calibri Light"/>
        <family val="2"/>
      </rPr>
      <t xml:space="preserve"> [Telephone Bill + healthcheck up + Uniform + Trainings etc]</t>
    </r>
  </si>
  <si>
    <t>KUMARAVEL MOOKKAIAH</t>
  </si>
  <si>
    <t>1750060000000508</t>
  </si>
  <si>
    <t>DURAIMURUGAN NAGARAJAN</t>
  </si>
  <si>
    <t>1750060000000522</t>
  </si>
  <si>
    <t>JEYASELAN P</t>
  </si>
  <si>
    <t>BALAMURUGAN AYYADURAI</t>
  </si>
  <si>
    <t>P SELVAM</t>
  </si>
  <si>
    <t>BALAMURUGAN K</t>
  </si>
  <si>
    <t>K BALASARAVANAN</t>
  </si>
  <si>
    <t>Salary Actuals
[Gross Salary - Leave Deduction]</t>
  </si>
  <si>
    <t>SUNDARI JEYARAM</t>
  </si>
  <si>
    <t>Conductor</t>
  </si>
  <si>
    <t>1750059000000054</t>
  </si>
  <si>
    <t>S CHITRA</t>
  </si>
  <si>
    <t>1750059000000281</t>
  </si>
  <si>
    <t>GNANAMANI SANKARALINGAM</t>
  </si>
  <si>
    <t>MURUGESWARI G</t>
  </si>
  <si>
    <t>GOVINDAMMAL SIVAKUMAR</t>
  </si>
  <si>
    <t>MABU BATCHA</t>
  </si>
  <si>
    <t>UMA MAHESWARI NAGARAJAN</t>
  </si>
  <si>
    <t>VAIRAMANI S/O BOSE</t>
  </si>
  <si>
    <t>Child Safety Officer</t>
  </si>
  <si>
    <t>1750059000000196</t>
  </si>
  <si>
    <t>MOHAMED ALI JINNA A</t>
  </si>
  <si>
    <t>1750060000000380</t>
  </si>
  <si>
    <t>AMARAVALLI W/O RAJANGAM</t>
  </si>
  <si>
    <t>Janitor</t>
  </si>
  <si>
    <t>1750060000000886</t>
  </si>
  <si>
    <t>PARVATHI W/O MUTHAIAH</t>
  </si>
  <si>
    <t>Salary Adv Note: 4Pg.No: 30</t>
  </si>
  <si>
    <t>1750059000000231</t>
  </si>
  <si>
    <t>UMARANI B</t>
  </si>
  <si>
    <t>PANJU T</t>
  </si>
  <si>
    <t>R SUTHA</t>
  </si>
  <si>
    <t>MARIYAMMAL B</t>
  </si>
  <si>
    <t>ALAGAMMAL MALAISAMY</t>
  </si>
  <si>
    <t>VIJAYA CHELLAPANDI</t>
  </si>
  <si>
    <t>KALAIYARASI M</t>
  </si>
  <si>
    <t>GURUVAMMAL RAVI</t>
  </si>
  <si>
    <t>Teaching</t>
  </si>
  <si>
    <t>Admin</t>
  </si>
  <si>
    <t>Driver</t>
  </si>
  <si>
    <t>ECA  Regular</t>
  </si>
  <si>
    <t>Account Number</t>
  </si>
  <si>
    <t xml:space="preserve"> Amount </t>
  </si>
  <si>
    <t>Security</t>
  </si>
  <si>
    <t>THENI</t>
  </si>
  <si>
    <t>ECA Staff - Regular Salary</t>
  </si>
  <si>
    <t>House Keeping</t>
  </si>
  <si>
    <t>Academic Part time</t>
  </si>
  <si>
    <t>ACA+ECA</t>
  </si>
  <si>
    <t>Pangajam</t>
  </si>
  <si>
    <t>Chef</t>
  </si>
  <si>
    <t>1750060000001345</t>
  </si>
  <si>
    <t>1750060000002123</t>
  </si>
  <si>
    <t>Gross  Salary</t>
  </si>
  <si>
    <t xml:space="preserve">Total No.of Classes </t>
  </si>
  <si>
    <t>No.of days Leave</t>
  </si>
  <si>
    <t>Advance Total</t>
  </si>
  <si>
    <t>Already Paid</t>
  </si>
  <si>
    <t>Pending Deduction</t>
  </si>
  <si>
    <t>Current Month deduction</t>
  </si>
  <si>
    <t>Leave Deduction Amt</t>
  </si>
  <si>
    <t>Other Deductions</t>
  </si>
  <si>
    <t>R BALACHANDER</t>
  </si>
  <si>
    <t>Western Dance</t>
  </si>
  <si>
    <t>1750060000000106</t>
  </si>
  <si>
    <t>ARAVINDHU PASHWAN VELAYUTHAM</t>
  </si>
  <si>
    <t>Guitar</t>
  </si>
  <si>
    <t>1750061000000241</t>
  </si>
  <si>
    <t>J RAJA  / Chandra</t>
  </si>
  <si>
    <t>Silambam</t>
  </si>
  <si>
    <t>1750060000001298</t>
  </si>
  <si>
    <t>J RAJA / Amutheswaran</t>
  </si>
  <si>
    <t>Karate</t>
  </si>
  <si>
    <t>PRAKASHKUMAR BALAJI</t>
  </si>
  <si>
    <t xml:space="preserve">Taekwondo </t>
  </si>
  <si>
    <t>1750061000000135</t>
  </si>
  <si>
    <t>Yoga</t>
  </si>
  <si>
    <t>PRABAKARAN PANDI</t>
  </si>
  <si>
    <t>Kung Fu</t>
  </si>
  <si>
    <t>1750060000000132</t>
  </si>
  <si>
    <t>HARIPRASATH JAYAKUMAR</t>
  </si>
  <si>
    <t>Drums</t>
  </si>
  <si>
    <t>1750061000000265</t>
  </si>
  <si>
    <t>RAJA CHINNASAMI</t>
  </si>
  <si>
    <t>Key Board</t>
  </si>
  <si>
    <t>1750061000000232</t>
  </si>
  <si>
    <t>JEYA SHREE R</t>
  </si>
  <si>
    <t>Classical Dance</t>
  </si>
  <si>
    <t>1750060000000850</t>
  </si>
  <si>
    <t>SUBAHARI</t>
  </si>
  <si>
    <t>Carnatic Music</t>
  </si>
  <si>
    <t>1750061000000253</t>
  </si>
  <si>
    <t xml:space="preserve">                  HR Manager                                                                   Finance Manager                                                                        Director Academics           </t>
  </si>
  <si>
    <t xml:space="preserve"> </t>
  </si>
  <si>
    <t>Classes Taken</t>
  </si>
  <si>
    <t>Per Day Salary</t>
  </si>
  <si>
    <t>Advance  Deduction</t>
  </si>
  <si>
    <t>No. Of Leaves</t>
  </si>
  <si>
    <t>To be Deducted</t>
  </si>
  <si>
    <t>Other Deduction</t>
  </si>
  <si>
    <t>Leave Deductions</t>
  </si>
  <si>
    <t>Total Deductions</t>
  </si>
  <si>
    <t>I PRADEEP CHRISTOPHER</t>
  </si>
  <si>
    <t>French</t>
  </si>
  <si>
    <t>1750061000000362</t>
  </si>
  <si>
    <t>DHARANI W/O SRINIVAS</t>
  </si>
  <si>
    <t>1750061000000220</t>
  </si>
  <si>
    <t>Jeyabal J</t>
  </si>
  <si>
    <t>Creative space</t>
  </si>
  <si>
    <t>(Actual classes to be planned 8 days * 8 periods = 64 periods for each) Per period Rs 450 
No Class in April  2026</t>
  </si>
  <si>
    <t>1105155000093166</t>
  </si>
  <si>
    <t>Niveth Oliviya</t>
  </si>
  <si>
    <t>1750060000001203</t>
  </si>
  <si>
    <t>Classes taken /        Days reported</t>
  </si>
  <si>
    <t>No. of Leaves</t>
  </si>
  <si>
    <t xml:space="preserve"> Special Deductions</t>
  </si>
  <si>
    <t>ARUNKANTH MURUGAN</t>
  </si>
  <si>
    <t>Table Tennis</t>
  </si>
  <si>
    <t>1750061000000348</t>
  </si>
  <si>
    <t>Chandrashekaran</t>
  </si>
  <si>
    <t>Chemistry</t>
  </si>
  <si>
    <t>Cash</t>
  </si>
  <si>
    <t>Sudha</t>
  </si>
  <si>
    <t>Biology</t>
  </si>
  <si>
    <t>1750061000000383</t>
  </si>
  <si>
    <t>DANIEL MERWIN SELVARAJ</t>
  </si>
  <si>
    <t>Skatting Coach</t>
  </si>
  <si>
    <t>1750061000000289</t>
  </si>
  <si>
    <t>Thirubuvan</t>
  </si>
  <si>
    <t>Physics</t>
  </si>
  <si>
    <t>1750061000000419</t>
  </si>
  <si>
    <t>K KEERTHIGA</t>
  </si>
  <si>
    <t>Arts and Craft</t>
  </si>
  <si>
    <t>Naveen Kumar</t>
  </si>
  <si>
    <t>1750060000001215</t>
  </si>
  <si>
    <t>KALPANA KARTHIK S</t>
  </si>
  <si>
    <t>Curriculum Advisor &amp; PGT Economics</t>
  </si>
  <si>
    <t>1750062000000034</t>
  </si>
  <si>
    <t>MATCHIPIRAI MALIKA KATHEROLI</t>
  </si>
  <si>
    <t>Hindi</t>
  </si>
  <si>
    <t>1750061000000312</t>
  </si>
  <si>
    <t>Proper Casual Leave already
taken for this term</t>
  </si>
  <si>
    <t>1750063000000016</t>
  </si>
  <si>
    <t xml:space="preserve">Joint director Admin </t>
  </si>
  <si>
    <t>Total Hours Taken</t>
  </si>
  <si>
    <t>Conveyance Allowance</t>
  </si>
  <si>
    <t>Per hour 1200 + Conveyance allowance Per day 750. 
No classes taken</t>
  </si>
  <si>
    <t>Thiribuvan</t>
  </si>
  <si>
    <t>Per hour 1050
No classes taken</t>
  </si>
  <si>
    <t xml:space="preserve">                  HR Manager                                                                   Finance Manager                                                                        Director Academics           													</t>
  </si>
  <si>
    <t>Special Deduction</t>
  </si>
  <si>
    <t>Leave / other Deductions</t>
  </si>
  <si>
    <t>Kumar</t>
  </si>
  <si>
    <t>Rifle</t>
  </si>
  <si>
    <t>No. of Days Present</t>
  </si>
  <si>
    <t>M Vijay</t>
  </si>
  <si>
    <t>Assistant - Public Relations Officer</t>
  </si>
  <si>
    <t>Dr Beena</t>
  </si>
  <si>
    <t>L &amp; OD Consultant</t>
  </si>
  <si>
    <t xml:space="preserve">Salary revised from Rs 45,000 to Rs, 35,000
</t>
  </si>
  <si>
    <t>Account No.</t>
  </si>
  <si>
    <t>Customer Name</t>
  </si>
  <si>
    <t>MURUGESHWARI PANDYARAJA</t>
  </si>
  <si>
    <t>VIJI TAMILSELVAN</t>
  </si>
  <si>
    <t>POTHUPONNU K</t>
  </si>
  <si>
    <t>1750059000000208</t>
  </si>
  <si>
    <t>JAYA DHINAKARAN</t>
  </si>
  <si>
    <t>JOY SHEEBA A</t>
  </si>
  <si>
    <t>1750059000000290</t>
  </si>
  <si>
    <t>S THASNEEM</t>
  </si>
  <si>
    <t>AKILANDESWARI SHANMUGANATHAN</t>
  </si>
  <si>
    <t>1750059000000326</t>
  </si>
  <si>
    <t>MALLIKA</t>
  </si>
  <si>
    <t>BHUVANESWARI RAMPRABU</t>
  </si>
  <si>
    <t>PORKALAISELVI SENTHILKUMAR</t>
  </si>
  <si>
    <t>1750060000000200</t>
  </si>
  <si>
    <t>RAJASEKARAN SHANMUGAM</t>
  </si>
  <si>
    <t>SILAMBARASI J</t>
  </si>
  <si>
    <t>1750060000000248</t>
  </si>
  <si>
    <t>R POOJA</t>
  </si>
  <si>
    <t>S VINODHINI</t>
  </si>
  <si>
    <t>1750060000000262</t>
  </si>
  <si>
    <t>KANIMOZHI G</t>
  </si>
  <si>
    <t>UMA I .</t>
  </si>
  <si>
    <t>1750060000000295</t>
  </si>
  <si>
    <t>JABESTIN THAMAS YAKGOPU</t>
  </si>
  <si>
    <t>1750060000000321</t>
  </si>
  <si>
    <t>NAGARANI M</t>
  </si>
  <si>
    <t>VAIRAMANI BOSE</t>
  </si>
  <si>
    <t>1750060000000354</t>
  </si>
  <si>
    <t>M VASANTHI</t>
  </si>
  <si>
    <t>1750060000000378</t>
  </si>
  <si>
    <t>BALAMANI R</t>
  </si>
  <si>
    <t>1750060000000401</t>
  </si>
  <si>
    <t>VIDHYA VEERAPANDIAN</t>
  </si>
  <si>
    <t>PARVATHI M</t>
  </si>
  <si>
    <t>1750060000000661</t>
  </si>
  <si>
    <t>SANGEETHA R</t>
  </si>
  <si>
    <t>UMARANI T</t>
  </si>
  <si>
    <t>1750060000000673</t>
  </si>
  <si>
    <t>PREMKUMAR MURUGESAN</t>
  </si>
  <si>
    <t>JEYALAKSHMI M</t>
  </si>
  <si>
    <t>1750060000000685</t>
  </si>
  <si>
    <t>MARIYA VISUVASAM A</t>
  </si>
  <si>
    <t>1750060000000898</t>
  </si>
  <si>
    <t>VIJAY</t>
  </si>
  <si>
    <t>MURUGESWARI</t>
  </si>
  <si>
    <t>1750060000000900</t>
  </si>
  <si>
    <t>DASWIN BANU V</t>
  </si>
  <si>
    <t>1750060000000921</t>
  </si>
  <si>
    <t>SASTI</t>
  </si>
  <si>
    <t>KALEESWARI</t>
  </si>
  <si>
    <t>1750060000001111</t>
  </si>
  <si>
    <t>MUTHUKALEESWARAN R</t>
  </si>
  <si>
    <t>PALANIYAMMAL</t>
  </si>
  <si>
    <t>ANGALAESWRI</t>
  </si>
  <si>
    <t>VIJAYALAKSHMI</t>
  </si>
  <si>
    <t>KANNAN BALAKRISHNAN</t>
  </si>
  <si>
    <t>JOY JEBA SUNDARY</t>
  </si>
  <si>
    <t>JAYANTHI</t>
  </si>
  <si>
    <t>P Meenakshi</t>
  </si>
  <si>
    <t>PEAR MORRISH N</t>
  </si>
  <si>
    <t>SAKTHIVEL</t>
  </si>
  <si>
    <t>SHAYNA FRANCIS S</t>
  </si>
  <si>
    <t>THULASI VENNIMUTHU</t>
  </si>
  <si>
    <t>S MUTHIAH</t>
  </si>
  <si>
    <t>KANDASAMY LAKSHMANAN</t>
  </si>
  <si>
    <t>SATHISHKUMAR K</t>
  </si>
  <si>
    <t>SHALINI S</t>
  </si>
  <si>
    <t>KANIRAJA S</t>
  </si>
  <si>
    <t>JOTHI RATHINAM</t>
  </si>
  <si>
    <t>LAKSHMANAN NALLAKARUPPAN</t>
  </si>
  <si>
    <t>RAMESH PALANIVEL</t>
  </si>
  <si>
    <t>VAIYAPOURI GURUSIDDHARTHAN .</t>
  </si>
  <si>
    <t>VIMALRAJ DURAIMURUGAN</t>
  </si>
  <si>
    <t>S KARTHIKEYAN</t>
  </si>
  <si>
    <t>VIGNESHWARI K</t>
  </si>
  <si>
    <t>DURAI MURUGAN N</t>
  </si>
  <si>
    <t>MEENA</t>
  </si>
  <si>
    <t>VENGADESHWARI A</t>
  </si>
  <si>
    <t>MALAISAMY S</t>
  </si>
  <si>
    <t>NAZYRYN SALMY FEROZ KHAN</t>
  </si>
  <si>
    <t>JOHN PETER M</t>
  </si>
  <si>
    <t>JAISON J</t>
  </si>
  <si>
    <t>JEYASURYA THANGAM</t>
  </si>
  <si>
    <t>HARIAYAPUTHIRAN THIRUMENI</t>
  </si>
  <si>
    <t>A K AFRIN</t>
  </si>
  <si>
    <t>SRINITHI BRINDHA J</t>
  </si>
  <si>
    <t>KRISHNAPRIYA R</t>
  </si>
  <si>
    <t>MARY ISWARYA JAFFRIN</t>
  </si>
  <si>
    <t>VINITH SHARAN SATHIYAMOORTHY</t>
  </si>
  <si>
    <t>KAVIYA V</t>
  </si>
  <si>
    <t>ARCHANAA</t>
  </si>
  <si>
    <t>JANA P</t>
  </si>
  <si>
    <t>ILAMATHI SELVAN THEVAR</t>
  </si>
  <si>
    <t>ANITHA</t>
  </si>
  <si>
    <t>ARAVIND</t>
  </si>
  <si>
    <t>JEYA</t>
  </si>
  <si>
    <t>RAMKUMARI</t>
  </si>
  <si>
    <t>KARPAGAVALLI</t>
  </si>
  <si>
    <t>AMSAVALLI</t>
  </si>
  <si>
    <t>SHARMILI</t>
  </si>
  <si>
    <t>MURUGESHWARI KAMESHK</t>
  </si>
  <si>
    <t>PONNU</t>
  </si>
  <si>
    <t>VIVEK</t>
  </si>
  <si>
    <t>SURIYA KALA</t>
  </si>
  <si>
    <t>SHANMUGAVALLI M</t>
  </si>
  <si>
    <t>NAVEENA</t>
  </si>
  <si>
    <t>MANOJ</t>
  </si>
  <si>
    <t>SANTHI</t>
  </si>
  <si>
    <t>RADHAKRISHNAN</t>
  </si>
  <si>
    <t>JESSIE</t>
  </si>
  <si>
    <t>URBAN</t>
  </si>
  <si>
    <t>PRADEEP</t>
  </si>
  <si>
    <t>THIRUMALAISAMY</t>
  </si>
  <si>
    <t>VAISHNAVI</t>
  </si>
  <si>
    <t>REGIS</t>
  </si>
  <si>
    <t>MOHANAKANNAN V</t>
  </si>
  <si>
    <t>KARTHIGA RAMACHANDRA</t>
  </si>
  <si>
    <t>RAMESH KUMAR R</t>
  </si>
  <si>
    <t>JOHN</t>
  </si>
  <si>
    <t>VARATHARAJAN</t>
  </si>
  <si>
    <t>ANUSUYA S</t>
  </si>
  <si>
    <t>SWARNAMATHI</t>
  </si>
  <si>
    <t>ANCHANA</t>
  </si>
  <si>
    <t>AYYANAR</t>
  </si>
  <si>
    <t>KARTHIGA</t>
  </si>
  <si>
    <t>DIVYA LENIN</t>
  </si>
  <si>
    <t>NIVETH</t>
  </si>
  <si>
    <t>NAVEENKUMAR</t>
  </si>
  <si>
    <t>PAULIN SHARMILA R</t>
  </si>
  <si>
    <t>A JAINOOL FATHIMA</t>
  </si>
  <si>
    <t>PARTHIBAN P</t>
  </si>
  <si>
    <t>PANNEER CHELLAM K</t>
  </si>
  <si>
    <t>MUHILVANNAN E</t>
  </si>
  <si>
    <t>P PARASAKTHI</t>
  </si>
  <si>
    <t>THIRUVENGADAM</t>
  </si>
  <si>
    <t>N PARTHA SARATHI</t>
  </si>
  <si>
    <t>GIMBU</t>
  </si>
  <si>
    <t>UMAMAHESH</t>
  </si>
  <si>
    <t>GNANASUNDARI</t>
  </si>
  <si>
    <t>DHARANI</t>
  </si>
  <si>
    <t>CHINNASAMY RAJA</t>
  </si>
  <si>
    <t>ARAVINDH PASHWAN</t>
  </si>
  <si>
    <t>HARI</t>
  </si>
  <si>
    <t>ELAVAR KUZHALI</t>
  </si>
  <si>
    <t>DANIEL MERVIN</t>
  </si>
  <si>
    <t>MURUGAN</t>
  </si>
  <si>
    <t>MATCHIPIRAI MALIKA</t>
  </si>
  <si>
    <t>R KEERTHANA</t>
  </si>
  <si>
    <t>KARTHICK T</t>
  </si>
  <si>
    <t>ARUN</t>
  </si>
  <si>
    <t>JEROME A</t>
  </si>
  <si>
    <t>INDRAJITH RUTHRAN P</t>
  </si>
  <si>
    <t>SIVA RANJANI R</t>
  </si>
  <si>
    <t>SUDHA</t>
  </si>
  <si>
    <t>SUSI REKHA V</t>
  </si>
  <si>
    <t>THIRIBUVAN</t>
  </si>
  <si>
    <t>GAYATHIRI</t>
  </si>
  <si>
    <t>K SANGAMITRA</t>
  </si>
  <si>
    <t>VIJAY N</t>
  </si>
  <si>
    <t>KALPANA</t>
  </si>
  <si>
    <t>JEGAVEERAPANDIAN</t>
  </si>
  <si>
    <t>JOSEPHINE</t>
  </si>
  <si>
    <t>SUJATHA SUBBURAM</t>
  </si>
  <si>
    <t>SALARY CHECKLIST</t>
  </si>
  <si>
    <t>Action plan</t>
  </si>
  <si>
    <t xml:space="preserve">Category </t>
  </si>
  <si>
    <t>Prime And Suspense</t>
  </si>
  <si>
    <t>Check Account Number</t>
  </si>
  <si>
    <t xml:space="preserve">Attendance closure </t>
  </si>
  <si>
    <t>Check Other bank account number</t>
  </si>
  <si>
    <t>ECA I - Uma Maheswaran</t>
  </si>
  <si>
    <t>2 Months Comparison</t>
  </si>
  <si>
    <t>uniform</t>
  </si>
  <si>
    <t>ECA II - Indira</t>
  </si>
  <si>
    <t>3 Months Comparison</t>
  </si>
  <si>
    <t>Shoe</t>
  </si>
  <si>
    <t>AEP - Joe Daniel and Vanitha and Sangamithra</t>
  </si>
  <si>
    <t>Ms. Ashrafa acknowledgement</t>
  </si>
  <si>
    <t>Comp off details - Parthiban, joe daniel, Bala</t>
  </si>
  <si>
    <t>MD, DA &amp; JD-Admin Discretion</t>
  </si>
  <si>
    <t>Ms Christinal - Parthiban</t>
  </si>
  <si>
    <t>Security OT</t>
  </si>
  <si>
    <t>Salary advance to be check</t>
  </si>
  <si>
    <t>Salary Statement</t>
  </si>
  <si>
    <t>Uniform pending amount</t>
  </si>
  <si>
    <t>Gold scheme</t>
  </si>
  <si>
    <t>Memo, suspension deduction</t>
  </si>
  <si>
    <t>Chit Fund Details</t>
  </si>
  <si>
    <t>Cheque Signing</t>
  </si>
  <si>
    <t>Cheque to be collected for finance department</t>
  </si>
  <si>
    <t>PF and ESI</t>
  </si>
  <si>
    <t>Chit Fund deduction</t>
  </si>
  <si>
    <t>Salary Split - Up</t>
  </si>
  <si>
    <t xml:space="preserve">Particulars </t>
  </si>
  <si>
    <t>Salary</t>
  </si>
  <si>
    <t>Actual Salary</t>
  </si>
  <si>
    <t>Difference</t>
  </si>
  <si>
    <t>Support</t>
  </si>
  <si>
    <t>AEP</t>
  </si>
  <si>
    <t>Theni - Upparpatti</t>
  </si>
  <si>
    <t>ECA</t>
  </si>
  <si>
    <t>Management</t>
  </si>
  <si>
    <t>NEFT-NT/ECA</t>
  </si>
  <si>
    <t>Cheque Amount</t>
  </si>
  <si>
    <t>EPF</t>
  </si>
  <si>
    <t xml:space="preserve">Actual Salary </t>
  </si>
  <si>
    <t>ESI</t>
  </si>
  <si>
    <t>Aristo</t>
  </si>
  <si>
    <t>Theni</t>
  </si>
  <si>
    <t>ECA NEFT</t>
  </si>
  <si>
    <t>KVB</t>
  </si>
  <si>
    <t>Aadhil</t>
  </si>
  <si>
    <t>Sivaranjani</t>
  </si>
  <si>
    <t>Aarthi T</t>
  </si>
  <si>
    <t>Sakthivel</t>
  </si>
  <si>
    <t>Morrish</t>
  </si>
  <si>
    <t>Martin</t>
  </si>
  <si>
    <t>Sathis</t>
  </si>
  <si>
    <t>Pradeep</t>
  </si>
  <si>
    <t>Kaushik</t>
  </si>
  <si>
    <t>Shalini</t>
  </si>
  <si>
    <t>Ilamathi</t>
  </si>
  <si>
    <t>Non Teaching</t>
  </si>
  <si>
    <t>April</t>
  </si>
  <si>
    <t>Basic [45% of Payable Gross Salary]</t>
  </si>
  <si>
    <t>'1750060000001300</t>
  </si>
  <si>
    <t xml:space="preserve">ECA </t>
  </si>
  <si>
    <t>Per day salary calculated= Gross salary / No of classes-Vacation Holiday</t>
  </si>
  <si>
    <t>Per day salary calculated= Gross salary / No of days 30 or 31-Vacation Holiday</t>
  </si>
  <si>
    <t>No salary for April'2026 - No classes assigned.  Per day salary calculated= Gross salary / No of days 30 or 31-Vacation Holiday</t>
  </si>
  <si>
    <t xml:space="preserve">June '2026 Salary paid in May 2026 Statement. </t>
  </si>
  <si>
    <t>Salary for the month of May 2026</t>
  </si>
  <si>
    <t>May</t>
  </si>
  <si>
    <t>As per MD's instruction,  salary will be paid  based on the no. of working days which will be given by Mr. Sounder  and it should be acknowledged by 
Ms Sivaranjani. Not reported</t>
  </si>
  <si>
    <t>Deepika</t>
  </si>
  <si>
    <t>Kavitha</t>
  </si>
  <si>
    <t>Karthic T</t>
  </si>
  <si>
    <t>Aarthi selvam</t>
  </si>
  <si>
    <t>Janani</t>
  </si>
  <si>
    <t>KeerthanA</t>
  </si>
  <si>
    <t>Joy jeba</t>
  </si>
  <si>
    <t>P</t>
  </si>
  <si>
    <t>TOP SHEET - SALARY STATEMENT JUNE 2026</t>
  </si>
  <si>
    <t>ACADEMICS - SALARY STATEMENT JUNE 2026</t>
  </si>
  <si>
    <t>ACADEMICS RELIEVED- SALARY STATEMENT JUNE 2026</t>
  </si>
  <si>
    <t>ADMIN - SALARY STATEMENT JUNE 2026</t>
  </si>
  <si>
    <t>ADMIN RELIEVED - SALARY STATEMENT JUNE 2026</t>
  </si>
  <si>
    <t>DRIVERS - SALARY STATEMENT JUNE 2026</t>
  </si>
  <si>
    <t>CONDUCTORS - SALARY STATEMENT JUNE 2026</t>
  </si>
  <si>
    <t>SECURITIES - SALARY STATEMENT JUNE 2026</t>
  </si>
  <si>
    <t>HOUSE KEEPING - SALARY STATEMENT JUNE 2026</t>
  </si>
  <si>
    <t>HOSTEL - SALARY STATEMENT JUNE 2026</t>
  </si>
  <si>
    <t>ECA REGULAR - SALARY STATEMENT JUNE 2026</t>
  </si>
  <si>
    <t>Part Time Academics - SALARY STATEMENT JUNE 2026</t>
  </si>
  <si>
    <t>THENI UPPARPATTI - SALARY STATEMENT JUNE 2026</t>
  </si>
  <si>
    <t>AEP - SALARY STATEMENT JUNE 2026</t>
  </si>
  <si>
    <t>RIFLE SHOOTING  - SALARY STATEMENT JUNE 2026</t>
  </si>
  <si>
    <t>ADMIN PART TIME - SALARY STATEMENT JUNE 2026</t>
  </si>
  <si>
    <t>As per MD's Intrcution Lates Not Considered. 
Relieved on 12/06/2026</t>
  </si>
  <si>
    <t>Uniform 2/6  deduction. Relieved on 30.06.2026 .Uniform Full amount deducted</t>
  </si>
  <si>
    <t>Relived on 10/06/2026</t>
  </si>
  <si>
    <t>Per day salary calculated= Gross salary / No of classes-Vacation Holiday -</t>
  </si>
  <si>
    <t>1600 Per hour. / Due to Emergncy Salary Given on 30/06/2026(54000)</t>
  </si>
  <si>
    <t>1200 Per hour.</t>
  </si>
  <si>
    <t>Anushkumar</t>
  </si>
  <si>
    <t>Creative space
Tuesday and Friday</t>
  </si>
  <si>
    <t xml:space="preserve">Salary Adv Note 4  Pg.No: 7. </t>
  </si>
  <si>
    <t>Gross Salary Rs. 36,000. she worked Full day on 13/06/2026 ,15/06/2026, 20/06/2026,22/06/2026, 29/06/2026</t>
  </si>
  <si>
    <t>Leave on 17/06/2026</t>
  </si>
  <si>
    <t>DOJ 23/06/26 / 1 Holiday</t>
  </si>
  <si>
    <t>Chit 4th month</t>
  </si>
  <si>
    <t>Chit 4th month. Salary Adv Note: 4 Pg No: 36.</t>
  </si>
  <si>
    <t>5,000 will be given as cash. Salary Adv Note :4 Pg No. 19. Chit 4th month</t>
  </si>
  <si>
    <t>Note : An amount of ₹500 has already been deducted from your salary towards the Staff Planner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</si>
</sst>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_ ;_ * \-#,##0_ ;_ * &quot;-&quot;_ ;_ @_ "/>
    <numFmt numFmtId="165" formatCode="_ * #,##0.00_ ;_ * \-#,##0.00_ ;_ * &quot;-&quot;??_ ;_ @_ "/>
    <numFmt numFmtId="166" formatCode="_ * #,##0_ ;_ * \-#,##0_ ;_ * &quot;-&quot;??_ ;_ @_ "/>
    <numFmt numFmtId="167" formatCode="[&gt;=10000000]##\,##\,##\,##0;[&gt;=100000]##\,##\,##0;##,##0"/>
    <numFmt numFmtId="168" formatCode="_ * #,##0.0_ ;_ * \-#,##0.0_ ;_ * &quot;-&quot;??_ ;_ @_ "/>
    <numFmt numFmtId="169" formatCode="0.0"/>
    <numFmt numFmtId="170" formatCode="#,##0.0"/>
    <numFmt numFmtId="171" formatCode="_(* #,##0_);_(* \(#,##0\);_(* &quot;-&quot;??_);_(@_)"/>
    <numFmt numFmtId="172" formatCode="_(* ##,##0_);_(* \(##,##0\);_(* &quot;-&quot;??_);_(@_)"/>
  </numFmts>
  <fonts count="90">
    <font>
      <sz val="11"/>
      <name val="Calibri"/>
      <scheme val="minor"/>
    </font>
    <font>
      <sz val="11"/>
      <color theme="1"/>
      <name val="Calibri"/>
      <family val="2"/>
      <scheme val="minor"/>
    </font>
    <font>
      <b/>
      <sz val="10"/>
      <name val="Calibri"/>
      <family val="2"/>
    </font>
    <font>
      <sz val="11"/>
      <name val="Calibri"/>
      <family val="2"/>
    </font>
    <font>
      <sz val="10"/>
      <name val="Calibri"/>
      <family val="2"/>
    </font>
    <font>
      <b/>
      <sz val="14"/>
      <name val="Calibri"/>
      <family val="2"/>
    </font>
    <font>
      <sz val="14"/>
      <name val="Calibri"/>
      <family val="2"/>
    </font>
    <font>
      <b/>
      <sz val="12"/>
      <name val="Calibri"/>
      <family val="2"/>
    </font>
    <font>
      <b/>
      <sz val="13"/>
      <name val="Calibri"/>
      <family val="2"/>
    </font>
    <font>
      <b/>
      <sz val="16"/>
      <name val="Calibri"/>
      <family val="2"/>
    </font>
    <font>
      <sz val="13"/>
      <name val="Calibri"/>
      <family val="2"/>
    </font>
    <font>
      <b/>
      <sz val="12"/>
      <name val="Verdana"/>
      <family val="2"/>
    </font>
    <font>
      <b/>
      <sz val="22"/>
      <name val="Calibri"/>
      <family val="2"/>
    </font>
    <font>
      <b/>
      <sz val="14"/>
      <name val="Calibri"/>
      <family val="2"/>
    </font>
    <font>
      <sz val="11"/>
      <name val="Calibri"/>
      <family val="2"/>
    </font>
    <font>
      <sz val="12"/>
      <name val="Calibri"/>
      <family val="2"/>
    </font>
    <font>
      <sz val="12"/>
      <color rgb="FF92D050"/>
      <name val="Calibri"/>
      <family val="2"/>
    </font>
    <font>
      <sz val="12"/>
      <name val="Calibri"/>
      <family val="2"/>
    </font>
    <font>
      <b/>
      <sz val="20"/>
      <name val="Calibri"/>
      <family val="2"/>
    </font>
    <font>
      <b/>
      <sz val="12"/>
      <name val="Calibri"/>
      <family val="2"/>
    </font>
    <font>
      <b/>
      <sz val="20"/>
      <name val="Calibri"/>
      <family val="2"/>
    </font>
    <font>
      <b/>
      <sz val="10"/>
      <name val="Calibri"/>
      <family val="2"/>
    </font>
    <font>
      <b/>
      <sz val="18"/>
      <name val="Calibri"/>
      <family val="2"/>
    </font>
    <font>
      <b/>
      <sz val="10"/>
      <name val="Verdana"/>
      <family val="2"/>
    </font>
    <font>
      <sz val="10"/>
      <name val="Verdana"/>
      <family val="2"/>
    </font>
    <font>
      <sz val="13"/>
      <name val="Calibri"/>
      <family val="2"/>
    </font>
    <font>
      <b/>
      <sz val="20"/>
      <name val="Verdana"/>
      <family val="2"/>
    </font>
    <font>
      <b/>
      <sz val="10"/>
      <name val="Verdana"/>
      <family val="2"/>
    </font>
    <font>
      <b/>
      <sz val="11"/>
      <name val="Calibri"/>
      <family val="2"/>
    </font>
    <font>
      <b/>
      <sz val="10"/>
      <color rgb="FF000000"/>
      <name val="Times New Roman"/>
      <family val="1"/>
    </font>
    <font>
      <u/>
      <sz val="11"/>
      <color rgb="FF92D050"/>
      <name val="Calibri"/>
      <family val="2"/>
    </font>
    <font>
      <sz val="11"/>
      <color rgb="FF92D050"/>
      <name val="Calibri"/>
      <family val="2"/>
    </font>
    <font>
      <b/>
      <sz val="13"/>
      <name val="Calibri"/>
      <family val="2"/>
    </font>
    <font>
      <b/>
      <sz val="18"/>
      <name val="Calibri"/>
      <family val="2"/>
    </font>
    <font>
      <sz val="10"/>
      <name val="Calibri"/>
      <family val="2"/>
    </font>
    <font>
      <b/>
      <sz val="10"/>
      <color rgb="FF92D050"/>
      <name val="Verdana"/>
      <family val="2"/>
    </font>
    <font>
      <b/>
      <sz val="16"/>
      <name val="Calibri"/>
      <family val="2"/>
    </font>
    <font>
      <b/>
      <sz val="8"/>
      <name val="Calibri"/>
      <family val="2"/>
    </font>
    <font>
      <b/>
      <sz val="11"/>
      <name val="Calibri"/>
      <family val="2"/>
    </font>
    <font>
      <sz val="11"/>
      <name val="Calibri"/>
      <family val="2"/>
    </font>
    <font>
      <b/>
      <sz val="10"/>
      <color rgb="FF0000FF"/>
      <name val="Verdana"/>
      <family val="2"/>
    </font>
    <font>
      <b/>
      <sz val="10"/>
      <color rgb="FF006600"/>
      <name val="Verdana"/>
      <family val="2"/>
    </font>
    <font>
      <b/>
      <sz val="10"/>
      <color rgb="FFFF0000"/>
      <name val="Verdana"/>
      <family val="2"/>
    </font>
    <font>
      <b/>
      <sz val="10"/>
      <color rgb="FF007826"/>
      <name val="Verdana"/>
      <family val="2"/>
    </font>
    <font>
      <b/>
      <sz val="10"/>
      <color rgb="FF006633"/>
      <name val="Verdana"/>
      <family val="2"/>
    </font>
    <font>
      <b/>
      <sz val="10"/>
      <color rgb="FF006666"/>
      <name val="Verdana"/>
      <family val="2"/>
    </font>
    <font>
      <b/>
      <sz val="14"/>
      <name val="Times New Roman"/>
      <family val="1"/>
    </font>
    <font>
      <sz val="12"/>
      <name val="Times New Roman"/>
      <family val="1"/>
    </font>
    <font>
      <sz val="14"/>
      <name val="Times New Roman"/>
      <family val="1"/>
    </font>
    <font>
      <sz val="11"/>
      <name val="Times New Roman"/>
      <family val="1"/>
    </font>
    <font>
      <b/>
      <sz val="11"/>
      <name val="Times New Roman"/>
      <family val="1"/>
    </font>
    <font>
      <b/>
      <sz val="11"/>
      <name val="Times New Roman"/>
      <family val="1"/>
    </font>
    <font>
      <sz val="11"/>
      <name val="Times New Roman"/>
      <family val="1"/>
    </font>
    <font>
      <b/>
      <sz val="12"/>
      <name val="Calibri Light"/>
      <family val="2"/>
    </font>
    <font>
      <b/>
      <sz val="12"/>
      <name val="Calibri Light (Headings)"/>
    </font>
    <font>
      <b/>
      <sz val="14"/>
      <color theme="1"/>
      <name val="Calibri Light"/>
      <family val="2"/>
      <scheme val="major"/>
    </font>
    <font>
      <b/>
      <sz val="10"/>
      <color theme="1"/>
      <name val="Calibri Light"/>
      <family val="2"/>
      <scheme val="major"/>
    </font>
    <font>
      <b/>
      <sz val="14"/>
      <name val="Calibri Light"/>
      <family val="2"/>
      <scheme val="major"/>
    </font>
    <font>
      <sz val="11"/>
      <color theme="1"/>
      <name val="Calibri"/>
      <family val="2"/>
      <scheme val="minor"/>
    </font>
    <font>
      <b/>
      <sz val="16"/>
      <color theme="1"/>
      <name val="Calibri Light"/>
      <family val="2"/>
      <scheme val="major"/>
    </font>
    <font>
      <sz val="14"/>
      <color theme="1"/>
      <name val="Calibri Light"/>
      <family val="2"/>
      <scheme val="major"/>
    </font>
    <font>
      <sz val="14"/>
      <name val="Calibri Light"/>
      <family val="2"/>
      <scheme val="major"/>
    </font>
    <font>
      <sz val="16"/>
      <color theme="1"/>
      <name val="Calibri Light"/>
      <family val="2"/>
      <scheme val="major"/>
    </font>
    <font>
      <b/>
      <sz val="16"/>
      <color theme="1"/>
      <name val="Verdana"/>
      <family val="2"/>
    </font>
    <font>
      <sz val="14"/>
      <color rgb="FF92D050"/>
      <name val="Calibri Light"/>
      <family val="2"/>
      <scheme val="major"/>
    </font>
    <font>
      <b/>
      <sz val="16"/>
      <color rgb="FF92D050"/>
      <name val="Verdana"/>
      <family val="2"/>
    </font>
    <font>
      <b/>
      <sz val="16"/>
      <name val="Verdana"/>
      <family val="2"/>
    </font>
    <font>
      <b/>
      <sz val="18"/>
      <color theme="1"/>
      <name val="Calibri Light"/>
      <family val="2"/>
      <scheme val="major"/>
    </font>
    <font>
      <b/>
      <sz val="18"/>
      <name val="Calibri Light"/>
      <family val="2"/>
      <scheme val="major"/>
    </font>
    <font>
      <b/>
      <sz val="10"/>
      <color rgb="FF92D050"/>
      <name val="Verdana"/>
      <family val="2"/>
    </font>
    <font>
      <sz val="10"/>
      <color rgb="FF92D050"/>
      <name val="Calibri Light"/>
      <family val="2"/>
      <scheme val="major"/>
    </font>
    <font>
      <b/>
      <sz val="10"/>
      <color theme="1"/>
      <name val="Verdana"/>
      <family val="2"/>
    </font>
    <font>
      <sz val="10"/>
      <color theme="1"/>
      <name val="Calibri Light"/>
      <family val="2"/>
      <scheme val="major"/>
    </font>
    <font>
      <sz val="13"/>
      <name val="Calibri"/>
      <family val="2"/>
    </font>
    <font>
      <b/>
      <sz val="13"/>
      <name val="Verdana"/>
      <family val="2"/>
    </font>
    <font>
      <b/>
      <sz val="13"/>
      <name val="Calibri"/>
      <family val="2"/>
    </font>
    <font>
      <sz val="13"/>
      <name val="Calibri"/>
      <family val="2"/>
      <scheme val="minor"/>
    </font>
    <font>
      <sz val="13"/>
      <name val="Verdana"/>
      <family val="2"/>
    </font>
    <font>
      <sz val="14"/>
      <name val="Calibri"/>
      <family val="2"/>
    </font>
    <font>
      <b/>
      <sz val="14"/>
      <name val="Calibri"/>
      <family val="2"/>
    </font>
    <font>
      <b/>
      <sz val="14"/>
      <name val="Verdana"/>
      <family val="2"/>
    </font>
    <font>
      <sz val="14"/>
      <name val="Calibri"/>
      <family val="2"/>
      <scheme val="minor"/>
    </font>
    <font>
      <b/>
      <sz val="12"/>
      <name val="Calibri"/>
      <family val="2"/>
    </font>
    <font>
      <b/>
      <sz val="10"/>
      <name val="Calibri"/>
      <family val="2"/>
    </font>
    <font>
      <sz val="11"/>
      <name val="Calibri"/>
      <family val="2"/>
      <scheme val="minor"/>
    </font>
    <font>
      <sz val="11"/>
      <name val="Calibri"/>
      <family val="2"/>
    </font>
    <font>
      <b/>
      <sz val="15"/>
      <name val="Calibri"/>
      <family val="2"/>
    </font>
    <font>
      <sz val="15"/>
      <name val="Calibri"/>
      <family val="2"/>
    </font>
    <font>
      <sz val="16"/>
      <name val="Calibri"/>
      <family val="2"/>
    </font>
    <font>
      <sz val="18"/>
      <name val="Calibri"/>
      <family val="2"/>
    </font>
  </fonts>
  <fills count="28">
    <fill>
      <patternFill patternType="none"/>
    </fill>
    <fill>
      <patternFill patternType="gray125"/>
    </fill>
    <fill>
      <patternFill patternType="solid">
        <fgColor rgb="FFF2F2F2"/>
        <bgColor rgb="FFF2F2F2"/>
      </patternFill>
    </fill>
    <fill>
      <patternFill patternType="solid">
        <fgColor rgb="FFBFBFBF"/>
        <bgColor rgb="FFBFBFBF"/>
      </patternFill>
    </fill>
    <fill>
      <patternFill patternType="solid">
        <fgColor rgb="FFD0CECE"/>
        <bgColor rgb="FFD0CECE"/>
      </patternFill>
    </fill>
    <fill>
      <patternFill patternType="solid">
        <fgColor rgb="FFE4E4E4"/>
        <bgColor rgb="FFE4E4E4"/>
      </patternFill>
    </fill>
    <fill>
      <patternFill patternType="solid">
        <fgColor rgb="FFFFFF00"/>
        <bgColor rgb="FFFFFF00"/>
      </patternFill>
    </fill>
    <fill>
      <patternFill patternType="solid">
        <fgColor rgb="FFF7CAAC"/>
        <bgColor rgb="FFF7CAAC"/>
      </patternFill>
    </fill>
    <fill>
      <patternFill patternType="solid">
        <fgColor rgb="FFD8D8D8"/>
        <bgColor rgb="FFD8D8D8"/>
      </patternFill>
    </fill>
    <fill>
      <patternFill patternType="solid">
        <fgColor rgb="FF92D050"/>
        <bgColor rgb="FF92D050"/>
      </patternFill>
    </fill>
    <fill>
      <patternFill patternType="solid">
        <fgColor rgb="FFFFFFFF"/>
        <bgColor rgb="FFFFFFFF"/>
      </patternFill>
    </fill>
    <fill>
      <patternFill patternType="solid">
        <fgColor rgb="FFFFFF66"/>
        <bgColor rgb="FFFFFF66"/>
      </patternFill>
    </fill>
    <fill>
      <patternFill patternType="solid">
        <fgColor theme="0"/>
        <bgColor indexed="64"/>
      </patternFill>
    </fill>
    <fill>
      <patternFill patternType="solid">
        <fgColor theme="0"/>
        <bgColor rgb="FFFFFFFF"/>
      </patternFill>
    </fill>
    <fill>
      <patternFill patternType="solid">
        <fgColor theme="9" tint="0.59999389629810485"/>
        <bgColor rgb="FFFFFFFF"/>
      </patternFill>
    </fill>
    <fill>
      <patternFill patternType="solid">
        <fgColor theme="0"/>
        <bgColor rgb="FFF2F2F2"/>
      </patternFill>
    </fill>
    <fill>
      <patternFill patternType="solid">
        <fgColor theme="0"/>
        <bgColor rgb="FFBFBFBF"/>
      </patternFill>
    </fill>
    <fill>
      <patternFill patternType="solid">
        <fgColor theme="0"/>
        <bgColor rgb="FFE4E4E4"/>
      </patternFill>
    </fill>
    <fill>
      <patternFill patternType="solid">
        <fgColor theme="0"/>
        <bgColor rgb="FFFFFF00"/>
      </patternFill>
    </fill>
    <fill>
      <patternFill patternType="solid">
        <fgColor theme="0"/>
        <bgColor rgb="FFF7CAAC"/>
      </patternFill>
    </fill>
    <fill>
      <patternFill patternType="solid">
        <fgColor theme="0"/>
        <bgColor rgb="FFC5E0B3"/>
      </patternFill>
    </fill>
    <fill>
      <patternFill patternType="solid">
        <fgColor theme="0"/>
        <bgColor rgb="FFE7E6E6"/>
      </patternFill>
    </fill>
    <fill>
      <patternFill patternType="solid">
        <fgColor theme="6"/>
        <bgColor rgb="FFFFFF00"/>
      </patternFill>
    </fill>
    <fill>
      <patternFill patternType="solid">
        <fgColor theme="6"/>
        <bgColor indexed="64"/>
      </patternFill>
    </fill>
    <fill>
      <patternFill patternType="solid">
        <fgColor theme="2" tint="-0.249977111117893"/>
        <bgColor rgb="FFFFFF00"/>
      </patternFill>
    </fill>
    <fill>
      <patternFill patternType="solid">
        <fgColor theme="0" tint="-0.34998626667073579"/>
        <bgColor rgb="FFFFFF00"/>
      </patternFill>
    </fill>
    <fill>
      <patternFill patternType="solid">
        <fgColor theme="9"/>
        <bgColor rgb="FFF7CAAC"/>
      </patternFill>
    </fill>
    <fill>
      <patternFill patternType="solid">
        <fgColor theme="0" tint="-0.34998626667073579"/>
        <bgColor indexed="64"/>
      </patternFill>
    </fill>
  </fills>
  <borders count="113">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bottom/>
      <diagonal/>
    </border>
    <border>
      <left/>
      <right style="medium">
        <color rgb="FF000000"/>
      </right>
      <top style="thin">
        <color rgb="FF000000"/>
      </top>
      <bottom style="medium">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indexed="64"/>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58" fillId="0" borderId="53"/>
    <xf numFmtId="165" fontId="1" fillId="0" borderId="53" applyFont="0" applyFill="0" applyBorder="0" applyAlignment="0" applyProtection="0"/>
  </cellStyleXfs>
  <cellXfs count="860">
    <xf numFmtId="0" fontId="0" fillId="0" borderId="0" xfId="0"/>
    <xf numFmtId="0" fontId="2" fillId="0" borderId="4" xfId="0" applyFont="1" applyBorder="1" applyAlignment="1">
      <alignment horizontal="center" vertical="center" wrapText="1"/>
    </xf>
    <xf numFmtId="0" fontId="4" fillId="0" borderId="4" xfId="0" applyFont="1" applyBorder="1" applyAlignment="1">
      <alignment horizontal="center" vertical="center" wrapText="1"/>
    </xf>
    <xf numFmtId="0" fontId="2" fillId="2" borderId="15" xfId="0" applyFont="1" applyFill="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4" fillId="0" borderId="15" xfId="0" applyFont="1" applyBorder="1" applyAlignment="1">
      <alignment horizontal="center" vertical="center" wrapText="1"/>
    </xf>
    <xf numFmtId="166" fontId="4" fillId="0" borderId="15" xfId="0" applyNumberFormat="1" applyFont="1" applyBorder="1" applyAlignment="1">
      <alignment vertical="center" wrapText="1"/>
    </xf>
    <xf numFmtId="166" fontId="4" fillId="0" borderId="15" xfId="0" applyNumberFormat="1" applyFont="1" applyBorder="1" applyAlignment="1">
      <alignment horizontal="center" vertical="center" wrapText="1"/>
    </xf>
    <xf numFmtId="166" fontId="4" fillId="0" borderId="18"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0" fontId="4" fillId="2" borderId="15" xfId="0" applyFont="1" applyFill="1" applyBorder="1" applyAlignment="1">
      <alignment horizontal="center" vertical="center" wrapText="1"/>
    </xf>
    <xf numFmtId="166" fontId="4" fillId="2" borderId="15" xfId="0" applyNumberFormat="1" applyFont="1" applyFill="1" applyBorder="1" applyAlignment="1">
      <alignment vertical="center" wrapText="1"/>
    </xf>
    <xf numFmtId="166" fontId="4" fillId="2" borderId="15" xfId="0" applyNumberFormat="1" applyFont="1" applyFill="1" applyBorder="1" applyAlignment="1">
      <alignment horizontal="center" vertical="center" wrapText="1"/>
    </xf>
    <xf numFmtId="167" fontId="2" fillId="0" borderId="15" xfId="0" applyNumberFormat="1" applyFont="1" applyBorder="1" applyAlignment="1">
      <alignment horizontal="center" vertical="center" wrapText="1"/>
    </xf>
    <xf numFmtId="167" fontId="2" fillId="0" borderId="15" xfId="0" applyNumberFormat="1" applyFont="1" applyBorder="1" applyAlignment="1">
      <alignment vertical="center" wrapText="1"/>
    </xf>
    <xf numFmtId="167" fontId="2" fillId="0" borderId="18" xfId="0" applyNumberFormat="1" applyFont="1" applyBorder="1" applyAlignment="1">
      <alignment vertical="center" wrapText="1"/>
    </xf>
    <xf numFmtId="1" fontId="2" fillId="0" borderId="4" xfId="0" applyNumberFormat="1" applyFont="1" applyBorder="1" applyAlignment="1">
      <alignment horizontal="right" vertical="center" wrapText="1"/>
    </xf>
    <xf numFmtId="1" fontId="4" fillId="0" borderId="4" xfId="0" applyNumberFormat="1" applyFont="1" applyBorder="1" applyAlignment="1">
      <alignment horizontal="right" vertical="center" wrapText="1"/>
    </xf>
    <xf numFmtId="167" fontId="2" fillId="0" borderId="19" xfId="0" applyNumberFormat="1" applyFont="1" applyBorder="1" applyAlignment="1">
      <alignment horizontal="center" vertical="center" wrapText="1"/>
    </xf>
    <xf numFmtId="167" fontId="2" fillId="0" borderId="4" xfId="0" applyNumberFormat="1" applyFont="1" applyBorder="1" applyAlignment="1">
      <alignment horizontal="center" vertical="center" wrapText="1"/>
    </xf>
    <xf numFmtId="167" fontId="4" fillId="0" borderId="20" xfId="0" applyNumberFormat="1" applyFont="1" applyBorder="1" applyAlignment="1">
      <alignment horizontal="center" vertical="center" wrapText="1"/>
    </xf>
    <xf numFmtId="167" fontId="4" fillId="0" borderId="21" xfId="0" applyNumberFormat="1" applyFont="1" applyBorder="1" applyAlignment="1">
      <alignment horizontal="center" vertical="center" wrapText="1"/>
    </xf>
    <xf numFmtId="167" fontId="4" fillId="0" borderId="21" xfId="0" applyNumberFormat="1" applyFont="1" applyBorder="1" applyAlignment="1">
      <alignment horizontal="center" vertical="center"/>
    </xf>
    <xf numFmtId="167" fontId="2" fillId="0" borderId="22" xfId="0" applyNumberFormat="1" applyFont="1" applyBorder="1" applyAlignment="1">
      <alignment horizontal="center" vertical="center" wrapText="1"/>
    </xf>
    <xf numFmtId="167" fontId="2" fillId="0" borderId="26" xfId="0" applyNumberFormat="1" applyFont="1" applyBorder="1" applyAlignment="1">
      <alignment horizontal="center" vertical="center" wrapText="1"/>
    </xf>
    <xf numFmtId="0" fontId="5" fillId="0" borderId="30" xfId="0" applyFont="1" applyBorder="1" applyAlignment="1">
      <alignment wrapText="1"/>
    </xf>
    <xf numFmtId="0" fontId="5" fillId="0" borderId="30" xfId="0" applyFont="1" applyBorder="1" applyAlignment="1">
      <alignment horizontal="center"/>
    </xf>
    <xf numFmtId="0" fontId="5" fillId="0" borderId="30" xfId="0" applyFont="1" applyBorder="1" applyAlignment="1">
      <alignment horizontal="center" wrapText="1"/>
    </xf>
    <xf numFmtId="0" fontId="6" fillId="0" borderId="4" xfId="0" applyFont="1" applyBorder="1" applyAlignment="1">
      <alignment horizontal="center" wrapText="1"/>
    </xf>
    <xf numFmtId="0" fontId="6"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xf>
    <xf numFmtId="1" fontId="7" fillId="0" borderId="33" xfId="0" applyNumberFormat="1" applyFont="1" applyBorder="1" applyAlignment="1">
      <alignment horizontal="center" vertical="center"/>
    </xf>
    <xf numFmtId="0" fontId="5" fillId="2" borderId="17" xfId="0" applyFont="1" applyFill="1" applyBorder="1" applyAlignment="1">
      <alignment horizontal="center" vertical="center" textRotation="90" wrapText="1"/>
    </xf>
    <xf numFmtId="0" fontId="5" fillId="2" borderId="15" xfId="0" applyFont="1" applyFill="1" applyBorder="1" applyAlignment="1">
      <alignment horizontal="center" vertical="center" wrapText="1"/>
    </xf>
    <xf numFmtId="1" fontId="5" fillId="3" borderId="15" xfId="0" applyNumberFormat="1"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15" xfId="0" applyFont="1" applyFill="1" applyBorder="1" applyAlignment="1">
      <alignment vertical="center" wrapText="1"/>
    </xf>
    <xf numFmtId="0" fontId="5" fillId="2" borderId="18" xfId="0" applyFont="1" applyFill="1" applyBorder="1" applyAlignment="1">
      <alignment horizontal="center" vertical="center" textRotation="90" wrapText="1"/>
    </xf>
    <xf numFmtId="1" fontId="7" fillId="0" borderId="33" xfId="0" applyNumberFormat="1" applyFont="1" applyBorder="1" applyAlignment="1">
      <alignment horizontal="center" vertical="center" wrapText="1"/>
    </xf>
    <xf numFmtId="0" fontId="5" fillId="2" borderId="15" xfId="0" applyFont="1" applyFill="1" applyBorder="1" applyAlignment="1">
      <alignment horizontal="center" vertical="center" textRotation="90" wrapText="1"/>
    </xf>
    <xf numFmtId="0" fontId="5" fillId="4" borderId="15" xfId="0" applyFont="1" applyFill="1" applyBorder="1" applyAlignment="1">
      <alignment horizontal="center" vertical="center" textRotation="90" wrapText="1"/>
    </xf>
    <xf numFmtId="0" fontId="5" fillId="3" borderId="15" xfId="0" applyFont="1" applyFill="1" applyBorder="1" applyAlignment="1">
      <alignment horizontal="center" vertical="center" textRotation="90" wrapText="1"/>
    </xf>
    <xf numFmtId="168" fontId="5" fillId="3" borderId="15" xfId="0" applyNumberFormat="1" applyFont="1" applyFill="1" applyBorder="1" applyAlignment="1">
      <alignment horizontal="center" vertical="center" textRotation="90" wrapText="1"/>
    </xf>
    <xf numFmtId="0" fontId="7" fillId="3" borderId="15"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5" fillId="3" borderId="15" xfId="0" applyFont="1" applyFill="1" applyBorder="1" applyAlignment="1">
      <alignment horizontal="center" vertical="center"/>
    </xf>
    <xf numFmtId="1" fontId="7" fillId="0" borderId="33" xfId="0" applyNumberFormat="1" applyFont="1" applyBorder="1" applyAlignment="1">
      <alignment horizontal="center" vertical="center" textRotation="90" wrapText="1"/>
    </xf>
    <xf numFmtId="0" fontId="2" fillId="0" borderId="4" xfId="0" applyFont="1" applyBorder="1" applyAlignment="1">
      <alignment horizontal="center" vertical="center" textRotation="90" wrapText="1"/>
    </xf>
    <xf numFmtId="0" fontId="10" fillId="0" borderId="15" xfId="0" applyFont="1" applyBorder="1" applyAlignment="1">
      <alignment horizontal="center" vertical="center" wrapText="1"/>
    </xf>
    <xf numFmtId="0" fontId="10" fillId="0" borderId="15" xfId="0" applyFont="1" applyBorder="1" applyAlignment="1">
      <alignment horizontal="center" vertical="center"/>
    </xf>
    <xf numFmtId="169" fontId="10" fillId="0" borderId="15" xfId="0" applyNumberFormat="1" applyFont="1" applyBorder="1" applyAlignment="1">
      <alignment horizontal="center" vertical="center"/>
    </xf>
    <xf numFmtId="168" fontId="10" fillId="0" borderId="15" xfId="0" applyNumberFormat="1" applyFont="1" applyBorder="1" applyAlignment="1">
      <alignment horizontal="center" vertical="center"/>
    </xf>
    <xf numFmtId="166" fontId="10" fillId="0" borderId="15" xfId="0" applyNumberFormat="1" applyFont="1" applyBorder="1" applyAlignment="1">
      <alignment horizontal="center" vertical="center"/>
    </xf>
    <xf numFmtId="166" fontId="10" fillId="0" borderId="15" xfId="0" applyNumberFormat="1" applyFont="1" applyBorder="1" applyAlignment="1">
      <alignment horizontal="center" vertical="center" wrapText="1"/>
    </xf>
    <xf numFmtId="166" fontId="5" fillId="0" borderId="15" xfId="0" applyNumberFormat="1" applyFont="1" applyBorder="1" applyAlignment="1">
      <alignment horizontal="center" vertical="center" wrapText="1"/>
    </xf>
    <xf numFmtId="0" fontId="12" fillId="0" borderId="4" xfId="0" applyFont="1" applyBorder="1" applyAlignment="1">
      <alignment horizontal="center" vertical="center"/>
    </xf>
    <xf numFmtId="168" fontId="2" fillId="0" borderId="4" xfId="0" applyNumberFormat="1" applyFont="1" applyBorder="1" applyAlignment="1">
      <alignment horizontal="center" vertical="center"/>
    </xf>
    <xf numFmtId="166" fontId="2" fillId="0" borderId="4" xfId="0" applyNumberFormat="1" applyFont="1" applyBorder="1" applyAlignment="1">
      <alignment horizontal="center" vertical="center"/>
    </xf>
    <xf numFmtId="1" fontId="2" fillId="0" borderId="4" xfId="0" applyNumberFormat="1" applyFont="1" applyBorder="1" applyAlignment="1">
      <alignment horizontal="center" vertical="center"/>
    </xf>
    <xf numFmtId="0" fontId="2" fillId="0" borderId="4" xfId="0" applyFont="1" applyBorder="1" applyAlignment="1">
      <alignment vertical="center"/>
    </xf>
    <xf numFmtId="1" fontId="7" fillId="0" borderId="15" xfId="0" applyNumberFormat="1" applyFont="1" applyBorder="1" applyAlignment="1">
      <alignment horizontal="center" vertical="center"/>
    </xf>
    <xf numFmtId="166" fontId="14" fillId="0" borderId="0" xfId="0" applyNumberFormat="1" applyFont="1"/>
    <xf numFmtId="166" fontId="15" fillId="0" borderId="15" xfId="0" applyNumberFormat="1" applyFont="1" applyBorder="1" applyAlignment="1">
      <alignment horizontal="center" vertical="center" wrapText="1"/>
    </xf>
    <xf numFmtId="166" fontId="17" fillId="0" borderId="15" xfId="0" applyNumberFormat="1" applyFont="1" applyBorder="1" applyAlignment="1">
      <alignment horizontal="center" vertical="center" wrapText="1"/>
    </xf>
    <xf numFmtId="166" fontId="7" fillId="0" borderId="15" xfId="0" applyNumberFormat="1" applyFont="1" applyBorder="1" applyAlignment="1">
      <alignment horizontal="center" vertical="center" wrapText="1"/>
    </xf>
    <xf numFmtId="1" fontId="18" fillId="0" borderId="36" xfId="0" applyNumberFormat="1" applyFont="1" applyBorder="1"/>
    <xf numFmtId="166" fontId="2" fillId="0" borderId="0" xfId="0" applyNumberFormat="1" applyFont="1" applyAlignment="1">
      <alignment horizontal="center" vertical="center"/>
    </xf>
    <xf numFmtId="166" fontId="21" fillId="0" borderId="0" xfId="0" applyNumberFormat="1" applyFont="1" applyAlignment="1">
      <alignment horizontal="center" vertical="center"/>
    </xf>
    <xf numFmtId="166" fontId="21" fillId="0" borderId="4" xfId="0" applyNumberFormat="1" applyFont="1" applyBorder="1" applyAlignment="1">
      <alignment horizontal="center" vertical="center"/>
    </xf>
    <xf numFmtId="0" fontId="7" fillId="2" borderId="15" xfId="0" applyFont="1" applyFill="1" applyBorder="1" applyAlignment="1">
      <alignment horizontal="center" vertical="center" textRotation="90" wrapText="1"/>
    </xf>
    <xf numFmtId="0" fontId="7" fillId="3" borderId="15" xfId="0" applyFont="1" applyFill="1" applyBorder="1" applyAlignment="1">
      <alignment horizontal="center" vertical="center" textRotation="90" wrapText="1"/>
    </xf>
    <xf numFmtId="168" fontId="7" fillId="3" borderId="15" xfId="0" applyNumberFormat="1" applyFont="1" applyFill="1" applyBorder="1" applyAlignment="1">
      <alignment horizontal="center" vertical="center" textRotation="90" wrapText="1"/>
    </xf>
    <xf numFmtId="0" fontId="17" fillId="0" borderId="18" xfId="0" applyFont="1" applyBorder="1" applyAlignment="1">
      <alignment horizontal="left" vertical="center" wrapText="1"/>
    </xf>
    <xf numFmtId="1" fontId="22" fillId="0" borderId="43" xfId="0" applyNumberFormat="1" applyFont="1" applyBorder="1"/>
    <xf numFmtId="0" fontId="22" fillId="0" borderId="4" xfId="0" applyFont="1" applyBorder="1" applyAlignment="1">
      <alignment horizontal="center" vertical="center"/>
    </xf>
    <xf numFmtId="1" fontId="23" fillId="0" borderId="33" xfId="0" applyNumberFormat="1" applyFont="1" applyBorder="1" applyAlignment="1">
      <alignment horizontal="center" vertical="center"/>
    </xf>
    <xf numFmtId="0" fontId="21" fillId="0" borderId="4" xfId="0" applyFont="1" applyBorder="1" applyAlignment="1">
      <alignment horizontal="center" vertical="center"/>
    </xf>
    <xf numFmtId="1" fontId="21" fillId="0" borderId="4" xfId="0" applyNumberFormat="1" applyFont="1" applyBorder="1" applyAlignment="1">
      <alignment horizontal="center" vertical="center"/>
    </xf>
    <xf numFmtId="1" fontId="23" fillId="0" borderId="33" xfId="0" applyNumberFormat="1" applyFont="1" applyBorder="1" applyAlignment="1">
      <alignment horizontal="center" vertical="center" wrapText="1"/>
    </xf>
    <xf numFmtId="0" fontId="21" fillId="0" borderId="4" xfId="0" applyFont="1" applyBorder="1" applyAlignment="1">
      <alignment horizontal="center" vertical="center" wrapText="1"/>
    </xf>
    <xf numFmtId="1" fontId="21" fillId="0" borderId="4" xfId="0" applyNumberFormat="1" applyFont="1" applyBorder="1" applyAlignment="1">
      <alignment horizontal="center" vertical="center" wrapText="1"/>
    </xf>
    <xf numFmtId="1" fontId="23" fillId="0" borderId="33" xfId="0" applyNumberFormat="1" applyFont="1" applyBorder="1" applyAlignment="1">
      <alignment horizontal="center" vertical="center" textRotation="90" wrapText="1"/>
    </xf>
    <xf numFmtId="0" fontId="21" fillId="0" borderId="4" xfId="0" applyFont="1" applyBorder="1" applyAlignment="1">
      <alignment horizontal="center" vertical="center" textRotation="90" wrapText="1"/>
    </xf>
    <xf numFmtId="1" fontId="21" fillId="0" borderId="4" xfId="0" applyNumberFormat="1" applyFont="1" applyBorder="1" applyAlignment="1">
      <alignment horizontal="center" vertical="center" textRotation="90" wrapText="1"/>
    </xf>
    <xf numFmtId="0" fontId="17" fillId="0" borderId="15" xfId="0" applyFont="1" applyBorder="1" applyAlignment="1">
      <alignment horizontal="center" vertical="center" wrapText="1"/>
    </xf>
    <xf numFmtId="168" fontId="17" fillId="0" borderId="15" xfId="0" applyNumberFormat="1" applyFont="1" applyBorder="1" applyAlignment="1">
      <alignment horizontal="center" vertical="center" wrapText="1"/>
    </xf>
    <xf numFmtId="1" fontId="24" fillId="0" borderId="33" xfId="0" quotePrefix="1" applyNumberFormat="1" applyFont="1" applyBorder="1" applyAlignment="1">
      <alignment horizontal="center" vertical="center" wrapText="1"/>
    </xf>
    <xf numFmtId="0" fontId="17" fillId="0" borderId="15" xfId="0" applyFont="1" applyBorder="1" applyAlignment="1">
      <alignment horizontal="center" vertical="center"/>
    </xf>
    <xf numFmtId="166" fontId="17" fillId="0" borderId="15" xfId="0" applyNumberFormat="1" applyFont="1" applyBorder="1" applyAlignment="1">
      <alignment horizontal="center" vertical="center"/>
    </xf>
    <xf numFmtId="168" fontId="17" fillId="0" borderId="15" xfId="0" applyNumberFormat="1" applyFont="1" applyBorder="1" applyAlignment="1">
      <alignment horizontal="center" vertical="center"/>
    </xf>
    <xf numFmtId="0" fontId="23" fillId="0" borderId="4" xfId="0" quotePrefix="1" applyFont="1" applyBorder="1" applyAlignment="1">
      <alignment horizontal="center" vertical="center"/>
    </xf>
    <xf numFmtId="1" fontId="26" fillId="0" borderId="33" xfId="0" applyNumberFormat="1" applyFont="1" applyBorder="1" applyAlignment="1">
      <alignment horizontal="center" vertical="center"/>
    </xf>
    <xf numFmtId="0" fontId="20" fillId="0" borderId="4" xfId="0" applyFont="1" applyBorder="1" applyAlignment="1">
      <alignment horizontal="center" vertical="center"/>
    </xf>
    <xf numFmtId="1" fontId="20" fillId="0" borderId="4" xfId="0" applyNumberFormat="1" applyFont="1" applyBorder="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vertical="center" wrapText="1"/>
    </xf>
    <xf numFmtId="168" fontId="21" fillId="0" borderId="0" xfId="0" applyNumberFormat="1" applyFont="1" applyAlignment="1">
      <alignment horizontal="center" vertical="center"/>
    </xf>
    <xf numFmtId="1" fontId="21" fillId="0" borderId="0" xfId="0" applyNumberFormat="1" applyFont="1" applyAlignment="1">
      <alignment horizontal="center" vertical="center"/>
    </xf>
    <xf numFmtId="1" fontId="23" fillId="0" borderId="9" xfId="0" applyNumberFormat="1" applyFont="1" applyBorder="1" applyAlignment="1">
      <alignment horizontal="center" vertical="center"/>
    </xf>
    <xf numFmtId="1" fontId="23" fillId="0" borderId="4" xfId="0" applyNumberFormat="1" applyFont="1" applyBorder="1" applyAlignment="1">
      <alignment horizontal="center" vertical="center"/>
    </xf>
    <xf numFmtId="0" fontId="21" fillId="0" borderId="4" xfId="0" applyFont="1" applyBorder="1" applyAlignment="1">
      <alignment horizontal="center"/>
    </xf>
    <xf numFmtId="168" fontId="21" fillId="0" borderId="4" xfId="0" applyNumberFormat="1" applyFont="1" applyBorder="1" applyAlignment="1">
      <alignment horizontal="center" vertical="center"/>
    </xf>
    <xf numFmtId="0" fontId="7" fillId="0" borderId="4" xfId="0" applyFont="1" applyBorder="1" applyAlignment="1">
      <alignment horizontal="center" vertical="center"/>
    </xf>
    <xf numFmtId="1" fontId="7" fillId="0" borderId="4" xfId="0" applyNumberFormat="1" applyFont="1" applyBorder="1" applyAlignment="1">
      <alignment horizontal="center" vertical="center"/>
    </xf>
    <xf numFmtId="166" fontId="9" fillId="0" borderId="15" xfId="0" applyNumberFormat="1" applyFont="1" applyBorder="1" applyAlignment="1">
      <alignment horizontal="center" vertical="center" wrapText="1"/>
    </xf>
    <xf numFmtId="0" fontId="17" fillId="0" borderId="17" xfId="0" applyFont="1" applyBorder="1" applyAlignment="1">
      <alignment horizontal="center" vertical="center"/>
    </xf>
    <xf numFmtId="1" fontId="21" fillId="0" borderId="4" xfId="0" applyNumberFormat="1" applyFont="1" applyBorder="1" applyAlignment="1">
      <alignment horizontal="center"/>
    </xf>
    <xf numFmtId="166" fontId="21" fillId="0" borderId="4" xfId="0" applyNumberFormat="1" applyFont="1" applyBorder="1" applyAlignment="1">
      <alignment horizontal="center"/>
    </xf>
    <xf numFmtId="0" fontId="19" fillId="2" borderId="15" xfId="0" applyFont="1" applyFill="1" applyBorder="1" applyAlignment="1">
      <alignment horizontal="center" vertical="center" wrapText="1"/>
    </xf>
    <xf numFmtId="1" fontId="2" fillId="0" borderId="4" xfId="0" applyNumberFormat="1" applyFont="1" applyBorder="1" applyAlignment="1">
      <alignment horizontal="center" vertical="center" wrapText="1"/>
    </xf>
    <xf numFmtId="1" fontId="2" fillId="0" borderId="4" xfId="0" applyNumberFormat="1" applyFont="1" applyBorder="1" applyAlignment="1">
      <alignment horizontal="center" vertical="center" textRotation="90" wrapText="1"/>
    </xf>
    <xf numFmtId="0" fontId="27" fillId="0" borderId="4" xfId="0" applyFont="1" applyBorder="1" applyAlignment="1">
      <alignment horizontal="center" vertical="center"/>
    </xf>
    <xf numFmtId="166" fontId="7" fillId="0" borderId="18" xfId="0" applyNumberFormat="1" applyFont="1" applyBorder="1" applyAlignment="1">
      <alignment horizontal="center" vertical="center" wrapText="1"/>
    </xf>
    <xf numFmtId="166" fontId="7" fillId="0" borderId="33" xfId="0" applyNumberFormat="1" applyFont="1" applyBorder="1" applyAlignment="1">
      <alignment horizontal="center" vertical="center" wrapText="1"/>
    </xf>
    <xf numFmtId="1" fontId="22" fillId="0" borderId="4" xfId="0" applyNumberFormat="1"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168" fontId="2" fillId="0" borderId="0" xfId="0" applyNumberFormat="1" applyFont="1" applyAlignment="1">
      <alignment horizontal="center" vertical="center"/>
    </xf>
    <xf numFmtId="1" fontId="2" fillId="0" borderId="0" xfId="0" applyNumberFormat="1" applyFont="1" applyAlignment="1">
      <alignment horizontal="center" vertical="center"/>
    </xf>
    <xf numFmtId="0" fontId="7" fillId="0" borderId="15" xfId="0" applyFont="1" applyBorder="1" applyAlignment="1">
      <alignment horizontal="center" vertical="center" textRotation="90" wrapText="1"/>
    </xf>
    <xf numFmtId="0" fontId="2" fillId="3" borderId="15" xfId="0" applyFont="1" applyFill="1" applyBorder="1" applyAlignment="1">
      <alignment horizontal="center" vertical="center" textRotation="90" wrapText="1"/>
    </xf>
    <xf numFmtId="0" fontId="7" fillId="0" borderId="4" xfId="0" applyFont="1" applyBorder="1" applyAlignment="1">
      <alignment horizontal="center" vertical="center" textRotation="90" wrapText="1"/>
    </xf>
    <xf numFmtId="1" fontId="7" fillId="0" borderId="4" xfId="0" applyNumberFormat="1" applyFont="1" applyBorder="1" applyAlignment="1">
      <alignment horizontal="center" vertical="center" textRotation="90" wrapText="1"/>
    </xf>
    <xf numFmtId="0" fontId="17" fillId="0" borderId="15" xfId="0" applyFont="1" applyBorder="1" applyAlignment="1">
      <alignment horizontal="left" vertical="center"/>
    </xf>
    <xf numFmtId="1" fontId="12" fillId="0" borderId="43" xfId="0" applyNumberFormat="1" applyFont="1" applyBorder="1"/>
    <xf numFmtId="1" fontId="12" fillId="0" borderId="4" xfId="0" applyNumberFormat="1" applyFont="1" applyBorder="1" applyAlignment="1">
      <alignment horizontal="center" vertical="center"/>
    </xf>
    <xf numFmtId="166" fontId="2" fillId="0" borderId="4" xfId="0" applyNumberFormat="1" applyFont="1" applyBorder="1" applyAlignment="1">
      <alignment horizontal="center"/>
    </xf>
    <xf numFmtId="1" fontId="2" fillId="0" borderId="4" xfId="0" applyNumberFormat="1" applyFont="1" applyBorder="1" applyAlignment="1">
      <alignment horizontal="center"/>
    </xf>
    <xf numFmtId="43" fontId="2" fillId="0" borderId="4" xfId="0" applyNumberFormat="1" applyFont="1" applyBorder="1" applyAlignment="1">
      <alignment horizontal="center" vertical="center"/>
    </xf>
    <xf numFmtId="0" fontId="5" fillId="2" borderId="21"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49" xfId="0" applyFont="1" applyFill="1" applyBorder="1" applyAlignment="1">
      <alignment horizontal="center" vertical="center" wrapText="1"/>
    </xf>
    <xf numFmtId="0" fontId="5" fillId="3" borderId="33" xfId="0" applyFont="1" applyFill="1" applyBorder="1" applyAlignment="1">
      <alignment horizontal="center" vertical="center" wrapText="1"/>
    </xf>
    <xf numFmtId="0" fontId="7" fillId="0" borderId="33" xfId="0" applyFont="1" applyBorder="1" applyAlignment="1">
      <alignment horizontal="left" vertical="center"/>
    </xf>
    <xf numFmtId="0" fontId="2" fillId="0" borderId="4" xfId="0" applyFont="1" applyBorder="1" applyAlignment="1">
      <alignment horizontal="center" wrapText="1"/>
    </xf>
    <xf numFmtId="0" fontId="29" fillId="10" borderId="15" xfId="0" applyFont="1" applyFill="1" applyBorder="1" applyAlignment="1">
      <alignment horizontal="center" vertical="center"/>
    </xf>
    <xf numFmtId="166" fontId="29" fillId="10" borderId="15" xfId="0" applyNumberFormat="1" applyFont="1" applyFill="1" applyBorder="1" applyAlignment="1">
      <alignment horizontal="center" vertical="center"/>
    </xf>
    <xf numFmtId="0" fontId="14" fillId="0" borderId="15" xfId="0" applyFont="1" applyBorder="1"/>
    <xf numFmtId="0" fontId="14" fillId="0" borderId="15" xfId="0" applyFont="1" applyBorder="1" applyAlignment="1">
      <alignment horizontal="center"/>
    </xf>
    <xf numFmtId="1" fontId="14" fillId="0" borderId="15" xfId="0" applyNumberFormat="1" applyFont="1" applyBorder="1" applyAlignment="1">
      <alignment horizontal="center"/>
    </xf>
    <xf numFmtId="166" fontId="14" fillId="0" borderId="15" xfId="0" applyNumberFormat="1" applyFont="1" applyBorder="1" applyAlignment="1">
      <alignment horizontal="center"/>
    </xf>
    <xf numFmtId="1" fontId="14" fillId="0" borderId="0" xfId="0" applyNumberFormat="1" applyFont="1"/>
    <xf numFmtId="1" fontId="29" fillId="10" borderId="15" xfId="0" applyNumberFormat="1" applyFont="1" applyFill="1" applyBorder="1" applyAlignment="1">
      <alignment horizontal="center" vertical="center"/>
    </xf>
    <xf numFmtId="1" fontId="14" fillId="0" borderId="15" xfId="0" applyNumberFormat="1" applyFont="1" applyBorder="1"/>
    <xf numFmtId="166" fontId="14" fillId="0" borderId="15" xfId="0" applyNumberFormat="1" applyFont="1" applyBorder="1"/>
    <xf numFmtId="0" fontId="14" fillId="0" borderId="0" xfId="0" applyFont="1"/>
    <xf numFmtId="0" fontId="30" fillId="0" borderId="0" xfId="0" applyFont="1"/>
    <xf numFmtId="0" fontId="31" fillId="0" borderId="0" xfId="0" applyFont="1"/>
    <xf numFmtId="166" fontId="31" fillId="0" borderId="0" xfId="0" applyNumberFormat="1" applyFont="1"/>
    <xf numFmtId="3" fontId="14" fillId="0" borderId="0" xfId="0" applyNumberFormat="1" applyFont="1"/>
    <xf numFmtId="0" fontId="13" fillId="2" borderId="15" xfId="0" applyFont="1" applyFill="1" applyBorder="1" applyAlignment="1">
      <alignment horizontal="center" vertical="center" textRotation="90" wrapText="1"/>
    </xf>
    <xf numFmtId="0" fontId="13" fillId="3" borderId="15" xfId="0" applyFont="1" applyFill="1" applyBorder="1" applyAlignment="1">
      <alignment horizontal="center" vertical="center" textRotation="90" wrapText="1"/>
    </xf>
    <xf numFmtId="168" fontId="13" fillId="3" borderId="15" xfId="0" applyNumberFormat="1" applyFont="1" applyFill="1" applyBorder="1" applyAlignment="1">
      <alignment horizontal="center" vertical="center" textRotation="90" wrapText="1"/>
    </xf>
    <xf numFmtId="168" fontId="13" fillId="5" borderId="15" xfId="0" applyNumberFormat="1" applyFont="1" applyFill="1" applyBorder="1" applyAlignment="1">
      <alignment horizontal="center" vertical="center" wrapText="1"/>
    </xf>
    <xf numFmtId="168" fontId="13" fillId="2" borderId="15" xfId="0" applyNumberFormat="1" applyFont="1" applyFill="1" applyBorder="1" applyAlignment="1">
      <alignment horizontal="center" vertical="center" wrapText="1"/>
    </xf>
    <xf numFmtId="168" fontId="13" fillId="3" borderId="15" xfId="0" applyNumberFormat="1" applyFont="1" applyFill="1" applyBorder="1" applyAlignment="1">
      <alignment horizontal="center" vertical="center" wrapText="1"/>
    </xf>
    <xf numFmtId="0" fontId="13" fillId="3" borderId="15"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3" borderId="15" xfId="0" applyFont="1" applyFill="1" applyBorder="1" applyAlignment="1">
      <alignment horizontal="center" vertical="center"/>
    </xf>
    <xf numFmtId="0" fontId="25" fillId="0" borderId="17" xfId="0" applyFont="1" applyBorder="1" applyAlignment="1">
      <alignment horizontal="center" vertical="center"/>
    </xf>
    <xf numFmtId="0" fontId="25" fillId="0" borderId="15" xfId="0" applyFont="1" applyBorder="1" applyAlignment="1">
      <alignment horizontal="center" vertical="center"/>
    </xf>
    <xf numFmtId="0" fontId="25" fillId="0" borderId="15" xfId="0" applyFont="1" applyBorder="1" applyAlignment="1">
      <alignment horizontal="center" vertical="center" wrapText="1"/>
    </xf>
    <xf numFmtId="169" fontId="25" fillId="0" borderId="15" xfId="0" applyNumberFormat="1" applyFont="1" applyBorder="1" applyAlignment="1">
      <alignment horizontal="center" vertical="center"/>
    </xf>
    <xf numFmtId="168" fontId="25" fillId="0" borderId="15" xfId="0" applyNumberFormat="1" applyFont="1" applyBorder="1" applyAlignment="1">
      <alignment horizontal="center" vertical="center"/>
    </xf>
    <xf numFmtId="166" fontId="25" fillId="0" borderId="15" xfId="0" applyNumberFormat="1" applyFont="1" applyBorder="1" applyAlignment="1">
      <alignment horizontal="center" vertical="center"/>
    </xf>
    <xf numFmtId="166" fontId="25" fillId="0" borderId="15" xfId="0" applyNumberFormat="1" applyFont="1" applyBorder="1" applyAlignment="1">
      <alignment horizontal="center" vertical="center" wrapText="1"/>
    </xf>
    <xf numFmtId="3" fontId="25" fillId="0" borderId="18" xfId="0" applyNumberFormat="1" applyFont="1" applyBorder="1" applyAlignment="1">
      <alignment horizontal="center" vertical="center" wrapText="1"/>
    </xf>
    <xf numFmtId="3" fontId="25" fillId="0" borderId="18" xfId="0" applyNumberFormat="1" applyFont="1" applyBorder="1" applyAlignment="1">
      <alignment horizontal="left" vertical="center" wrapText="1"/>
    </xf>
    <xf numFmtId="169" fontId="25" fillId="0" borderId="15" xfId="0" applyNumberFormat="1" applyFont="1" applyBorder="1" applyAlignment="1">
      <alignment horizontal="center" vertical="center" wrapText="1"/>
    </xf>
    <xf numFmtId="168" fontId="25" fillId="0" borderId="15" xfId="0" applyNumberFormat="1" applyFont="1" applyBorder="1" applyAlignment="1">
      <alignment horizontal="center" vertical="center" wrapText="1"/>
    </xf>
    <xf numFmtId="0" fontId="25" fillId="0" borderId="18" xfId="0" applyFont="1" applyBorder="1" applyAlignment="1">
      <alignment horizontal="center" vertical="center" wrapText="1"/>
    </xf>
    <xf numFmtId="166" fontId="32" fillId="0" borderId="15" xfId="0" applyNumberFormat="1" applyFont="1" applyBorder="1" applyAlignment="1">
      <alignment horizontal="center" vertical="center" wrapText="1"/>
    </xf>
    <xf numFmtId="1" fontId="25" fillId="0" borderId="18" xfId="0" applyNumberFormat="1" applyFont="1" applyBorder="1" applyAlignment="1">
      <alignment horizontal="center" vertical="center" wrapText="1"/>
    </xf>
    <xf numFmtId="1" fontId="33" fillId="0" borderId="43" xfId="0" applyNumberFormat="1" applyFont="1" applyBorder="1"/>
    <xf numFmtId="0" fontId="33" fillId="0" borderId="4" xfId="0" applyFont="1" applyBorder="1" applyAlignment="1">
      <alignment horizontal="center" vertical="center"/>
    </xf>
    <xf numFmtId="0" fontId="34" fillId="0" borderId="4" xfId="0" applyFont="1" applyBorder="1" applyAlignment="1">
      <alignment horizontal="center" vertical="center" wrapText="1"/>
    </xf>
    <xf numFmtId="0" fontId="34" fillId="0" borderId="4" xfId="0" applyFont="1" applyBorder="1" applyAlignment="1">
      <alignment horizontal="center" vertical="center"/>
    </xf>
    <xf numFmtId="169" fontId="34" fillId="0" borderId="4" xfId="0" applyNumberFormat="1" applyFont="1" applyBorder="1" applyAlignment="1">
      <alignment horizontal="center" vertical="center"/>
    </xf>
    <xf numFmtId="168" fontId="34" fillId="0" borderId="4" xfId="0" applyNumberFormat="1" applyFont="1" applyBorder="1" applyAlignment="1">
      <alignment horizontal="center" vertical="center"/>
    </xf>
    <xf numFmtId="0" fontId="15" fillId="0" borderId="4" xfId="0" applyFont="1" applyBorder="1" applyAlignment="1">
      <alignment horizontal="center" vertical="center" wrapText="1"/>
    </xf>
    <xf numFmtId="169" fontId="15" fillId="0" borderId="4" xfId="0" applyNumberFormat="1" applyFont="1" applyBorder="1" applyAlignment="1">
      <alignment horizontal="center" vertical="center" wrapText="1"/>
    </xf>
    <xf numFmtId="168" fontId="15" fillId="0" borderId="33" xfId="0" applyNumberFormat="1" applyFont="1" applyBorder="1" applyAlignment="1">
      <alignment horizontal="center" vertical="center" wrapText="1"/>
    </xf>
    <xf numFmtId="0" fontId="35" fillId="0" borderId="33" xfId="0" applyFont="1" applyBorder="1" applyAlignment="1">
      <alignment horizontal="center" vertical="center"/>
    </xf>
    <xf numFmtId="0" fontId="2" fillId="2" borderId="15" xfId="0" applyFont="1" applyFill="1" applyBorder="1" applyAlignment="1">
      <alignment horizontal="center" vertical="center" textRotation="90" wrapText="1"/>
    </xf>
    <xf numFmtId="168" fontId="2" fillId="3" borderId="15" xfId="0" applyNumberFormat="1" applyFont="1" applyFill="1" applyBorder="1" applyAlignment="1">
      <alignment horizontal="center" vertical="center" textRotation="90" wrapText="1"/>
    </xf>
    <xf numFmtId="168" fontId="2" fillId="5" borderId="15" xfId="0" applyNumberFormat="1" applyFont="1" applyFill="1" applyBorder="1" applyAlignment="1">
      <alignment horizontal="center" vertical="center" wrapText="1"/>
    </xf>
    <xf numFmtId="168" fontId="2" fillId="2" borderId="15" xfId="0" applyNumberFormat="1" applyFont="1" applyFill="1" applyBorder="1" applyAlignment="1">
      <alignment horizontal="center" vertical="center" wrapText="1"/>
    </xf>
    <xf numFmtId="168" fontId="2" fillId="3" borderId="15" xfId="0" applyNumberFormat="1"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5" xfId="0" applyFont="1" applyFill="1" applyBorder="1" applyAlignment="1">
      <alignment horizontal="center" vertical="center"/>
    </xf>
    <xf numFmtId="37" fontId="17" fillId="0" borderId="18" xfId="0" applyNumberFormat="1" applyFont="1" applyBorder="1" applyAlignment="1">
      <alignment horizontal="center" vertical="center" wrapText="1"/>
    </xf>
    <xf numFmtId="0" fontId="27" fillId="0" borderId="15" xfId="0" applyFont="1" applyBorder="1" applyAlignment="1">
      <alignment horizontal="center" vertical="center"/>
    </xf>
    <xf numFmtId="0" fontId="15" fillId="0" borderId="15" xfId="0" applyFont="1" applyBorder="1" applyAlignment="1">
      <alignment horizontal="center" vertical="center" wrapText="1"/>
    </xf>
    <xf numFmtId="169" fontId="15" fillId="0" borderId="15" xfId="0" applyNumberFormat="1" applyFont="1" applyBorder="1" applyAlignment="1">
      <alignment horizontal="center" vertical="center" wrapText="1"/>
    </xf>
    <xf numFmtId="168" fontId="15" fillId="0" borderId="15" xfId="0" applyNumberFormat="1" applyFont="1" applyBorder="1" applyAlignment="1">
      <alignment horizontal="center" vertical="center" wrapText="1"/>
    </xf>
    <xf numFmtId="166" fontId="2" fillId="0" borderId="15" xfId="0" applyNumberFormat="1" applyFont="1" applyBorder="1" applyAlignment="1">
      <alignment horizontal="center" vertical="center" wrapText="1"/>
    </xf>
    <xf numFmtId="1" fontId="4" fillId="0" borderId="18" xfId="0" applyNumberFormat="1" applyFont="1" applyBorder="1" applyAlignment="1">
      <alignment horizontal="center" vertical="center" wrapText="1"/>
    </xf>
    <xf numFmtId="0" fontId="22" fillId="0" borderId="4" xfId="0" applyFont="1" applyBorder="1" applyAlignment="1">
      <alignment horizontal="center"/>
    </xf>
    <xf numFmtId="0" fontId="15" fillId="0" borderId="4" xfId="0" applyFont="1" applyBorder="1" applyAlignment="1">
      <alignment vertical="center"/>
    </xf>
    <xf numFmtId="0" fontId="36" fillId="0" borderId="4" xfId="0" applyFont="1" applyBorder="1" applyAlignment="1">
      <alignment vertical="center"/>
    </xf>
    <xf numFmtId="0" fontId="7" fillId="0" borderId="17" xfId="0" applyFont="1" applyBorder="1" applyAlignment="1">
      <alignment horizontal="center" vertical="center"/>
    </xf>
    <xf numFmtId="0" fontId="7" fillId="0" borderId="15" xfId="0" applyFont="1" applyBorder="1" applyAlignment="1">
      <alignment horizontal="center" vertical="center"/>
    </xf>
    <xf numFmtId="0" fontId="7" fillId="0" borderId="15" xfId="0" applyFont="1" applyBorder="1" applyAlignment="1">
      <alignment horizontal="center" vertical="center" wrapText="1"/>
    </xf>
    <xf numFmtId="0" fontId="7" fillId="0" borderId="18" xfId="0" applyFont="1" applyBorder="1" applyAlignment="1">
      <alignment horizontal="center" vertical="center" wrapText="1"/>
    </xf>
    <xf numFmtId="166" fontId="17" fillId="0" borderId="15" xfId="0" applyNumberFormat="1" applyFont="1" applyBorder="1" applyAlignment="1">
      <alignment vertical="center"/>
    </xf>
    <xf numFmtId="0" fontId="16" fillId="0" borderId="4" xfId="0" applyFont="1" applyBorder="1" applyAlignment="1">
      <alignment vertical="center"/>
    </xf>
    <xf numFmtId="166" fontId="7" fillId="0" borderId="15" xfId="0" applyNumberFormat="1" applyFont="1" applyBorder="1" applyAlignment="1">
      <alignment horizontal="center" vertical="center"/>
    </xf>
    <xf numFmtId="170" fontId="7" fillId="0" borderId="18" xfId="0" applyNumberFormat="1" applyFont="1" applyBorder="1" applyAlignment="1">
      <alignment horizontal="center" vertical="center" wrapText="1"/>
    </xf>
    <xf numFmtId="0" fontId="15" fillId="0" borderId="4" xfId="0" applyFont="1" applyBorder="1" applyAlignment="1">
      <alignment horizontal="center" vertical="center"/>
    </xf>
    <xf numFmtId="1" fontId="13" fillId="0" borderId="56" xfId="0" applyNumberFormat="1" applyFont="1" applyBorder="1" applyAlignment="1">
      <alignment horizontal="left" vertical="center"/>
    </xf>
    <xf numFmtId="0" fontId="15" fillId="0" borderId="4" xfId="0" applyFont="1" applyBorder="1" applyAlignment="1">
      <alignment horizontal="left" vertical="center"/>
    </xf>
    <xf numFmtId="0" fontId="2" fillId="0" borderId="60" xfId="0" applyFont="1" applyBorder="1" applyAlignment="1">
      <alignment horizontal="center" vertical="center"/>
    </xf>
    <xf numFmtId="0" fontId="2" fillId="0" borderId="61" xfId="0" applyFont="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4" fillId="0" borderId="13" xfId="0" applyFont="1" applyBorder="1" applyAlignment="1">
      <alignment horizontal="center" vertical="center"/>
    </xf>
    <xf numFmtId="0" fontId="4" fillId="0" borderId="14" xfId="0" applyFont="1" applyBorder="1" applyAlignment="1">
      <alignment horizontal="center" vertical="center" wrapText="1"/>
    </xf>
    <xf numFmtId="0" fontId="4" fillId="0" borderId="14" xfId="0" applyFont="1" applyBorder="1" applyAlignment="1">
      <alignment horizontal="center" vertical="center"/>
    </xf>
    <xf numFmtId="166" fontId="4" fillId="0" borderId="14" xfId="0" applyNumberFormat="1" applyFont="1" applyBorder="1" applyAlignment="1">
      <alignment horizontal="center" vertical="center"/>
    </xf>
    <xf numFmtId="166" fontId="4" fillId="0" borderId="14" xfId="0" applyNumberFormat="1" applyFont="1" applyBorder="1" applyAlignment="1">
      <alignment horizontal="center" vertical="center" wrapText="1"/>
    </xf>
    <xf numFmtId="0" fontId="4" fillId="0" borderId="16" xfId="0" applyFont="1" applyBorder="1" applyAlignment="1">
      <alignment horizontal="left" vertical="center" wrapText="1"/>
    </xf>
    <xf numFmtId="166" fontId="2" fillId="0" borderId="15" xfId="0" applyNumberFormat="1" applyFont="1" applyBorder="1" applyAlignment="1">
      <alignment horizontal="center" vertical="center"/>
    </xf>
    <xf numFmtId="170" fontId="2" fillId="0" borderId="18" xfId="0" applyNumberFormat="1" applyFont="1" applyBorder="1" applyAlignment="1">
      <alignment horizontal="center" vertical="center" wrapText="1"/>
    </xf>
    <xf numFmtId="1" fontId="5" fillId="0" borderId="43" xfId="0" applyNumberFormat="1" applyFont="1" applyBorder="1"/>
    <xf numFmtId="1" fontId="5" fillId="0" borderId="55" xfId="0" applyNumberFormat="1" applyFont="1" applyBorder="1" applyAlignment="1">
      <alignment horizontal="center"/>
    </xf>
    <xf numFmtId="0" fontId="2" fillId="0" borderId="0" xfId="0" applyFont="1" applyAlignment="1">
      <alignment horizontal="left" vertical="center"/>
    </xf>
    <xf numFmtId="0" fontId="2" fillId="0" borderId="0" xfId="0" applyFont="1"/>
    <xf numFmtId="0" fontId="2" fillId="0" borderId="0" xfId="0" applyFont="1" applyAlignment="1">
      <alignment horizontal="left"/>
    </xf>
    <xf numFmtId="0" fontId="2" fillId="0" borderId="0" xfId="0" applyFont="1" applyAlignment="1">
      <alignment horizontal="center"/>
    </xf>
    <xf numFmtId="0" fontId="38" fillId="0" borderId="0" xfId="0" applyFont="1" applyAlignment="1">
      <alignment horizontal="center" vertical="center"/>
    </xf>
    <xf numFmtId="0" fontId="38" fillId="0" borderId="0" xfId="0" applyFont="1"/>
    <xf numFmtId="0" fontId="38" fillId="0" borderId="17" xfId="0" applyFont="1" applyBorder="1" applyAlignment="1">
      <alignment horizontal="center" vertical="center" wrapText="1"/>
    </xf>
    <xf numFmtId="0" fontId="38" fillId="0" borderId="15" xfId="0" applyFont="1" applyBorder="1" applyAlignment="1">
      <alignment horizontal="center" vertical="center" wrapText="1"/>
    </xf>
    <xf numFmtId="166" fontId="38" fillId="0" borderId="15" xfId="0" applyNumberFormat="1" applyFont="1" applyBorder="1" applyAlignment="1">
      <alignment horizontal="center" vertical="center" wrapText="1"/>
    </xf>
    <xf numFmtId="0" fontId="38" fillId="0" borderId="18" xfId="0" applyFont="1" applyBorder="1" applyAlignment="1">
      <alignment horizontal="center" vertical="center" wrapText="1"/>
    </xf>
    <xf numFmtId="0" fontId="39" fillId="0" borderId="17" xfId="0" applyFont="1" applyBorder="1" applyAlignment="1">
      <alignment horizontal="center" vertical="center" wrapText="1"/>
    </xf>
    <xf numFmtId="0" fontId="39" fillId="0" borderId="15" xfId="0" applyFont="1" applyBorder="1" applyAlignment="1">
      <alignment horizontal="center" vertical="center" wrapText="1"/>
    </xf>
    <xf numFmtId="166" fontId="39" fillId="0" borderId="15" xfId="0" applyNumberFormat="1" applyFont="1" applyBorder="1" applyAlignment="1">
      <alignment horizontal="center" vertical="center" wrapText="1"/>
    </xf>
    <xf numFmtId="169" fontId="39" fillId="0" borderId="15" xfId="0" applyNumberFormat="1" applyFont="1" applyBorder="1" applyAlignment="1">
      <alignment horizontal="center" vertical="center" wrapText="1"/>
    </xf>
    <xf numFmtId="0" fontId="15" fillId="0" borderId="18" xfId="0" applyFont="1" applyBorder="1" applyAlignment="1">
      <alignment horizontal="center" vertical="center" wrapText="1"/>
    </xf>
    <xf numFmtId="0" fontId="39" fillId="0" borderId="18" xfId="0" applyFont="1" applyBorder="1" applyAlignment="1">
      <alignment horizontal="center" vertical="center" wrapText="1"/>
    </xf>
    <xf numFmtId="170" fontId="38" fillId="0" borderId="18" xfId="0" applyNumberFormat="1" applyFont="1" applyBorder="1" applyAlignment="1">
      <alignment horizontal="center" vertical="center" wrapText="1"/>
    </xf>
    <xf numFmtId="1" fontId="13" fillId="0" borderId="43" xfId="0" applyNumberFormat="1" applyFont="1" applyBorder="1" applyAlignment="1">
      <alignment horizontal="center" wrapText="1"/>
    </xf>
    <xf numFmtId="0" fontId="13" fillId="0" borderId="0" xfId="0" applyFont="1"/>
    <xf numFmtId="0" fontId="38" fillId="0" borderId="0" xfId="0" applyFont="1" applyAlignment="1">
      <alignment horizontal="left"/>
    </xf>
    <xf numFmtId="0" fontId="38" fillId="0" borderId="0" xfId="0" applyFont="1" applyAlignment="1">
      <alignment horizontal="center"/>
    </xf>
    <xf numFmtId="0" fontId="40" fillId="11" borderId="4" xfId="0" applyFont="1" applyFill="1" applyBorder="1" applyAlignment="1">
      <alignment horizontal="center"/>
    </xf>
    <xf numFmtId="0" fontId="41" fillId="0" borderId="0" xfId="0" applyFont="1" applyAlignment="1">
      <alignment horizontal="center"/>
    </xf>
    <xf numFmtId="0" fontId="42" fillId="0" borderId="0" xfId="0" applyFont="1" applyAlignment="1">
      <alignment horizontal="center"/>
    </xf>
    <xf numFmtId="0" fontId="43" fillId="10" borderId="4" xfId="0" applyFont="1" applyFill="1" applyBorder="1" applyAlignment="1">
      <alignment horizontal="center"/>
    </xf>
    <xf numFmtId="0" fontId="42" fillId="10" borderId="4" xfId="0" applyFont="1" applyFill="1" applyBorder="1" applyAlignment="1">
      <alignment horizontal="center"/>
    </xf>
    <xf numFmtId="0" fontId="44" fillId="10" borderId="4" xfId="0" applyFont="1" applyFill="1" applyBorder="1" applyAlignment="1">
      <alignment horizontal="center"/>
    </xf>
    <xf numFmtId="0" fontId="41" fillId="7" borderId="4" xfId="0" applyFont="1" applyFill="1" applyBorder="1" applyAlignment="1">
      <alignment horizontal="center"/>
    </xf>
    <xf numFmtId="0" fontId="41" fillId="10" borderId="4" xfId="0" applyFont="1" applyFill="1" applyBorder="1" applyAlignment="1">
      <alignment horizontal="center"/>
    </xf>
    <xf numFmtId="0" fontId="44" fillId="7" borderId="4" xfId="0" applyFont="1" applyFill="1" applyBorder="1" applyAlignment="1">
      <alignment horizontal="center"/>
    </xf>
    <xf numFmtId="0" fontId="45" fillId="10" borderId="4" xfId="0" applyFont="1" applyFill="1" applyBorder="1" applyAlignment="1">
      <alignment horizontal="center"/>
    </xf>
    <xf numFmtId="0" fontId="45" fillId="6" borderId="4" xfId="0" applyFont="1" applyFill="1" applyBorder="1" applyAlignment="1">
      <alignment horizontal="center"/>
    </xf>
    <xf numFmtId="0" fontId="41" fillId="6" borderId="4" xfId="0" applyFont="1" applyFill="1" applyBorder="1" applyAlignment="1">
      <alignment horizontal="center"/>
    </xf>
    <xf numFmtId="0" fontId="47" fillId="0" borderId="15" xfId="0" applyFont="1" applyBorder="1" applyAlignment="1">
      <alignment horizontal="center" vertical="center"/>
    </xf>
    <xf numFmtId="0" fontId="47" fillId="0" borderId="15" xfId="0" applyFont="1" applyBorder="1" applyAlignment="1">
      <alignment horizontal="left" vertical="center"/>
    </xf>
    <xf numFmtId="0" fontId="46" fillId="0" borderId="17" xfId="0" applyFont="1" applyBorder="1" applyAlignment="1">
      <alignment horizontal="center"/>
    </xf>
    <xf numFmtId="0" fontId="46" fillId="0" borderId="18" xfId="0" applyFont="1" applyBorder="1" applyAlignment="1">
      <alignment horizontal="center"/>
    </xf>
    <xf numFmtId="0" fontId="47" fillId="9" borderId="15" xfId="0" applyFont="1" applyFill="1" applyBorder="1" applyAlignment="1">
      <alignment horizontal="left" vertical="center"/>
    </xf>
    <xf numFmtId="0" fontId="48" fillId="0" borderId="17" xfId="0" applyFont="1" applyBorder="1" applyAlignment="1">
      <alignment horizontal="center" vertical="center"/>
    </xf>
    <xf numFmtId="0" fontId="48" fillId="0" borderId="18" xfId="0" applyFont="1" applyBorder="1"/>
    <xf numFmtId="0" fontId="47" fillId="0" borderId="0" xfId="0" applyFont="1"/>
    <xf numFmtId="0" fontId="48" fillId="0" borderId="63" xfId="0" applyFont="1" applyBorder="1" applyAlignment="1">
      <alignment horizontal="center" vertical="center"/>
    </xf>
    <xf numFmtId="0" fontId="48" fillId="0" borderId="26" xfId="0" applyFont="1" applyBorder="1"/>
    <xf numFmtId="0" fontId="49" fillId="0" borderId="4" xfId="0" applyFont="1" applyBorder="1" applyAlignment="1">
      <alignment horizontal="center"/>
    </xf>
    <xf numFmtId="166" fontId="49" fillId="0" borderId="4" xfId="0" applyNumberFormat="1" applyFont="1" applyBorder="1" applyAlignment="1">
      <alignment horizontal="center"/>
    </xf>
    <xf numFmtId="0" fontId="50" fillId="0" borderId="4" xfId="0" applyFont="1" applyBorder="1" applyAlignment="1">
      <alignment horizontal="center"/>
    </xf>
    <xf numFmtId="0" fontId="51" fillId="0" borderId="15" xfId="0" applyFont="1" applyBorder="1" applyAlignment="1">
      <alignment horizontal="center" vertical="center"/>
    </xf>
    <xf numFmtId="166" fontId="50" fillId="0" borderId="4" xfId="0" applyNumberFormat="1" applyFont="1" applyBorder="1" applyAlignment="1">
      <alignment horizontal="center"/>
    </xf>
    <xf numFmtId="0" fontId="52" fillId="0" borderId="21" xfId="0" applyFont="1" applyBorder="1" applyAlignment="1">
      <alignment horizontal="center" vertical="center"/>
    </xf>
    <xf numFmtId="171" fontId="52" fillId="0" borderId="15" xfId="0" applyNumberFormat="1" applyFont="1" applyBorder="1" applyAlignment="1">
      <alignment horizontal="center" vertical="center"/>
    </xf>
    <xf numFmtId="171" fontId="52" fillId="0" borderId="15" xfId="0" applyNumberFormat="1" applyFont="1" applyBorder="1" applyAlignment="1">
      <alignment vertical="center"/>
    </xf>
    <xf numFmtId="172" fontId="52" fillId="0" borderId="21" xfId="0" applyNumberFormat="1" applyFont="1" applyBorder="1" applyAlignment="1">
      <alignment horizontal="center" vertical="center"/>
    </xf>
    <xf numFmtId="0" fontId="52" fillId="0" borderId="15" xfId="0" applyFont="1" applyBorder="1" applyAlignment="1">
      <alignment horizontal="center" vertical="center"/>
    </xf>
    <xf numFmtId="0" fontId="49" fillId="0" borderId="15" xfId="0" applyFont="1" applyBorder="1" applyAlignment="1">
      <alignment horizontal="center" vertical="center"/>
    </xf>
    <xf numFmtId="171" fontId="49" fillId="0" borderId="15" xfId="0" applyNumberFormat="1" applyFont="1" applyBorder="1" applyAlignment="1">
      <alignment horizontal="center" vertical="center"/>
    </xf>
    <xf numFmtId="171" fontId="50" fillId="0" borderId="15" xfId="0" applyNumberFormat="1" applyFont="1" applyBorder="1" applyAlignment="1">
      <alignment horizontal="center" vertical="center"/>
    </xf>
    <xf numFmtId="171" fontId="50" fillId="0" borderId="15" xfId="0" applyNumberFormat="1" applyFont="1" applyBorder="1" applyAlignment="1">
      <alignment vertical="center"/>
    </xf>
    <xf numFmtId="171" fontId="49" fillId="0" borderId="4" xfId="0" applyNumberFormat="1" applyFont="1" applyBorder="1" applyAlignment="1">
      <alignment horizontal="center"/>
    </xf>
    <xf numFmtId="0" fontId="49" fillId="0" borderId="64" xfId="0" applyFont="1" applyBorder="1" applyAlignment="1">
      <alignment horizontal="center" vertical="center"/>
    </xf>
    <xf numFmtId="3" fontId="49" fillId="0" borderId="65" xfId="0" applyNumberFormat="1" applyFont="1" applyBorder="1" applyAlignment="1">
      <alignment horizontal="right" vertical="center"/>
    </xf>
    <xf numFmtId="0" fontId="49" fillId="0" borderId="65" xfId="0" applyFont="1" applyBorder="1" applyAlignment="1">
      <alignment horizontal="center" vertical="center"/>
    </xf>
    <xf numFmtId="166" fontId="49" fillId="0" borderId="66" xfId="0" applyNumberFormat="1" applyFont="1" applyBorder="1" applyAlignment="1">
      <alignment horizontal="right" vertical="center"/>
    </xf>
    <xf numFmtId="0" fontId="49" fillId="0" borderId="17" xfId="0" applyFont="1" applyBorder="1" applyAlignment="1">
      <alignment horizontal="center" vertical="center"/>
    </xf>
    <xf numFmtId="3" fontId="49" fillId="0" borderId="15" xfId="0" applyNumberFormat="1" applyFont="1" applyBorder="1" applyAlignment="1">
      <alignment horizontal="right" vertical="center"/>
    </xf>
    <xf numFmtId="166" fontId="49" fillId="0" borderId="18" xfId="0" applyNumberFormat="1" applyFont="1" applyBorder="1" applyAlignment="1">
      <alignment horizontal="right" vertical="center"/>
    </xf>
    <xf numFmtId="0" fontId="49" fillId="0" borderId="63" xfId="0" applyFont="1" applyBorder="1" applyAlignment="1">
      <alignment horizontal="center" vertical="center"/>
    </xf>
    <xf numFmtId="3" fontId="49" fillId="0" borderId="67" xfId="0" applyNumberFormat="1" applyFont="1" applyBorder="1" applyAlignment="1">
      <alignment horizontal="right" vertical="center"/>
    </xf>
    <xf numFmtId="0" fontId="49" fillId="0" borderId="67" xfId="0" applyFont="1" applyBorder="1" applyAlignment="1">
      <alignment horizontal="center" vertical="center"/>
    </xf>
    <xf numFmtId="166" fontId="49" fillId="0" borderId="26" xfId="0" applyNumberFormat="1" applyFont="1" applyBorder="1" applyAlignment="1">
      <alignment horizontal="right" vertical="center"/>
    </xf>
    <xf numFmtId="166" fontId="28" fillId="0" borderId="0" xfId="0" applyNumberFormat="1" applyFont="1"/>
    <xf numFmtId="166" fontId="28" fillId="0" borderId="0" xfId="0" applyNumberFormat="1" applyFont="1" applyAlignment="1">
      <alignment horizontal="center" vertical="center"/>
    </xf>
    <xf numFmtId="166" fontId="14" fillId="6" borderId="4" xfId="0" applyNumberFormat="1" applyFont="1" applyFill="1" applyBorder="1"/>
    <xf numFmtId="166" fontId="39" fillId="6" borderId="4" xfId="0" applyNumberFormat="1" applyFont="1" applyFill="1" applyBorder="1"/>
    <xf numFmtId="0" fontId="14" fillId="0" borderId="10" xfId="0" applyFont="1" applyBorder="1" applyAlignment="1">
      <alignment horizontal="center"/>
    </xf>
    <xf numFmtId="0" fontId="14" fillId="0" borderId="0" xfId="0" applyFont="1" applyAlignment="1">
      <alignment horizontal="center"/>
    </xf>
    <xf numFmtId="1" fontId="60" fillId="12" borderId="68" xfId="1" applyNumberFormat="1" applyFont="1" applyFill="1" applyBorder="1" applyAlignment="1">
      <alignment horizontal="center" vertical="center"/>
    </xf>
    <xf numFmtId="0" fontId="61" fillId="12" borderId="53" xfId="1" applyFont="1" applyFill="1" applyAlignment="1">
      <alignment vertical="center"/>
    </xf>
    <xf numFmtId="1" fontId="60" fillId="12" borderId="74" xfId="1" applyNumberFormat="1" applyFont="1" applyFill="1" applyBorder="1" applyAlignment="1">
      <alignment horizontal="center" vertical="center"/>
    </xf>
    <xf numFmtId="0" fontId="59" fillId="12" borderId="75" xfId="1" applyFont="1" applyFill="1" applyBorder="1" applyAlignment="1">
      <alignment horizontal="center" vertical="center"/>
    </xf>
    <xf numFmtId="166" fontId="59" fillId="12" borderId="76" xfId="2" applyNumberFormat="1" applyFont="1" applyFill="1" applyBorder="1" applyAlignment="1">
      <alignment horizontal="center" vertical="center"/>
    </xf>
    <xf numFmtId="0" fontId="59" fillId="12" borderId="77" xfId="1" applyFont="1" applyFill="1" applyBorder="1" applyAlignment="1">
      <alignment horizontal="center" vertical="center" wrapText="1"/>
    </xf>
    <xf numFmtId="0" fontId="62" fillId="12" borderId="78" xfId="1" applyFont="1" applyFill="1" applyBorder="1" applyAlignment="1">
      <alignment horizontal="center" vertical="center"/>
    </xf>
    <xf numFmtId="0" fontId="62" fillId="12" borderId="68" xfId="1" applyFont="1" applyFill="1" applyBorder="1" applyAlignment="1">
      <alignment horizontal="center" vertical="center" wrapText="1"/>
    </xf>
    <xf numFmtId="3" fontId="62" fillId="12" borderId="68" xfId="1" applyNumberFormat="1" applyFont="1" applyFill="1" applyBorder="1" applyAlignment="1">
      <alignment horizontal="center" vertical="center" wrapText="1"/>
    </xf>
    <xf numFmtId="168" fontId="62" fillId="12" borderId="68" xfId="2" applyNumberFormat="1" applyFont="1" applyFill="1" applyBorder="1" applyAlignment="1">
      <alignment horizontal="center" vertical="center" wrapText="1"/>
    </xf>
    <xf numFmtId="166" fontId="62" fillId="12" borderId="68" xfId="2" applyNumberFormat="1" applyFont="1" applyFill="1" applyBorder="1" applyAlignment="1">
      <alignment horizontal="center" vertical="center" wrapText="1"/>
    </xf>
    <xf numFmtId="166" fontId="62" fillId="12" borderId="68" xfId="2" applyNumberFormat="1" applyFont="1" applyFill="1" applyBorder="1" applyAlignment="1">
      <alignment horizontal="center" vertical="center"/>
    </xf>
    <xf numFmtId="0" fontId="62" fillId="12" borderId="79" xfId="1" applyFont="1" applyFill="1" applyBorder="1" applyAlignment="1">
      <alignment horizontal="left" vertical="center" wrapText="1"/>
    </xf>
    <xf numFmtId="0" fontId="64" fillId="12" borderId="53" xfId="1" applyFont="1" applyFill="1" applyAlignment="1">
      <alignment vertical="center"/>
    </xf>
    <xf numFmtId="0" fontId="62" fillId="12" borderId="68" xfId="1" applyFont="1" applyFill="1" applyBorder="1" applyAlignment="1">
      <alignment horizontal="center" vertical="center"/>
    </xf>
    <xf numFmtId="0" fontId="62" fillId="12" borderId="68" xfId="1" applyFont="1" applyFill="1" applyBorder="1" applyAlignment="1">
      <alignment vertical="center" wrapText="1"/>
    </xf>
    <xf numFmtId="3" fontId="59" fillId="12" borderId="68" xfId="1" applyNumberFormat="1" applyFont="1" applyFill="1" applyBorder="1" applyAlignment="1">
      <alignment horizontal="center" vertical="center" wrapText="1"/>
    </xf>
    <xf numFmtId="170" fontId="59" fillId="12" borderId="79" xfId="1" applyNumberFormat="1" applyFont="1" applyFill="1" applyBorder="1" applyAlignment="1">
      <alignment horizontal="center" vertical="center" wrapText="1"/>
    </xf>
    <xf numFmtId="1" fontId="55" fillId="12" borderId="74" xfId="1" applyNumberFormat="1" applyFont="1" applyFill="1" applyBorder="1" applyAlignment="1">
      <alignment horizontal="center" vertical="center"/>
    </xf>
    <xf numFmtId="0" fontId="57" fillId="12" borderId="53" xfId="1" applyFont="1" applyFill="1" applyAlignment="1">
      <alignment horizontal="center" vertical="center"/>
    </xf>
    <xf numFmtId="1" fontId="67" fillId="12" borderId="83" xfId="2" applyNumberFormat="1" applyFont="1" applyFill="1" applyBorder="1" applyAlignment="1"/>
    <xf numFmtId="1" fontId="67" fillId="12" borderId="84" xfId="2" applyNumberFormat="1" applyFont="1" applyFill="1" applyBorder="1" applyAlignment="1"/>
    <xf numFmtId="0" fontId="67" fillId="12" borderId="53" xfId="1" applyFont="1" applyFill="1" applyAlignment="1">
      <alignment horizontal="center"/>
    </xf>
    <xf numFmtId="0" fontId="68" fillId="12" borderId="53" xfId="1" applyFont="1" applyFill="1" applyAlignment="1">
      <alignment horizontal="center"/>
    </xf>
    <xf numFmtId="166" fontId="61" fillId="12" borderId="53" xfId="2" applyNumberFormat="1" applyFont="1" applyFill="1" applyAlignment="1">
      <alignment vertical="center"/>
    </xf>
    <xf numFmtId="1" fontId="60" fillId="12" borderId="53" xfId="1" applyNumberFormat="1" applyFont="1" applyFill="1" applyAlignment="1">
      <alignment vertical="center"/>
    </xf>
    <xf numFmtId="0" fontId="61" fillId="12" borderId="53" xfId="1" applyFont="1" applyFill="1" applyAlignment="1">
      <alignment horizontal="left" vertical="center"/>
    </xf>
    <xf numFmtId="1" fontId="56" fillId="12" borderId="53" xfId="1" applyNumberFormat="1" applyFont="1" applyFill="1" applyAlignment="1">
      <alignment horizontal="center" vertical="center"/>
    </xf>
    <xf numFmtId="0" fontId="56" fillId="12" borderId="53" xfId="1" applyFont="1" applyFill="1" applyAlignment="1">
      <alignment horizontal="center" vertical="center"/>
    </xf>
    <xf numFmtId="0" fontId="55" fillId="12" borderId="78" xfId="1" applyFont="1" applyFill="1" applyBorder="1" applyAlignment="1">
      <alignment horizontal="center" vertical="center" wrapText="1"/>
    </xf>
    <xf numFmtId="0" fontId="55" fillId="12" borderId="68" xfId="1" applyFont="1" applyFill="1" applyBorder="1" applyAlignment="1">
      <alignment horizontal="center" vertical="center" wrapText="1"/>
    </xf>
    <xf numFmtId="0" fontId="55" fillId="12" borderId="79" xfId="1" applyFont="1" applyFill="1" applyBorder="1" applyAlignment="1">
      <alignment horizontal="center" vertical="center" wrapText="1"/>
    </xf>
    <xf numFmtId="1" fontId="56" fillId="12" borderId="53" xfId="1" applyNumberFormat="1" applyFont="1" applyFill="1" applyAlignment="1">
      <alignment horizontal="center" vertical="center" wrapText="1"/>
    </xf>
    <xf numFmtId="0" fontId="56" fillId="12" borderId="53" xfId="1" applyFont="1" applyFill="1" applyAlignment="1">
      <alignment horizontal="center" vertical="center" wrapText="1"/>
    </xf>
    <xf numFmtId="0" fontId="60" fillId="12" borderId="78" xfId="1" applyFont="1" applyFill="1" applyBorder="1" applyAlignment="1">
      <alignment horizontal="center" vertical="center"/>
    </xf>
    <xf numFmtId="0" fontId="60" fillId="12" borderId="68" xfId="1" applyFont="1" applyFill="1" applyBorder="1" applyAlignment="1">
      <alignment horizontal="center" vertical="center" wrapText="1"/>
    </xf>
    <xf numFmtId="166" fontId="60" fillId="12" borderId="68" xfId="2" applyNumberFormat="1" applyFont="1" applyFill="1" applyBorder="1" applyAlignment="1">
      <alignment horizontal="center" vertical="center"/>
    </xf>
    <xf numFmtId="166" fontId="60" fillId="12" borderId="68" xfId="1" applyNumberFormat="1" applyFont="1" applyFill="1" applyBorder="1" applyAlignment="1">
      <alignment horizontal="center" vertical="center"/>
    </xf>
    <xf numFmtId="0" fontId="60" fillId="12" borderId="68" xfId="1" applyFont="1" applyFill="1" applyBorder="1" applyAlignment="1">
      <alignment horizontal="center" vertical="center"/>
    </xf>
    <xf numFmtId="0" fontId="60" fillId="12" borderId="79" xfId="1" applyFont="1" applyFill="1" applyBorder="1" applyAlignment="1">
      <alignment horizontal="left" vertical="center" wrapText="1"/>
    </xf>
    <xf numFmtId="0" fontId="69" fillId="13" borderId="74" xfId="1" applyFont="1" applyFill="1" applyBorder="1" applyAlignment="1">
      <alignment horizontal="center" vertical="center"/>
    </xf>
    <xf numFmtId="0" fontId="70" fillId="12" borderId="53" xfId="1" applyFont="1" applyFill="1" applyAlignment="1">
      <alignment horizontal="center" vertical="center"/>
    </xf>
    <xf numFmtId="0" fontId="69" fillId="14" borderId="74" xfId="1" applyFont="1" applyFill="1" applyBorder="1" applyAlignment="1">
      <alignment horizontal="center" vertical="center"/>
    </xf>
    <xf numFmtId="0" fontId="71" fillId="14" borderId="74" xfId="1" applyFont="1" applyFill="1" applyBorder="1" applyAlignment="1">
      <alignment horizontal="center" vertical="center"/>
    </xf>
    <xf numFmtId="0" fontId="72" fillId="12" borderId="53" xfId="1" applyFont="1" applyFill="1" applyAlignment="1">
      <alignment horizontal="center" vertical="center"/>
    </xf>
    <xf numFmtId="0" fontId="64" fillId="12" borderId="53" xfId="1" quotePrefix="1" applyFont="1" applyFill="1" applyAlignment="1">
      <alignment vertical="center"/>
    </xf>
    <xf numFmtId="0" fontId="71" fillId="14" borderId="53" xfId="1" quotePrefix="1" applyFont="1" applyFill="1" applyAlignment="1">
      <alignment horizontal="center" vertical="center"/>
    </xf>
    <xf numFmtId="166" fontId="55" fillId="12" borderId="68" xfId="2" applyNumberFormat="1" applyFont="1" applyFill="1" applyBorder="1" applyAlignment="1">
      <alignment horizontal="center" vertical="center"/>
    </xf>
    <xf numFmtId="0" fontId="60" fillId="12" borderId="79" xfId="1" applyFont="1" applyFill="1" applyBorder="1" applyAlignment="1">
      <alignment horizontal="center" vertical="center" wrapText="1"/>
    </xf>
    <xf numFmtId="166" fontId="56" fillId="12" borderId="53" xfId="1" applyNumberFormat="1" applyFont="1" applyFill="1" applyAlignment="1">
      <alignment horizontal="center" vertical="center"/>
    </xf>
    <xf numFmtId="0" fontId="14" fillId="0" borderId="56" xfId="0" applyFont="1" applyBorder="1" applyAlignment="1">
      <alignment horizontal="center"/>
    </xf>
    <xf numFmtId="0" fontId="14" fillId="0" borderId="33" xfId="0" applyFont="1" applyBorder="1" applyAlignment="1">
      <alignment horizontal="center"/>
    </xf>
    <xf numFmtId="0" fontId="0" fillId="12" borderId="0" xfId="0" applyFill="1"/>
    <xf numFmtId="0" fontId="11" fillId="12" borderId="33" xfId="0" quotePrefix="1" applyFont="1" applyFill="1" applyBorder="1" applyAlignment="1">
      <alignment horizontal="center" vertical="center"/>
    </xf>
    <xf numFmtId="0" fontId="8" fillId="12" borderId="4" xfId="0" applyFont="1" applyFill="1" applyBorder="1" applyAlignment="1">
      <alignment horizontal="center" vertical="center"/>
    </xf>
    <xf numFmtId="0" fontId="10" fillId="12" borderId="4" xfId="0" applyFont="1" applyFill="1" applyBorder="1" applyAlignment="1">
      <alignment horizontal="center" vertical="center"/>
    </xf>
    <xf numFmtId="0" fontId="11" fillId="12" borderId="33" xfId="0" applyFont="1" applyFill="1" applyBorder="1" applyAlignment="1">
      <alignment horizontal="center" vertical="center"/>
    </xf>
    <xf numFmtId="0" fontId="5" fillId="12" borderId="4" xfId="0" applyFont="1" applyFill="1" applyBorder="1" applyAlignment="1">
      <alignment horizontal="center" vertical="center"/>
    </xf>
    <xf numFmtId="0" fontId="17" fillId="12" borderId="15" xfId="0" applyFont="1" applyFill="1" applyBorder="1" applyAlignment="1">
      <alignment horizontal="center" vertical="center" wrapText="1"/>
    </xf>
    <xf numFmtId="166" fontId="17" fillId="12" borderId="15" xfId="0" applyNumberFormat="1" applyFont="1" applyFill="1" applyBorder="1" applyAlignment="1">
      <alignment horizontal="center" vertical="center" wrapText="1"/>
    </xf>
    <xf numFmtId="0" fontId="17" fillId="12" borderId="15" xfId="0" applyFont="1" applyFill="1" applyBorder="1" applyAlignment="1">
      <alignment horizontal="center" vertical="center"/>
    </xf>
    <xf numFmtId="166" fontId="17" fillId="12" borderId="15" xfId="0" applyNumberFormat="1" applyFont="1" applyFill="1" applyBorder="1" applyAlignment="1">
      <alignment horizontal="center" vertical="center"/>
    </xf>
    <xf numFmtId="166" fontId="17" fillId="20" borderId="15" xfId="0" applyNumberFormat="1" applyFont="1" applyFill="1" applyBorder="1" applyAlignment="1">
      <alignment horizontal="center" vertical="center"/>
    </xf>
    <xf numFmtId="168" fontId="17" fillId="12" borderId="15" xfId="0" applyNumberFormat="1" applyFont="1" applyFill="1" applyBorder="1" applyAlignment="1">
      <alignment horizontal="center" vertical="center"/>
    </xf>
    <xf numFmtId="166" fontId="17" fillId="18" borderId="15" xfId="0" applyNumberFormat="1" applyFont="1" applyFill="1" applyBorder="1" applyAlignment="1">
      <alignment horizontal="center" vertical="center"/>
    </xf>
    <xf numFmtId="166" fontId="7" fillId="12" borderId="15" xfId="0" applyNumberFormat="1" applyFont="1" applyFill="1" applyBorder="1" applyAlignment="1">
      <alignment horizontal="center" vertical="center" wrapText="1"/>
    </xf>
    <xf numFmtId="1" fontId="17" fillId="12" borderId="18" xfId="0" applyNumberFormat="1" applyFont="1" applyFill="1" applyBorder="1" applyAlignment="1">
      <alignment horizontal="left" vertical="center" wrapText="1"/>
    </xf>
    <xf numFmtId="0" fontId="73" fillId="12" borderId="17" xfId="0" applyFont="1" applyFill="1" applyBorder="1" applyAlignment="1">
      <alignment horizontal="center" vertical="center" wrapText="1"/>
    </xf>
    <xf numFmtId="0" fontId="73" fillId="12" borderId="15" xfId="0" applyFont="1" applyFill="1" applyBorder="1" applyAlignment="1">
      <alignment horizontal="center" vertical="center" wrapText="1"/>
    </xf>
    <xf numFmtId="169" fontId="73" fillId="12" borderId="15" xfId="0" applyNumberFormat="1" applyFont="1" applyFill="1" applyBorder="1" applyAlignment="1">
      <alignment horizontal="center" vertical="center" wrapText="1"/>
    </xf>
    <xf numFmtId="168" fontId="73" fillId="12" borderId="15" xfId="0" applyNumberFormat="1" applyFont="1" applyFill="1" applyBorder="1" applyAlignment="1">
      <alignment horizontal="center" vertical="center" wrapText="1"/>
    </xf>
    <xf numFmtId="166" fontId="73" fillId="12" borderId="15" xfId="0" applyNumberFormat="1" applyFont="1" applyFill="1" applyBorder="1" applyAlignment="1">
      <alignment horizontal="center" vertical="center" wrapText="1"/>
    </xf>
    <xf numFmtId="166" fontId="73" fillId="20" borderId="15" xfId="0" applyNumberFormat="1" applyFont="1" applyFill="1" applyBorder="1" applyAlignment="1">
      <alignment horizontal="center" vertical="center" wrapText="1"/>
    </xf>
    <xf numFmtId="0" fontId="74" fillId="12" borderId="33" xfId="0" applyFont="1" applyFill="1" applyBorder="1" applyAlignment="1">
      <alignment horizontal="center" vertical="center"/>
    </xf>
    <xf numFmtId="0" fontId="75" fillId="12" borderId="4" xfId="0" applyFont="1" applyFill="1" applyBorder="1" applyAlignment="1">
      <alignment horizontal="center" vertical="center" wrapText="1"/>
    </xf>
    <xf numFmtId="0" fontId="76" fillId="12" borderId="0" xfId="0" applyFont="1" applyFill="1"/>
    <xf numFmtId="166" fontId="73" fillId="18" borderId="15" xfId="0" applyNumberFormat="1" applyFont="1" applyFill="1" applyBorder="1" applyAlignment="1">
      <alignment horizontal="center" vertical="center" wrapText="1"/>
    </xf>
    <xf numFmtId="0" fontId="73" fillId="12" borderId="18" xfId="0" applyFont="1" applyFill="1" applyBorder="1" applyAlignment="1">
      <alignment horizontal="left" vertical="center" wrapText="1"/>
    </xf>
    <xf numFmtId="1" fontId="77" fillId="12" borderId="33" xfId="0" applyNumberFormat="1" applyFont="1" applyFill="1" applyBorder="1" applyAlignment="1">
      <alignment horizontal="center" vertical="center" wrapText="1"/>
    </xf>
    <xf numFmtId="166" fontId="73" fillId="12" borderId="15" xfId="0" applyNumberFormat="1" applyFont="1" applyFill="1" applyBorder="1" applyAlignment="1">
      <alignment horizontal="center" vertical="center"/>
    </xf>
    <xf numFmtId="0" fontId="73" fillId="12" borderId="15" xfId="0" applyFont="1" applyFill="1" applyBorder="1" applyAlignment="1">
      <alignment horizontal="center" vertical="center"/>
    </xf>
    <xf numFmtId="168" fontId="73" fillId="12" borderId="15" xfId="0" applyNumberFormat="1" applyFont="1" applyFill="1" applyBorder="1" applyAlignment="1">
      <alignment horizontal="center" vertical="center"/>
    </xf>
    <xf numFmtId="166" fontId="73" fillId="18" borderId="15" xfId="0" applyNumberFormat="1" applyFont="1" applyFill="1" applyBorder="1" applyAlignment="1">
      <alignment horizontal="center" vertical="center"/>
    </xf>
    <xf numFmtId="0" fontId="73" fillId="12" borderId="33" xfId="0" quotePrefix="1" applyFont="1" applyFill="1" applyBorder="1" applyAlignment="1">
      <alignment horizontal="center" vertical="center"/>
    </xf>
    <xf numFmtId="0" fontId="73" fillId="12" borderId="4" xfId="0" applyFont="1" applyFill="1" applyBorder="1" applyAlignment="1">
      <alignment horizontal="center" vertical="center"/>
    </xf>
    <xf numFmtId="166" fontId="75" fillId="12" borderId="15" xfId="0" applyNumberFormat="1" applyFont="1" applyFill="1" applyBorder="1" applyAlignment="1">
      <alignment horizontal="center" vertical="center" wrapText="1"/>
    </xf>
    <xf numFmtId="1" fontId="74" fillId="12" borderId="33" xfId="0" applyNumberFormat="1" applyFont="1" applyFill="1" applyBorder="1" applyAlignment="1">
      <alignment horizontal="center" vertical="center"/>
    </xf>
    <xf numFmtId="0" fontId="75" fillId="12" borderId="4" xfId="0" applyFont="1" applyFill="1" applyBorder="1" applyAlignment="1">
      <alignment horizontal="center" vertical="center"/>
    </xf>
    <xf numFmtId="1" fontId="75" fillId="12" borderId="4" xfId="0" applyNumberFormat="1" applyFont="1" applyFill="1" applyBorder="1" applyAlignment="1">
      <alignment horizontal="center" vertical="center"/>
    </xf>
    <xf numFmtId="0" fontId="17" fillId="12" borderId="17" xfId="0" applyFont="1" applyFill="1" applyBorder="1" applyAlignment="1">
      <alignment horizontal="center" vertical="center"/>
    </xf>
    <xf numFmtId="169" fontId="17" fillId="12" borderId="15" xfId="0" applyNumberFormat="1" applyFont="1" applyFill="1" applyBorder="1" applyAlignment="1">
      <alignment horizontal="center" vertical="center"/>
    </xf>
    <xf numFmtId="3" fontId="17" fillId="12" borderId="18" xfId="0" applyNumberFormat="1" applyFont="1" applyFill="1" applyBorder="1" applyAlignment="1">
      <alignment horizontal="center" vertical="center" wrapText="1"/>
    </xf>
    <xf numFmtId="0" fontId="7" fillId="12" borderId="4" xfId="0" applyFont="1" applyFill="1" applyBorder="1" applyAlignment="1">
      <alignment horizontal="center" vertical="center"/>
    </xf>
    <xf numFmtId="1" fontId="7" fillId="12" borderId="4" xfId="0" applyNumberFormat="1" applyFont="1" applyFill="1" applyBorder="1" applyAlignment="1">
      <alignment horizontal="center" vertical="center"/>
    </xf>
    <xf numFmtId="1" fontId="18" fillId="12" borderId="43" xfId="0" applyNumberFormat="1" applyFont="1" applyFill="1" applyBorder="1" applyAlignment="1">
      <alignment horizontal="center"/>
    </xf>
    <xf numFmtId="1" fontId="18" fillId="12" borderId="4" xfId="0" applyNumberFormat="1" applyFont="1" applyFill="1" applyBorder="1" applyAlignment="1">
      <alignment horizontal="center" vertical="center"/>
    </xf>
    <xf numFmtId="0" fontId="18" fillId="12" borderId="4" xfId="0" applyFont="1" applyFill="1" applyBorder="1" applyAlignment="1">
      <alignment horizontal="center" vertical="center"/>
    </xf>
    <xf numFmtId="0" fontId="75" fillId="12" borderId="15" xfId="0" applyFont="1" applyFill="1" applyBorder="1" applyAlignment="1">
      <alignment horizontal="center" vertical="center" wrapText="1"/>
    </xf>
    <xf numFmtId="166" fontId="75" fillId="15" borderId="21" xfId="0" applyNumberFormat="1" applyFont="1" applyFill="1" applyBorder="1" applyAlignment="1">
      <alignment horizontal="center" vertical="center" wrapText="1"/>
    </xf>
    <xf numFmtId="0" fontId="75" fillId="15" borderId="15" xfId="0" applyFont="1" applyFill="1" applyBorder="1" applyAlignment="1">
      <alignment horizontal="center" vertical="center" wrapText="1"/>
    </xf>
    <xf numFmtId="1" fontId="75" fillId="16" borderId="15" xfId="0" applyNumberFormat="1" applyFont="1" applyFill="1" applyBorder="1" applyAlignment="1">
      <alignment horizontal="center" vertical="center" wrapText="1"/>
    </xf>
    <xf numFmtId="0" fontId="75" fillId="16" borderId="15" xfId="0" applyFont="1" applyFill="1" applyBorder="1" applyAlignment="1">
      <alignment horizontal="center" vertical="center" wrapText="1"/>
    </xf>
    <xf numFmtId="0" fontId="75" fillId="15" borderId="15" xfId="0" applyFont="1" applyFill="1" applyBorder="1" applyAlignment="1">
      <alignment horizontal="center" vertical="center" textRotation="90" wrapText="1"/>
    </xf>
    <xf numFmtId="0" fontId="75" fillId="12" borderId="15" xfId="0" applyFont="1" applyFill="1" applyBorder="1" applyAlignment="1">
      <alignment horizontal="center" vertical="center" textRotation="90" wrapText="1"/>
    </xf>
    <xf numFmtId="0" fontId="75" fillId="16" borderId="15" xfId="0" applyFont="1" applyFill="1" applyBorder="1" applyAlignment="1">
      <alignment horizontal="center" vertical="center" textRotation="90" wrapText="1"/>
    </xf>
    <xf numFmtId="0" fontId="75" fillId="21" borderId="15" xfId="0" applyFont="1" applyFill="1" applyBorder="1" applyAlignment="1">
      <alignment horizontal="center" vertical="center" textRotation="90" wrapText="1"/>
    </xf>
    <xf numFmtId="168" fontId="75" fillId="16" borderId="15" xfId="0" applyNumberFormat="1" applyFont="1" applyFill="1" applyBorder="1" applyAlignment="1">
      <alignment horizontal="center" vertical="center" textRotation="90" wrapText="1"/>
    </xf>
    <xf numFmtId="166" fontId="75" fillId="17" borderId="15" xfId="0" applyNumberFormat="1" applyFont="1" applyFill="1" applyBorder="1" applyAlignment="1">
      <alignment horizontal="center" vertical="center" wrapText="1"/>
    </xf>
    <xf numFmtId="166" fontId="75" fillId="15" borderId="15" xfId="0" applyNumberFormat="1" applyFont="1" applyFill="1" applyBorder="1" applyAlignment="1">
      <alignment horizontal="center" vertical="center" wrapText="1"/>
    </xf>
    <xf numFmtId="166" fontId="75" fillId="15" borderId="49" xfId="0" applyNumberFormat="1" applyFont="1" applyFill="1" applyBorder="1" applyAlignment="1">
      <alignment horizontal="center" vertical="center" wrapText="1"/>
    </xf>
    <xf numFmtId="0" fontId="75" fillId="16" borderId="15" xfId="0" applyFont="1" applyFill="1" applyBorder="1" applyAlignment="1">
      <alignment horizontal="center" vertical="center"/>
    </xf>
    <xf numFmtId="0" fontId="73" fillId="12" borderId="15" xfId="0" applyFont="1" applyFill="1" applyBorder="1" applyAlignment="1">
      <alignment vertical="center"/>
    </xf>
    <xf numFmtId="169" fontId="73" fillId="12" borderId="15" xfId="0" applyNumberFormat="1" applyFont="1" applyFill="1" applyBorder="1" applyAlignment="1">
      <alignment horizontal="center" vertical="center"/>
    </xf>
    <xf numFmtId="0" fontId="78" fillId="12" borderId="17" xfId="0" applyFont="1" applyFill="1" applyBorder="1" applyAlignment="1">
      <alignment horizontal="center" vertical="center"/>
    </xf>
    <xf numFmtId="0" fontId="78" fillId="12" borderId="15" xfId="0" applyFont="1" applyFill="1" applyBorder="1" applyAlignment="1">
      <alignment horizontal="center" vertical="center" wrapText="1"/>
    </xf>
    <xf numFmtId="0" fontId="78" fillId="12" borderId="15" xfId="0" applyFont="1" applyFill="1" applyBorder="1" applyAlignment="1">
      <alignment horizontal="center" vertical="center"/>
    </xf>
    <xf numFmtId="169" fontId="78" fillId="12" borderId="15" xfId="0" applyNumberFormat="1" applyFont="1" applyFill="1" applyBorder="1" applyAlignment="1">
      <alignment horizontal="center" vertical="center"/>
    </xf>
    <xf numFmtId="168" fontId="78" fillId="12" borderId="15" xfId="0" applyNumberFormat="1" applyFont="1" applyFill="1" applyBorder="1" applyAlignment="1">
      <alignment horizontal="center" vertical="center"/>
    </xf>
    <xf numFmtId="166" fontId="78" fillId="19" borderId="15" xfId="0" applyNumberFormat="1" applyFont="1" applyFill="1" applyBorder="1" applyAlignment="1">
      <alignment horizontal="center" vertical="center"/>
    </xf>
    <xf numFmtId="166" fontId="78" fillId="12" borderId="15" xfId="0" applyNumberFormat="1" applyFont="1" applyFill="1" applyBorder="1" applyAlignment="1">
      <alignment horizontal="center" vertical="center" wrapText="1"/>
    </xf>
    <xf numFmtId="166" fontId="78" fillId="12" borderId="15" xfId="0" applyNumberFormat="1" applyFont="1" applyFill="1" applyBorder="1" applyAlignment="1">
      <alignment horizontal="center" vertical="center"/>
    </xf>
    <xf numFmtId="166" fontId="79" fillId="12" borderId="15" xfId="0" applyNumberFormat="1" applyFont="1" applyFill="1" applyBorder="1" applyAlignment="1">
      <alignment horizontal="center" vertical="center" wrapText="1"/>
    </xf>
    <xf numFmtId="166" fontId="78" fillId="18" borderId="15" xfId="0" applyNumberFormat="1" applyFont="1" applyFill="1" applyBorder="1" applyAlignment="1">
      <alignment horizontal="center" vertical="center"/>
    </xf>
    <xf numFmtId="0" fontId="78" fillId="12" borderId="18" xfId="0" applyFont="1" applyFill="1" applyBorder="1" applyAlignment="1">
      <alignment vertical="center" wrapText="1"/>
    </xf>
    <xf numFmtId="0" fontId="80" fillId="12" borderId="33" xfId="0" applyFont="1" applyFill="1" applyBorder="1" applyAlignment="1">
      <alignment horizontal="left" vertical="center" wrapText="1"/>
    </xf>
    <xf numFmtId="0" fontId="79" fillId="12" borderId="4" xfId="0" applyFont="1" applyFill="1" applyBorder="1" applyAlignment="1">
      <alignment horizontal="center" vertical="center"/>
    </xf>
    <xf numFmtId="1" fontId="79" fillId="12" borderId="4" xfId="0" applyNumberFormat="1" applyFont="1" applyFill="1" applyBorder="1" applyAlignment="1">
      <alignment horizontal="center" vertical="center"/>
    </xf>
    <xf numFmtId="0" fontId="81" fillId="12" borderId="0" xfId="0" applyFont="1" applyFill="1"/>
    <xf numFmtId="0" fontId="82" fillId="2" borderId="15" xfId="0" applyFont="1" applyFill="1" applyBorder="1" applyAlignment="1">
      <alignment horizontal="center" vertical="center" textRotation="90" wrapText="1"/>
    </xf>
    <xf numFmtId="0" fontId="82" fillId="3" borderId="15" xfId="0" applyFont="1" applyFill="1" applyBorder="1" applyAlignment="1">
      <alignment horizontal="center" vertical="center" textRotation="90" wrapText="1"/>
    </xf>
    <xf numFmtId="168" fontId="82" fillId="3" borderId="15" xfId="0" applyNumberFormat="1" applyFont="1" applyFill="1" applyBorder="1" applyAlignment="1">
      <alignment horizontal="center" vertical="center" textRotation="90" wrapText="1"/>
    </xf>
    <xf numFmtId="168" fontId="82" fillId="5" borderId="15" xfId="0" applyNumberFormat="1" applyFont="1" applyFill="1" applyBorder="1" applyAlignment="1">
      <alignment horizontal="center" vertical="center" wrapText="1"/>
    </xf>
    <xf numFmtId="168" fontId="82" fillId="2" borderId="15" xfId="0" applyNumberFormat="1" applyFont="1" applyFill="1" applyBorder="1" applyAlignment="1">
      <alignment horizontal="center" vertical="center" wrapText="1"/>
    </xf>
    <xf numFmtId="168" fontId="82" fillId="3" borderId="15" xfId="0" applyNumberFormat="1" applyFont="1" applyFill="1" applyBorder="1" applyAlignment="1">
      <alignment horizontal="center" vertical="center" wrapText="1"/>
    </xf>
    <xf numFmtId="0" fontId="82" fillId="3" borderId="15" xfId="0" applyFont="1" applyFill="1" applyBorder="1" applyAlignment="1">
      <alignment horizontal="center" vertical="center" wrapText="1"/>
    </xf>
    <xf numFmtId="0" fontId="82" fillId="2" borderId="15" xfId="0" applyFont="1" applyFill="1" applyBorder="1" applyAlignment="1">
      <alignment horizontal="center" vertical="center" wrapText="1"/>
    </xf>
    <xf numFmtId="0" fontId="82" fillId="3" borderId="15" xfId="0" applyFont="1" applyFill="1" applyBorder="1" applyAlignment="1">
      <alignment horizontal="center" vertical="center"/>
    </xf>
    <xf numFmtId="0" fontId="83" fillId="0" borderId="4" xfId="0" applyFont="1" applyBorder="1" applyAlignment="1">
      <alignment horizontal="center" vertical="center" textRotation="90" wrapText="1"/>
    </xf>
    <xf numFmtId="0" fontId="84" fillId="0" borderId="0" xfId="0" applyFont="1"/>
    <xf numFmtId="0" fontId="84" fillId="12" borderId="0" xfId="0" applyFont="1" applyFill="1"/>
    <xf numFmtId="1" fontId="79" fillId="12" borderId="40" xfId="0" applyNumberFormat="1" applyFont="1" applyFill="1" applyBorder="1" applyAlignment="1">
      <alignment horizontal="center" vertical="center"/>
    </xf>
    <xf numFmtId="166" fontId="79" fillId="12" borderId="40" xfId="0" applyNumberFormat="1" applyFont="1" applyFill="1" applyBorder="1" applyAlignment="1">
      <alignment horizontal="center" vertical="center" wrapText="1"/>
    </xf>
    <xf numFmtId="0" fontId="63" fillId="12" borderId="74" xfId="1" quotePrefix="1" applyFont="1" applyFill="1" applyBorder="1" applyAlignment="1">
      <alignment horizontal="center" vertical="center"/>
    </xf>
    <xf numFmtId="0" fontId="65" fillId="12" borderId="74" xfId="1" quotePrefix="1" applyFont="1" applyFill="1" applyBorder="1" applyAlignment="1">
      <alignment horizontal="center" vertical="center"/>
    </xf>
    <xf numFmtId="0" fontId="66" fillId="12" borderId="74" xfId="1" quotePrefix="1" applyFont="1" applyFill="1" applyBorder="1" applyAlignment="1">
      <alignment horizontal="center" vertical="center"/>
    </xf>
    <xf numFmtId="0" fontId="62" fillId="12" borderId="53" xfId="1" applyFont="1" applyFill="1" applyAlignment="1">
      <alignment horizontal="center" vertical="center" wrapText="1"/>
    </xf>
    <xf numFmtId="0" fontId="73" fillId="22" borderId="15" xfId="0" applyFont="1" applyFill="1" applyBorder="1" applyAlignment="1">
      <alignment horizontal="center" vertical="center" wrapText="1"/>
    </xf>
    <xf numFmtId="0" fontId="17" fillId="22" borderId="15" xfId="0" applyFont="1" applyFill="1" applyBorder="1" applyAlignment="1">
      <alignment horizontal="center" vertical="center"/>
    </xf>
    <xf numFmtId="0" fontId="73" fillId="22" borderId="15" xfId="0" applyFont="1" applyFill="1" applyBorder="1" applyAlignment="1">
      <alignment horizontal="center" vertical="center"/>
    </xf>
    <xf numFmtId="0" fontId="78" fillId="22" borderId="15" xfId="0" applyFont="1" applyFill="1" applyBorder="1" applyAlignment="1">
      <alignment horizontal="center" vertical="center"/>
    </xf>
    <xf numFmtId="0" fontId="25" fillId="23" borderId="15" xfId="0" applyFont="1" applyFill="1" applyBorder="1" applyAlignment="1">
      <alignment horizontal="center" vertical="center"/>
    </xf>
    <xf numFmtId="0" fontId="25" fillId="22" borderId="15" xfId="0" applyFont="1" applyFill="1" applyBorder="1" applyAlignment="1">
      <alignment horizontal="center" vertical="center" wrapText="1"/>
    </xf>
    <xf numFmtId="0" fontId="17" fillId="24" borderId="15" xfId="0" applyFont="1" applyFill="1" applyBorder="1" applyAlignment="1">
      <alignment horizontal="center" vertical="center"/>
    </xf>
    <xf numFmtId="3" fontId="15" fillId="20" borderId="18" xfId="0" applyNumberFormat="1" applyFont="1" applyFill="1" applyBorder="1" applyAlignment="1">
      <alignment horizontal="left" vertical="center" wrapText="1"/>
    </xf>
    <xf numFmtId="0" fontId="86" fillId="2" borderId="68" xfId="0" applyFont="1" applyFill="1" applyBorder="1" applyAlignment="1">
      <alignment horizontal="center" vertical="center" wrapText="1"/>
    </xf>
    <xf numFmtId="166" fontId="87" fillId="12" borderId="68" xfId="0" applyNumberFormat="1" applyFont="1" applyFill="1" applyBorder="1" applyAlignment="1">
      <alignment horizontal="center" vertical="center"/>
    </xf>
    <xf numFmtId="166" fontId="87" fillId="12" borderId="68" xfId="0" applyNumberFormat="1" applyFont="1" applyFill="1" applyBorder="1" applyAlignment="1">
      <alignment horizontal="center" vertical="center" wrapText="1"/>
    </xf>
    <xf numFmtId="166" fontId="86" fillId="12" borderId="68" xfId="0" applyNumberFormat="1" applyFont="1" applyFill="1" applyBorder="1" applyAlignment="1">
      <alignment horizontal="center" vertical="center" wrapText="1"/>
    </xf>
    <xf numFmtId="1" fontId="86" fillId="0" borderId="68" xfId="0" applyNumberFormat="1" applyFont="1" applyBorder="1"/>
    <xf numFmtId="1" fontId="12" fillId="0" borderId="37" xfId="0" applyNumberFormat="1" applyFont="1" applyBorder="1"/>
    <xf numFmtId="166" fontId="2" fillId="0" borderId="53" xfId="0" applyNumberFormat="1" applyFont="1" applyBorder="1" applyAlignment="1">
      <alignment horizontal="center" vertical="center"/>
    </xf>
    <xf numFmtId="166" fontId="15" fillId="0" borderId="15" xfId="0" applyNumberFormat="1" applyFont="1" applyBorder="1" applyAlignment="1">
      <alignment horizontal="center" vertical="center"/>
    </xf>
    <xf numFmtId="1" fontId="18" fillId="0" borderId="37" xfId="0" applyNumberFormat="1" applyFont="1" applyBorder="1"/>
    <xf numFmtId="0" fontId="88" fillId="12" borderId="68" xfId="0" applyFont="1" applyFill="1" applyBorder="1" applyAlignment="1">
      <alignment horizontal="center" vertical="center"/>
    </xf>
    <xf numFmtId="0" fontId="88" fillId="12" borderId="68" xfId="0" applyFont="1" applyFill="1" applyBorder="1" applyAlignment="1">
      <alignment horizontal="center" vertical="center" wrapText="1"/>
    </xf>
    <xf numFmtId="0" fontId="88" fillId="22" borderId="68" xfId="0" applyFont="1" applyFill="1" applyBorder="1" applyAlignment="1">
      <alignment horizontal="center" vertical="center"/>
    </xf>
    <xf numFmtId="169" fontId="88" fillId="12" borderId="68" xfId="0" applyNumberFormat="1" applyFont="1" applyFill="1" applyBorder="1" applyAlignment="1">
      <alignment horizontal="center" vertical="center"/>
    </xf>
    <xf numFmtId="168" fontId="88" fillId="12" borderId="68" xfId="0" applyNumberFormat="1" applyFont="1" applyFill="1" applyBorder="1" applyAlignment="1">
      <alignment horizontal="center" vertical="center"/>
    </xf>
    <xf numFmtId="166" fontId="88" fillId="12" borderId="68" xfId="0" applyNumberFormat="1" applyFont="1" applyFill="1" applyBorder="1" applyAlignment="1">
      <alignment horizontal="center" vertical="center"/>
    </xf>
    <xf numFmtId="1" fontId="88" fillId="12" borderId="68" xfId="0" applyNumberFormat="1" applyFont="1" applyFill="1" applyBorder="1" applyAlignment="1">
      <alignment horizontal="center" vertical="center"/>
    </xf>
    <xf numFmtId="166" fontId="88" fillId="12" borderId="68" xfId="0" applyNumberFormat="1" applyFont="1" applyFill="1" applyBorder="1" applyAlignment="1">
      <alignment horizontal="center" vertical="center" wrapText="1"/>
    </xf>
    <xf numFmtId="166" fontId="88" fillId="20" borderId="68" xfId="0" applyNumberFormat="1" applyFont="1" applyFill="1" applyBorder="1" applyAlignment="1">
      <alignment horizontal="center" vertical="center"/>
    </xf>
    <xf numFmtId="166" fontId="88" fillId="12" borderId="68" xfId="0" applyNumberFormat="1" applyFont="1" applyFill="1" applyBorder="1" applyAlignment="1">
      <alignment vertical="center" wrapText="1"/>
    </xf>
    <xf numFmtId="166" fontId="88" fillId="18" borderId="68" xfId="0" applyNumberFormat="1" applyFont="1" applyFill="1" applyBorder="1" applyAlignment="1">
      <alignment horizontal="center" vertical="center"/>
    </xf>
    <xf numFmtId="1" fontId="88" fillId="12" borderId="68" xfId="0" applyNumberFormat="1" applyFont="1" applyFill="1" applyBorder="1" applyAlignment="1">
      <alignment horizontal="left" vertical="center"/>
    </xf>
    <xf numFmtId="1" fontId="88" fillId="12" borderId="68" xfId="0" applyNumberFormat="1" applyFont="1" applyFill="1" applyBorder="1" applyAlignment="1">
      <alignment horizontal="center" vertical="center" wrapText="1"/>
    </xf>
    <xf numFmtId="0" fontId="18" fillId="0" borderId="53" xfId="0" applyFont="1" applyBorder="1" applyAlignment="1">
      <alignment horizontal="center" vertical="center"/>
    </xf>
    <xf numFmtId="1" fontId="18" fillId="0" borderId="53" xfId="0" applyNumberFormat="1" applyFont="1" applyBorder="1" applyAlignment="1">
      <alignment horizontal="center" vertical="center"/>
    </xf>
    <xf numFmtId="0" fontId="88" fillId="12" borderId="78" xfId="0" applyFont="1" applyFill="1" applyBorder="1" applyAlignment="1">
      <alignment horizontal="center" vertical="center"/>
    </xf>
    <xf numFmtId="0" fontId="88" fillId="20" borderId="79" xfId="0" applyFont="1" applyFill="1" applyBorder="1" applyAlignment="1">
      <alignment horizontal="left" vertical="center" wrapText="1"/>
    </xf>
    <xf numFmtId="166" fontId="88" fillId="12" borderId="79" xfId="0" applyNumberFormat="1" applyFont="1" applyFill="1" applyBorder="1" applyAlignment="1">
      <alignment horizontal="left" vertical="center" wrapText="1"/>
    </xf>
    <xf numFmtId="1" fontId="78" fillId="12" borderId="102" xfId="0" applyNumberFormat="1" applyFont="1" applyFill="1" applyBorder="1" applyAlignment="1">
      <alignment horizontal="center" vertical="center" wrapText="1"/>
    </xf>
    <xf numFmtId="1" fontId="79" fillId="12" borderId="103" xfId="0" applyNumberFormat="1" applyFont="1" applyFill="1" applyBorder="1" applyAlignment="1">
      <alignment horizontal="center" vertical="center"/>
    </xf>
    <xf numFmtId="1" fontId="78" fillId="12" borderId="104" xfId="0" applyNumberFormat="1" applyFont="1" applyFill="1" applyBorder="1" applyAlignment="1">
      <alignment horizontal="center" vertical="center" wrapText="1"/>
    </xf>
    <xf numFmtId="1" fontId="22" fillId="0" borderId="106" xfId="0" applyNumberFormat="1" applyFont="1" applyBorder="1"/>
    <xf numFmtId="0" fontId="10" fillId="20" borderId="18" xfId="0" applyFont="1" applyFill="1" applyBorder="1" applyAlignment="1">
      <alignment horizontal="left" vertical="center" wrapText="1"/>
    </xf>
    <xf numFmtId="0" fontId="75" fillId="12" borderId="101" xfId="0" applyFont="1" applyFill="1" applyBorder="1" applyAlignment="1">
      <alignment horizontal="center" vertical="center" textRotation="90" wrapText="1"/>
    </xf>
    <xf numFmtId="0" fontId="75" fillId="15" borderId="102" xfId="0" applyFont="1" applyFill="1" applyBorder="1" applyAlignment="1">
      <alignment horizontal="center" vertical="center" wrapText="1"/>
    </xf>
    <xf numFmtId="0" fontId="73" fillId="12" borderId="101" xfId="0" applyFont="1" applyFill="1" applyBorder="1" applyAlignment="1">
      <alignment horizontal="center" vertical="center"/>
    </xf>
    <xf numFmtId="0" fontId="73" fillId="12" borderId="102" xfId="0" applyFont="1" applyFill="1" applyBorder="1" applyAlignment="1">
      <alignment horizontal="left" vertical="center" wrapText="1"/>
    </xf>
    <xf numFmtId="166" fontId="75" fillId="12" borderId="102" xfId="0" applyNumberFormat="1" applyFont="1" applyFill="1" applyBorder="1" applyAlignment="1">
      <alignment horizontal="center" vertical="center" wrapText="1"/>
    </xf>
    <xf numFmtId="1" fontId="75" fillId="12" borderId="106" xfId="0" applyNumberFormat="1" applyFont="1" applyFill="1" applyBorder="1"/>
    <xf numFmtId="0" fontId="59" fillId="12" borderId="76" xfId="1" applyFont="1" applyFill="1" applyBorder="1" applyAlignment="1">
      <alignment horizontal="center" vertical="center"/>
    </xf>
    <xf numFmtId="0" fontId="59" fillId="12" borderId="76" xfId="1" applyFont="1" applyFill="1" applyBorder="1" applyAlignment="1">
      <alignment horizontal="center" vertical="center" wrapText="1"/>
    </xf>
    <xf numFmtId="0" fontId="17" fillId="20" borderId="15" xfId="0" applyFont="1" applyFill="1" applyBorder="1" applyAlignment="1">
      <alignment horizontal="left" vertical="center"/>
    </xf>
    <xf numFmtId="0" fontId="17" fillId="20" borderId="15" xfId="0" applyFont="1" applyFill="1" applyBorder="1" applyAlignment="1">
      <alignment horizontal="left" vertical="center" wrapText="1"/>
    </xf>
    <xf numFmtId="0" fontId="10" fillId="25" borderId="15" xfId="0" applyFont="1" applyFill="1" applyBorder="1" applyAlignment="1">
      <alignment horizontal="center" vertical="center"/>
    </xf>
    <xf numFmtId="0" fontId="15" fillId="25" borderId="15" xfId="0" applyFont="1" applyFill="1" applyBorder="1" applyAlignment="1">
      <alignment horizontal="center" vertical="center" wrapText="1"/>
    </xf>
    <xf numFmtId="0" fontId="78" fillId="27" borderId="15" xfId="0" applyFont="1" applyFill="1" applyBorder="1" applyAlignment="1">
      <alignment horizontal="center" vertical="center"/>
    </xf>
    <xf numFmtId="0" fontId="62" fillId="12" borderId="81" xfId="1" quotePrefix="1" applyFont="1" applyFill="1" applyBorder="1" applyAlignment="1">
      <alignment horizontal="left" vertical="center" wrapText="1"/>
    </xf>
    <xf numFmtId="0" fontId="5" fillId="12" borderId="53" xfId="0" applyFont="1" applyFill="1" applyBorder="1" applyAlignment="1">
      <alignment horizontal="center" vertical="center"/>
    </xf>
    <xf numFmtId="0" fontId="75" fillId="12" borderId="53" xfId="0" applyFont="1" applyFill="1" applyBorder="1" applyAlignment="1">
      <alignment horizontal="center" vertical="center"/>
    </xf>
    <xf numFmtId="1" fontId="75" fillId="12" borderId="53" xfId="0" applyNumberFormat="1" applyFont="1" applyFill="1" applyBorder="1" applyAlignment="1">
      <alignment horizontal="center" vertical="center"/>
    </xf>
    <xf numFmtId="166" fontId="75" fillId="12" borderId="21" xfId="0" applyNumberFormat="1" applyFont="1" applyFill="1" applyBorder="1" applyAlignment="1">
      <alignment horizontal="center" vertical="center" wrapText="1"/>
    </xf>
    <xf numFmtId="1" fontId="73" fillId="12" borderId="12" xfId="0" applyNumberFormat="1" applyFont="1" applyFill="1" applyBorder="1" applyAlignment="1">
      <alignment horizontal="left" vertical="center" wrapText="1"/>
    </xf>
    <xf numFmtId="0" fontId="22" fillId="2" borderId="78" xfId="0" applyFont="1" applyFill="1" applyBorder="1" applyAlignment="1">
      <alignment horizontal="center" vertical="center" textRotation="90" wrapText="1"/>
    </xf>
    <xf numFmtId="0" fontId="22" fillId="2" borderId="68" xfId="0" applyFont="1" applyFill="1" applyBorder="1" applyAlignment="1">
      <alignment horizontal="center" vertical="center" wrapText="1"/>
    </xf>
    <xf numFmtId="1" fontId="22" fillId="3" borderId="68" xfId="0" applyNumberFormat="1" applyFont="1" applyFill="1" applyBorder="1" applyAlignment="1">
      <alignment horizontal="center" vertical="center" wrapText="1"/>
    </xf>
    <xf numFmtId="0" fontId="22" fillId="3" borderId="68" xfId="0" applyFont="1" applyFill="1" applyBorder="1" applyAlignment="1">
      <alignment horizontal="center" vertical="center" wrapText="1"/>
    </xf>
    <xf numFmtId="0" fontId="22" fillId="3" borderId="68" xfId="0" applyFont="1" applyFill="1" applyBorder="1" applyAlignment="1">
      <alignment vertical="center" wrapText="1"/>
    </xf>
    <xf numFmtId="0" fontId="22" fillId="2" borderId="79" xfId="0" applyFont="1" applyFill="1" applyBorder="1" applyAlignment="1">
      <alignment horizontal="center" vertical="center" textRotation="90" wrapText="1"/>
    </xf>
    <xf numFmtId="0" fontId="22" fillId="2" borderId="68" xfId="0" applyFont="1" applyFill="1" applyBorder="1" applyAlignment="1">
      <alignment horizontal="center" vertical="center" textRotation="90" wrapText="1"/>
    </xf>
    <xf numFmtId="0" fontId="22" fillId="4" borderId="68" xfId="0" applyFont="1" applyFill="1" applyBorder="1" applyAlignment="1">
      <alignment horizontal="center" vertical="center" textRotation="90" wrapText="1"/>
    </xf>
    <xf numFmtId="0" fontId="22" fillId="3" borderId="68" xfId="0" applyFont="1" applyFill="1" applyBorder="1" applyAlignment="1">
      <alignment horizontal="center" vertical="center" textRotation="90" wrapText="1"/>
    </xf>
    <xf numFmtId="168" fontId="22" fillId="3" borderId="68" xfId="0" applyNumberFormat="1" applyFont="1" applyFill="1" applyBorder="1" applyAlignment="1">
      <alignment horizontal="center" vertical="center" textRotation="90" wrapText="1"/>
    </xf>
    <xf numFmtId="168" fontId="22" fillId="5" borderId="68" xfId="0" applyNumberFormat="1" applyFont="1" applyFill="1" applyBorder="1" applyAlignment="1">
      <alignment horizontal="center" vertical="center" wrapText="1"/>
    </xf>
    <xf numFmtId="168" fontId="22" fillId="2" borderId="68" xfId="0" applyNumberFormat="1" applyFont="1" applyFill="1" applyBorder="1" applyAlignment="1">
      <alignment horizontal="center" vertical="center" wrapText="1"/>
    </xf>
    <xf numFmtId="168" fontId="22" fillId="3" borderId="68" xfId="0" applyNumberFormat="1" applyFont="1" applyFill="1" applyBorder="1" applyAlignment="1">
      <alignment horizontal="center" vertical="center" wrapText="1"/>
    </xf>
    <xf numFmtId="0" fontId="22" fillId="3" borderId="68" xfId="0" applyFont="1" applyFill="1" applyBorder="1" applyAlignment="1">
      <alignment horizontal="center" vertical="center"/>
    </xf>
    <xf numFmtId="0" fontId="89" fillId="12" borderId="78" xfId="0" applyFont="1" applyFill="1" applyBorder="1" applyAlignment="1">
      <alignment horizontal="center" vertical="center"/>
    </xf>
    <xf numFmtId="0" fontId="89" fillId="12" borderId="68" xfId="0" applyFont="1" applyFill="1" applyBorder="1" applyAlignment="1">
      <alignment vertical="center"/>
    </xf>
    <xf numFmtId="0" fontId="89" fillId="12" borderId="68" xfId="0" applyFont="1" applyFill="1" applyBorder="1" applyAlignment="1">
      <alignment horizontal="center" vertical="center" wrapText="1"/>
    </xf>
    <xf numFmtId="0" fontId="89" fillId="22" borderId="68" xfId="0" applyFont="1" applyFill="1" applyBorder="1" applyAlignment="1">
      <alignment horizontal="center" vertical="center"/>
    </xf>
    <xf numFmtId="0" fontId="89" fillId="12" borderId="68" xfId="0" applyFont="1" applyFill="1" applyBorder="1" applyAlignment="1">
      <alignment horizontal="center" vertical="center"/>
    </xf>
    <xf numFmtId="169" fontId="89" fillId="12" borderId="68" xfId="0" applyNumberFormat="1" applyFont="1" applyFill="1" applyBorder="1" applyAlignment="1">
      <alignment horizontal="center" vertical="center"/>
    </xf>
    <xf numFmtId="168" fontId="89" fillId="12" borderId="68" xfId="0" applyNumberFormat="1" applyFont="1" applyFill="1" applyBorder="1" applyAlignment="1">
      <alignment horizontal="center" vertical="center"/>
    </xf>
    <xf numFmtId="166" fontId="89" fillId="26" borderId="68" xfId="0" applyNumberFormat="1" applyFont="1" applyFill="1" applyBorder="1" applyAlignment="1">
      <alignment horizontal="center" vertical="center"/>
    </xf>
    <xf numFmtId="166" fontId="89" fillId="12" borderId="68" xfId="0" applyNumberFormat="1" applyFont="1" applyFill="1" applyBorder="1" applyAlignment="1">
      <alignment horizontal="center" vertical="center"/>
    </xf>
    <xf numFmtId="1" fontId="89" fillId="12" borderId="68" xfId="0" applyNumberFormat="1" applyFont="1" applyFill="1" applyBorder="1" applyAlignment="1">
      <alignment horizontal="center" vertical="center"/>
    </xf>
    <xf numFmtId="166" fontId="89" fillId="12" borderId="68" xfId="0" applyNumberFormat="1" applyFont="1" applyFill="1" applyBorder="1" applyAlignment="1">
      <alignment horizontal="center" vertical="center" wrapText="1"/>
    </xf>
    <xf numFmtId="166" fontId="89" fillId="20" borderId="68" xfId="0" applyNumberFormat="1" applyFont="1" applyFill="1" applyBorder="1" applyAlignment="1">
      <alignment horizontal="center" vertical="center"/>
    </xf>
    <xf numFmtId="166" fontId="89" fillId="12" borderId="68" xfId="0" applyNumberFormat="1" applyFont="1" applyFill="1" applyBorder="1" applyAlignment="1">
      <alignment vertical="center" wrapText="1"/>
    </xf>
    <xf numFmtId="0" fontId="89" fillId="20" borderId="79" xfId="0" applyFont="1" applyFill="1" applyBorder="1" applyAlignment="1">
      <alignment horizontal="left" vertical="center" wrapText="1"/>
    </xf>
    <xf numFmtId="166" fontId="89" fillId="18" borderId="68" xfId="0" applyNumberFormat="1" applyFont="1" applyFill="1" applyBorder="1" applyAlignment="1">
      <alignment horizontal="center" vertical="center"/>
    </xf>
    <xf numFmtId="0" fontId="89" fillId="12" borderId="79" xfId="0" applyFont="1" applyFill="1" applyBorder="1" applyAlignment="1">
      <alignment horizontal="left" vertical="center" wrapText="1"/>
    </xf>
    <xf numFmtId="166" fontId="22" fillId="12" borderId="109" xfId="0" applyNumberFormat="1" applyFont="1" applyFill="1" applyBorder="1" applyAlignment="1">
      <alignment horizontal="center" vertical="center" wrapText="1"/>
    </xf>
    <xf numFmtId="166" fontId="22" fillId="12" borderId="80" xfId="0" applyNumberFormat="1" applyFont="1" applyFill="1" applyBorder="1" applyAlignment="1">
      <alignment horizontal="left" vertical="center" wrapText="1"/>
    </xf>
    <xf numFmtId="1" fontId="22" fillId="12" borderId="110" xfId="0" applyNumberFormat="1" applyFont="1" applyFill="1" applyBorder="1" applyAlignment="1">
      <alignment vertical="center"/>
    </xf>
    <xf numFmtId="1" fontId="22" fillId="12" borderId="111" xfId="0" applyNumberFormat="1" applyFont="1" applyFill="1" applyBorder="1" applyAlignment="1">
      <alignment vertical="center"/>
    </xf>
    <xf numFmtId="1" fontId="22" fillId="12" borderId="112" xfId="0" applyNumberFormat="1" applyFont="1" applyFill="1" applyBorder="1" applyAlignment="1">
      <alignment vertical="center"/>
    </xf>
    <xf numFmtId="1" fontId="22" fillId="0" borderId="90" xfId="0" applyNumberFormat="1" applyFont="1" applyBorder="1"/>
    <xf numFmtId="0" fontId="60" fillId="12" borderId="68" xfId="1" applyFont="1" applyFill="1" applyBorder="1" applyAlignment="1">
      <alignment horizontal="left" vertical="center" wrapText="1"/>
    </xf>
    <xf numFmtId="0" fontId="62" fillId="12" borderId="68" xfId="1" applyFont="1" applyFill="1" applyBorder="1" applyAlignment="1">
      <alignment horizontal="left" vertical="center" wrapText="1"/>
    </xf>
    <xf numFmtId="166" fontId="62" fillId="12" borderId="68" xfId="2" applyNumberFormat="1" applyFont="1" applyFill="1" applyBorder="1" applyAlignment="1">
      <alignment vertical="center" wrapText="1"/>
    </xf>
    <xf numFmtId="168" fontId="5" fillId="17" borderId="15" xfId="0" applyNumberFormat="1" applyFont="1" applyFill="1" applyBorder="1" applyAlignment="1">
      <alignment horizontal="center" vertical="center" wrapText="1"/>
    </xf>
    <xf numFmtId="168" fontId="5" fillId="15" borderId="15" xfId="0" applyNumberFormat="1" applyFont="1" applyFill="1" applyBorder="1" applyAlignment="1">
      <alignment horizontal="center" vertical="center" wrapText="1"/>
    </xf>
    <xf numFmtId="168" fontId="5" fillId="16" borderId="15" xfId="0" applyNumberFormat="1" applyFont="1" applyFill="1" applyBorder="1" applyAlignment="1">
      <alignment horizontal="center" vertical="center" wrapText="1"/>
    </xf>
    <xf numFmtId="166" fontId="73" fillId="19" borderId="15" xfId="0" applyNumberFormat="1" applyFont="1" applyFill="1" applyBorder="1" applyAlignment="1">
      <alignment horizontal="center" vertical="center" wrapText="1"/>
    </xf>
    <xf numFmtId="1" fontId="18" fillId="12" borderId="36" xfId="0" applyNumberFormat="1" applyFont="1" applyFill="1" applyBorder="1"/>
    <xf numFmtId="166" fontId="21" fillId="12" borderId="0" xfId="0" applyNumberFormat="1" applyFont="1" applyFill="1" applyAlignment="1">
      <alignment horizontal="center" vertical="center"/>
    </xf>
    <xf numFmtId="166" fontId="21" fillId="12" borderId="4" xfId="0" applyNumberFormat="1" applyFont="1" applyFill="1" applyBorder="1" applyAlignment="1">
      <alignment horizontal="center" vertical="center"/>
    </xf>
    <xf numFmtId="166" fontId="21" fillId="12" borderId="4" xfId="0" applyNumberFormat="1" applyFont="1" applyFill="1" applyBorder="1" applyAlignment="1">
      <alignment horizontal="center"/>
    </xf>
    <xf numFmtId="168" fontId="2" fillId="12" borderId="4" xfId="0" applyNumberFormat="1" applyFont="1" applyFill="1" applyBorder="1" applyAlignment="1">
      <alignment horizontal="center" vertical="center"/>
    </xf>
    <xf numFmtId="168" fontId="2" fillId="12" borderId="0" xfId="0" applyNumberFormat="1" applyFont="1" applyFill="1" applyAlignment="1">
      <alignment horizontal="center" vertical="center"/>
    </xf>
    <xf numFmtId="0" fontId="9" fillId="2" borderId="15" xfId="0" applyFont="1" applyFill="1" applyBorder="1" applyAlignment="1">
      <alignment horizontal="center" vertical="center" textRotation="90" wrapText="1"/>
    </xf>
    <xf numFmtId="0" fontId="9" fillId="0" borderId="15" xfId="0" applyFont="1" applyBorder="1" applyAlignment="1">
      <alignment horizontal="center" vertical="center" textRotation="90" wrapText="1"/>
    </xf>
    <xf numFmtId="0" fontId="9" fillId="3" borderId="15" xfId="0" applyFont="1" applyFill="1" applyBorder="1" applyAlignment="1">
      <alignment horizontal="center" vertical="center" textRotation="90" wrapText="1"/>
    </xf>
    <xf numFmtId="168" fontId="9" fillId="3" borderId="15" xfId="0" applyNumberFormat="1" applyFont="1" applyFill="1" applyBorder="1" applyAlignment="1">
      <alignment horizontal="center" vertical="center" textRotation="90" wrapText="1"/>
    </xf>
    <xf numFmtId="166" fontId="9" fillId="5" borderId="15" xfId="0" applyNumberFormat="1" applyFont="1" applyFill="1" applyBorder="1" applyAlignment="1">
      <alignment horizontal="center" vertical="center" wrapText="1"/>
    </xf>
    <xf numFmtId="166" fontId="9" fillId="2" borderId="15" xfId="0" applyNumberFormat="1" applyFont="1" applyFill="1" applyBorder="1" applyAlignment="1">
      <alignment horizontal="center" vertical="center" wrapText="1"/>
    </xf>
    <xf numFmtId="166" fontId="9" fillId="3" borderId="15" xfId="0" applyNumberFormat="1" applyFont="1" applyFill="1" applyBorder="1" applyAlignment="1">
      <alignment horizontal="center" vertical="center" wrapText="1"/>
    </xf>
    <xf numFmtId="0" fontId="9" fillId="3" borderId="15"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3" borderId="15" xfId="0" applyFont="1" applyFill="1" applyBorder="1" applyAlignment="1">
      <alignment horizontal="center" vertical="center"/>
    </xf>
    <xf numFmtId="0" fontId="88" fillId="12" borderId="101" xfId="0" applyFont="1" applyFill="1" applyBorder="1" applyAlignment="1">
      <alignment horizontal="center" vertical="center"/>
    </xf>
    <xf numFmtId="0" fontId="88" fillId="12" borderId="15" xfId="0" applyFont="1" applyFill="1" applyBorder="1" applyAlignment="1">
      <alignment horizontal="left" vertical="center"/>
    </xf>
    <xf numFmtId="0" fontId="88" fillId="12" borderId="15" xfId="0" applyFont="1" applyFill="1" applyBorder="1" applyAlignment="1">
      <alignment horizontal="center" vertical="center" wrapText="1"/>
    </xf>
    <xf numFmtId="0" fontId="88" fillId="18" borderId="15" xfId="0" applyFont="1" applyFill="1" applyBorder="1" applyAlignment="1">
      <alignment horizontal="center" vertical="center"/>
    </xf>
    <xf numFmtId="0" fontId="88" fillId="12" borderId="15" xfId="0" applyFont="1" applyFill="1" applyBorder="1" applyAlignment="1">
      <alignment horizontal="center" vertical="center"/>
    </xf>
    <xf numFmtId="0" fontId="88" fillId="20" borderId="15" xfId="0" applyFont="1" applyFill="1" applyBorder="1" applyAlignment="1">
      <alignment horizontal="center" vertical="center"/>
    </xf>
    <xf numFmtId="169" fontId="88" fillId="12" borderId="15" xfId="0" applyNumberFormat="1" applyFont="1" applyFill="1" applyBorder="1" applyAlignment="1">
      <alignment horizontal="center" vertical="center"/>
    </xf>
    <xf numFmtId="168" fontId="88" fillId="12" borderId="15" xfId="0" applyNumberFormat="1" applyFont="1" applyFill="1" applyBorder="1" applyAlignment="1">
      <alignment horizontal="center" vertical="center"/>
    </xf>
    <xf numFmtId="166" fontId="88" fillId="26" borderId="15" xfId="0" applyNumberFormat="1" applyFont="1" applyFill="1" applyBorder="1" applyAlignment="1">
      <alignment horizontal="center" vertical="center"/>
    </xf>
    <xf numFmtId="166" fontId="88" fillId="12" borderId="15" xfId="0" applyNumberFormat="1" applyFont="1" applyFill="1" applyBorder="1" applyAlignment="1">
      <alignment horizontal="center" vertical="center" wrapText="1"/>
    </xf>
    <xf numFmtId="166" fontId="88" fillId="12" borderId="15" xfId="0" applyNumberFormat="1" applyFont="1" applyFill="1" applyBorder="1" applyAlignment="1">
      <alignment horizontal="center" vertical="center"/>
    </xf>
    <xf numFmtId="3" fontId="88" fillId="12" borderId="102" xfId="0" applyNumberFormat="1" applyFont="1" applyFill="1" applyBorder="1" applyAlignment="1">
      <alignment horizontal="left" vertical="center" wrapText="1"/>
    </xf>
    <xf numFmtId="166" fontId="88" fillId="19" borderId="15" xfId="0" applyNumberFormat="1" applyFont="1" applyFill="1" applyBorder="1" applyAlignment="1">
      <alignment horizontal="center" vertical="center"/>
    </xf>
    <xf numFmtId="166" fontId="9" fillId="12" borderId="15" xfId="0" applyNumberFormat="1" applyFont="1" applyFill="1" applyBorder="1" applyAlignment="1">
      <alignment horizontal="center" vertical="center" wrapText="1"/>
    </xf>
    <xf numFmtId="166" fontId="9" fillId="12" borderId="102" xfId="0" applyNumberFormat="1" applyFont="1" applyFill="1" applyBorder="1" applyAlignment="1">
      <alignment horizontal="center" vertical="center" wrapText="1"/>
    </xf>
    <xf numFmtId="1" fontId="9" fillId="0" borderId="106" xfId="0" applyNumberFormat="1" applyFont="1" applyBorder="1"/>
    <xf numFmtId="166" fontId="7" fillId="17" borderId="15" xfId="0" applyNumberFormat="1" applyFont="1" applyFill="1" applyBorder="1" applyAlignment="1">
      <alignment horizontal="center" vertical="center" wrapText="1"/>
    </xf>
    <xf numFmtId="166" fontId="7" fillId="15" borderId="15" xfId="0" applyNumberFormat="1" applyFont="1" applyFill="1" applyBorder="1" applyAlignment="1">
      <alignment horizontal="center" vertical="center" wrapText="1"/>
    </xf>
    <xf numFmtId="166" fontId="7" fillId="16" borderId="15" xfId="0" applyNumberFormat="1" applyFont="1" applyFill="1" applyBorder="1" applyAlignment="1">
      <alignment horizontal="center" vertical="center" wrapText="1"/>
    </xf>
    <xf numFmtId="1" fontId="12" fillId="12" borderId="43" xfId="0" applyNumberFormat="1" applyFont="1" applyFill="1" applyBorder="1"/>
    <xf numFmtId="166" fontId="2" fillId="12" borderId="0" xfId="0" applyNumberFormat="1" applyFont="1" applyFill="1" applyAlignment="1">
      <alignment horizontal="center" vertical="center"/>
    </xf>
    <xf numFmtId="166" fontId="2" fillId="12" borderId="4" xfId="0" applyNumberFormat="1" applyFont="1" applyFill="1" applyBorder="1" applyAlignment="1">
      <alignment horizontal="center" vertical="center"/>
    </xf>
    <xf numFmtId="166" fontId="2" fillId="12" borderId="4" xfId="0" applyNumberFormat="1" applyFont="1" applyFill="1" applyBorder="1" applyAlignment="1">
      <alignment horizontal="center"/>
    </xf>
    <xf numFmtId="168" fontId="9" fillId="5" borderId="15" xfId="0" applyNumberFormat="1" applyFont="1" applyFill="1" applyBorder="1" applyAlignment="1">
      <alignment horizontal="center" vertical="center" wrapText="1"/>
    </xf>
    <xf numFmtId="168" fontId="9" fillId="2" borderId="15" xfId="0" applyNumberFormat="1" applyFont="1" applyFill="1" applyBorder="1" applyAlignment="1">
      <alignment horizontal="center" vertical="center" wrapText="1"/>
    </xf>
    <xf numFmtId="168" fontId="9" fillId="3" borderId="15" xfId="0" applyNumberFormat="1" applyFont="1" applyFill="1" applyBorder="1" applyAlignment="1">
      <alignment horizontal="center" vertical="center" wrapText="1"/>
    </xf>
    <xf numFmtId="0" fontId="88" fillId="12" borderId="17" xfId="0" applyFont="1" applyFill="1" applyBorder="1" applyAlignment="1">
      <alignment horizontal="center" vertical="center" wrapText="1"/>
    </xf>
    <xf numFmtId="0" fontId="88" fillId="22" borderId="15" xfId="0" applyFont="1" applyFill="1" applyBorder="1" applyAlignment="1">
      <alignment horizontal="center" vertical="center" wrapText="1"/>
    </xf>
    <xf numFmtId="169" fontId="88" fillId="12" borderId="15" xfId="0" applyNumberFormat="1" applyFont="1" applyFill="1" applyBorder="1" applyAlignment="1">
      <alignment horizontal="center" vertical="center" wrapText="1"/>
    </xf>
    <xf numFmtId="168" fontId="88" fillId="12" borderId="15" xfId="0" applyNumberFormat="1" applyFont="1" applyFill="1" applyBorder="1" applyAlignment="1">
      <alignment horizontal="center" vertical="center" wrapText="1"/>
    </xf>
    <xf numFmtId="166" fontId="88" fillId="18" borderId="15" xfId="0" applyNumberFormat="1" applyFont="1" applyFill="1" applyBorder="1" applyAlignment="1">
      <alignment horizontal="center" vertical="center" wrapText="1"/>
    </xf>
    <xf numFmtId="0" fontId="88" fillId="12" borderId="18" xfId="0" applyFont="1" applyFill="1" applyBorder="1" applyAlignment="1">
      <alignment horizontal="left" vertical="center" wrapText="1"/>
    </xf>
    <xf numFmtId="1" fontId="88" fillId="20" borderId="15" xfId="0" applyNumberFormat="1" applyFont="1" applyFill="1" applyBorder="1" applyAlignment="1">
      <alignment horizontal="center" vertical="center"/>
    </xf>
    <xf numFmtId="1" fontId="88" fillId="12" borderId="15" xfId="0" applyNumberFormat="1" applyFont="1" applyFill="1" applyBorder="1" applyAlignment="1">
      <alignment horizontal="center" vertical="center" wrapText="1"/>
    </xf>
    <xf numFmtId="166" fontId="88" fillId="18" borderId="15" xfId="0" applyNumberFormat="1" applyFont="1" applyFill="1" applyBorder="1" applyAlignment="1">
      <alignment horizontal="center" vertical="center"/>
    </xf>
    <xf numFmtId="166" fontId="88" fillId="12" borderId="18" xfId="0" applyNumberFormat="1" applyFont="1" applyFill="1" applyBorder="1" applyAlignment="1">
      <alignment horizontal="left" vertical="center" wrapText="1"/>
    </xf>
    <xf numFmtId="1" fontId="88" fillId="12" borderId="18" xfId="0" applyNumberFormat="1" applyFont="1" applyFill="1" applyBorder="1" applyAlignment="1">
      <alignment horizontal="center" vertical="center" wrapText="1"/>
    </xf>
    <xf numFmtId="1" fontId="9" fillId="0" borderId="39" xfId="0" applyNumberFormat="1" applyFont="1" applyBorder="1" applyAlignment="1">
      <alignment horizontal="center" vertical="center"/>
    </xf>
    <xf numFmtId="1" fontId="9" fillId="0" borderId="40" xfId="0" applyNumberFormat="1" applyFont="1" applyBorder="1" applyAlignment="1">
      <alignment horizontal="center" vertical="center"/>
    </xf>
    <xf numFmtId="166" fontId="9" fillId="0" borderId="40" xfId="0" applyNumberFormat="1" applyFont="1" applyBorder="1" applyAlignment="1">
      <alignment horizontal="center" vertical="center" wrapText="1"/>
    </xf>
    <xf numFmtId="1" fontId="88" fillId="0" borderId="41" xfId="0" applyNumberFormat="1" applyFont="1" applyBorder="1" applyAlignment="1">
      <alignment horizontal="center" vertical="center" wrapText="1"/>
    </xf>
    <xf numFmtId="1" fontId="9" fillId="0" borderId="43" xfId="0" applyNumberFormat="1" applyFont="1" applyBorder="1"/>
    <xf numFmtId="166" fontId="88" fillId="12" borderId="15" xfId="0" applyNumberFormat="1" applyFont="1" applyFill="1" applyBorder="1" applyAlignment="1">
      <alignment horizontal="left" vertical="center" wrapText="1"/>
    </xf>
    <xf numFmtId="166" fontId="9" fillId="12" borderId="15" xfId="0" applyNumberFormat="1" applyFont="1" applyFill="1" applyBorder="1" applyAlignment="1">
      <alignment horizontal="left" vertical="center" wrapText="1"/>
    </xf>
    <xf numFmtId="166" fontId="9" fillId="0" borderId="15" xfId="0" applyNumberFormat="1" applyFont="1" applyBorder="1" applyAlignment="1">
      <alignment horizontal="left" vertical="center" wrapText="1"/>
    </xf>
    <xf numFmtId="1" fontId="9" fillId="0" borderId="43" xfId="0" applyNumberFormat="1" applyFont="1" applyBorder="1" applyAlignment="1">
      <alignment horizontal="left"/>
    </xf>
    <xf numFmtId="0" fontId="21" fillId="0" borderId="4" xfId="0" applyFont="1" applyBorder="1" applyAlignment="1">
      <alignment horizontal="left"/>
    </xf>
    <xf numFmtId="0" fontId="21" fillId="0" borderId="4" xfId="0" applyFont="1" applyBorder="1" applyAlignment="1">
      <alignment horizontal="left" vertical="center"/>
    </xf>
    <xf numFmtId="166" fontId="21" fillId="0" borderId="4" xfId="0" applyNumberFormat="1" applyFont="1" applyBorder="1" applyAlignment="1">
      <alignment horizontal="left" vertical="center"/>
    </xf>
    <xf numFmtId="0" fontId="0" fillId="0" borderId="0" xfId="0" applyAlignment="1">
      <alignment horizontal="left"/>
    </xf>
    <xf numFmtId="0" fontId="5" fillId="0" borderId="29" xfId="0" applyFont="1" applyBorder="1" applyAlignment="1">
      <alignment horizontal="left" wrapText="1"/>
    </xf>
    <xf numFmtId="0" fontId="3" fillId="0" borderId="32" xfId="0" applyFont="1" applyBorder="1"/>
    <xf numFmtId="0" fontId="2" fillId="0" borderId="8" xfId="0" applyFont="1" applyBorder="1" applyAlignment="1">
      <alignment horizontal="center" vertical="center" wrapText="1"/>
    </xf>
    <xf numFmtId="0" fontId="3" fillId="0" borderId="13" xfId="0" applyFont="1" applyBorder="1"/>
    <xf numFmtId="0" fontId="2" fillId="0" borderId="9" xfId="0" applyFont="1" applyBorder="1" applyAlignment="1">
      <alignment horizontal="center" vertical="center" wrapText="1"/>
    </xf>
    <xf numFmtId="0" fontId="3" fillId="0" borderId="14" xfId="0" applyFont="1" applyBorder="1"/>
    <xf numFmtId="164" fontId="2" fillId="0" borderId="9" xfId="0" applyNumberFormat="1" applyFont="1" applyBorder="1" applyAlignment="1">
      <alignment horizontal="center" vertical="center" wrapText="1"/>
    </xf>
    <xf numFmtId="0" fontId="5" fillId="0" borderId="29" xfId="0" applyFont="1" applyBorder="1" applyAlignment="1">
      <alignment horizontal="center" wrapText="1"/>
    </xf>
    <xf numFmtId="0" fontId="3" fillId="0" borderId="31" xfId="0" applyFont="1" applyBorder="1"/>
    <xf numFmtId="0" fontId="3" fillId="0" borderId="28" xfId="0" applyFont="1" applyBorder="1"/>
    <xf numFmtId="167" fontId="2" fillId="0" borderId="5" xfId="0" applyNumberFormat="1" applyFont="1" applyBorder="1" applyAlignment="1">
      <alignment horizontal="center" vertical="center" wrapText="1"/>
    </xf>
    <xf numFmtId="0" fontId="3" fillId="0" borderId="11" xfId="0" applyFont="1" applyBorder="1"/>
    <xf numFmtId="0" fontId="2" fillId="0" borderId="12" xfId="0" applyFont="1" applyBorder="1" applyAlignment="1">
      <alignment horizontal="center" vertical="center" wrapText="1"/>
    </xf>
    <xf numFmtId="0" fontId="3" fillId="0" borderId="16" xfId="0" applyFont="1" applyBorder="1"/>
    <xf numFmtId="0" fontId="2" fillId="0" borderId="10" xfId="0" applyFont="1" applyBorder="1" applyAlignment="1">
      <alignment horizontal="center" vertical="center" wrapText="1"/>
    </xf>
    <xf numFmtId="0" fontId="5" fillId="0" borderId="27" xfId="0" applyFont="1" applyBorder="1" applyAlignment="1">
      <alignment horizontal="center" wrapText="1"/>
    </xf>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0" fontId="2" fillId="0" borderId="5" xfId="0" applyFont="1" applyBorder="1" applyAlignment="1">
      <alignment horizontal="center" vertical="center" wrapText="1"/>
    </xf>
    <xf numFmtId="0" fontId="3" fillId="0" borderId="6" xfId="0" applyFont="1" applyBorder="1"/>
    <xf numFmtId="0" fontId="3" fillId="0" borderId="7" xfId="0" applyFont="1" applyBorder="1"/>
    <xf numFmtId="167" fontId="2" fillId="0" borderId="23" xfId="0" applyNumberFormat="1" applyFont="1" applyBorder="1" applyAlignment="1">
      <alignment horizontal="center" vertical="center" wrapText="1"/>
    </xf>
    <xf numFmtId="0" fontId="3" fillId="0" borderId="24" xfId="0" applyFont="1" applyBorder="1"/>
    <xf numFmtId="0" fontId="3" fillId="0" borderId="25" xfId="0" applyFont="1" applyBorder="1"/>
    <xf numFmtId="1" fontId="22" fillId="12" borderId="108" xfId="0" applyNumberFormat="1" applyFont="1" applyFill="1" applyBorder="1" applyAlignment="1">
      <alignment horizontal="center" vertical="center"/>
    </xf>
    <xf numFmtId="0" fontId="89" fillId="12" borderId="109" xfId="0" applyFont="1" applyFill="1" applyBorder="1"/>
    <xf numFmtId="1" fontId="22" fillId="0" borderId="89" xfId="0" applyNumberFormat="1" applyFont="1" applyBorder="1" applyAlignment="1">
      <alignment horizontal="center"/>
    </xf>
    <xf numFmtId="0" fontId="89" fillId="0" borderId="90" xfId="0" applyFont="1" applyBorder="1"/>
    <xf numFmtId="1" fontId="22" fillId="0" borderId="90" xfId="0" applyNumberFormat="1" applyFont="1" applyBorder="1" applyAlignment="1">
      <alignment horizontal="center"/>
    </xf>
    <xf numFmtId="0" fontId="89" fillId="0" borderId="91" xfId="0" applyFont="1" applyBorder="1"/>
    <xf numFmtId="0" fontId="22" fillId="0" borderId="71" xfId="0" applyFont="1" applyBorder="1" applyAlignment="1">
      <alignment horizontal="center" vertical="center"/>
    </xf>
    <xf numFmtId="0" fontId="89" fillId="0" borderId="72" xfId="0" applyFont="1" applyBorder="1"/>
    <xf numFmtId="0" fontId="89" fillId="0" borderId="73" xfId="0" applyFont="1" applyBorder="1"/>
    <xf numFmtId="17" fontId="22" fillId="0" borderId="78" xfId="0" applyNumberFormat="1" applyFont="1" applyBorder="1" applyAlignment="1">
      <alignment horizontal="center" vertical="center"/>
    </xf>
    <xf numFmtId="0" fontId="89" fillId="0" borderId="68" xfId="0" applyFont="1" applyBorder="1"/>
    <xf numFmtId="0" fontId="89" fillId="0" borderId="79" xfId="0" applyFont="1" applyBorder="1"/>
    <xf numFmtId="0" fontId="22" fillId="2" borderId="68" xfId="0" applyFont="1" applyFill="1" applyBorder="1" applyAlignment="1">
      <alignment horizontal="center" vertical="center" wrapText="1"/>
    </xf>
    <xf numFmtId="1" fontId="79" fillId="12" borderId="95" xfId="0" applyNumberFormat="1" applyFont="1" applyFill="1" applyBorder="1" applyAlignment="1">
      <alignment horizontal="center" vertical="center" wrapText="1"/>
    </xf>
    <xf numFmtId="0" fontId="85" fillId="12" borderId="56" xfId="0" applyFont="1" applyFill="1" applyBorder="1"/>
    <xf numFmtId="0" fontId="85" fillId="12" borderId="33" xfId="0" applyFont="1" applyFill="1" applyBorder="1"/>
    <xf numFmtId="1" fontId="22" fillId="0" borderId="105" xfId="0" applyNumberFormat="1" applyFont="1" applyBorder="1" applyAlignment="1">
      <alignment horizontal="center"/>
    </xf>
    <xf numFmtId="0" fontId="3" fillId="0" borderId="106" xfId="0" applyFont="1" applyBorder="1"/>
    <xf numFmtId="1" fontId="22" fillId="0" borderId="106" xfId="0" applyNumberFormat="1" applyFont="1" applyBorder="1" applyAlignment="1">
      <alignment horizontal="center"/>
    </xf>
    <xf numFmtId="0" fontId="3" fillId="0" borderId="107" xfId="0" applyFont="1" applyBorder="1"/>
    <xf numFmtId="0" fontId="7" fillId="2" borderId="97" xfId="0" applyFont="1" applyFill="1" applyBorder="1" applyAlignment="1">
      <alignment horizontal="center" vertical="center" textRotation="90" wrapText="1"/>
    </xf>
    <xf numFmtId="0" fontId="3" fillId="0" borderId="99" xfId="0" applyFont="1" applyBorder="1"/>
    <xf numFmtId="0" fontId="7" fillId="2" borderId="21" xfId="0" applyFont="1" applyFill="1" applyBorder="1" applyAlignment="1">
      <alignment horizontal="center" vertical="center" wrapText="1"/>
    </xf>
    <xf numFmtId="0" fontId="3" fillId="0" borderId="49" xfId="0" applyFont="1" applyBorder="1"/>
    <xf numFmtId="0" fontId="7" fillId="3" borderId="2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3" fillId="0" borderId="56" xfId="0" applyFont="1" applyBorder="1"/>
    <xf numFmtId="0" fontId="3" fillId="0" borderId="33" xfId="0" applyFont="1" applyBorder="1"/>
    <xf numFmtId="0" fontId="7" fillId="2" borderId="98" xfId="0" applyFont="1" applyFill="1" applyBorder="1" applyAlignment="1">
      <alignment horizontal="center" vertical="center" wrapText="1"/>
    </xf>
    <xf numFmtId="0" fontId="3" fillId="0" borderId="100" xfId="0" applyFont="1" applyBorder="1"/>
    <xf numFmtId="0" fontId="5" fillId="0" borderId="92" xfId="0" applyFont="1" applyBorder="1" applyAlignment="1">
      <alignment horizontal="center" vertical="center"/>
    </xf>
    <xf numFmtId="0" fontId="3" fillId="0" borderId="93" xfId="0" applyFont="1" applyBorder="1"/>
    <xf numFmtId="0" fontId="3" fillId="0" borderId="94" xfId="0" applyFont="1" applyBorder="1"/>
    <xf numFmtId="17" fontId="5" fillId="0" borderId="95" xfId="0" applyNumberFormat="1" applyFont="1" applyBorder="1" applyAlignment="1">
      <alignment horizontal="center" vertical="center"/>
    </xf>
    <xf numFmtId="0" fontId="6" fillId="0" borderId="56" xfId="0" applyFont="1" applyBorder="1"/>
    <xf numFmtId="0" fontId="6" fillId="0" borderId="96" xfId="0" applyFont="1" applyBorder="1"/>
    <xf numFmtId="1" fontId="7" fillId="3" borderId="21" xfId="0" applyNumberFormat="1" applyFont="1" applyFill="1" applyBorder="1" applyAlignment="1">
      <alignment horizontal="center" vertical="center" wrapText="1"/>
    </xf>
    <xf numFmtId="0" fontId="73" fillId="12" borderId="39" xfId="0" applyFont="1" applyFill="1" applyBorder="1" applyAlignment="1">
      <alignment horizontal="center" vertical="center"/>
    </xf>
    <xf numFmtId="0" fontId="73" fillId="12" borderId="40" xfId="0" applyFont="1" applyFill="1" applyBorder="1"/>
    <xf numFmtId="0" fontId="73" fillId="12" borderId="20" xfId="0" applyFont="1" applyFill="1" applyBorder="1"/>
    <xf numFmtId="1" fontId="18" fillId="0" borderId="34" xfId="0" applyNumberFormat="1" applyFont="1" applyBorder="1" applyAlignment="1">
      <alignment horizontal="center"/>
    </xf>
    <xf numFmtId="0" fontId="3" fillId="0" borderId="35" xfId="0" applyFont="1" applyBorder="1"/>
    <xf numFmtId="1" fontId="18" fillId="0" borderId="37" xfId="0" applyNumberFormat="1" applyFont="1" applyBorder="1" applyAlignment="1">
      <alignment horizontal="center"/>
    </xf>
    <xf numFmtId="0" fontId="3" fillId="0" borderId="38" xfId="0" applyFont="1" applyBorder="1"/>
    <xf numFmtId="0" fontId="22" fillId="0" borderId="46" xfId="0" applyFont="1" applyBorder="1" applyAlignment="1">
      <alignment horizontal="center" vertical="center"/>
    </xf>
    <xf numFmtId="0" fontId="3" fillId="0" borderId="47" xfId="0" applyFont="1" applyBorder="1"/>
    <xf numFmtId="0" fontId="3" fillId="0" borderId="48" xfId="0" applyFont="1" applyBorder="1"/>
    <xf numFmtId="17" fontId="22" fillId="0" borderId="1" xfId="0" applyNumberFormat="1" applyFont="1" applyBorder="1" applyAlignment="1">
      <alignment horizontal="center" vertical="center"/>
    </xf>
    <xf numFmtId="0" fontId="5" fillId="2" borderId="10" xfId="0" applyFont="1" applyFill="1" applyBorder="1" applyAlignment="1">
      <alignment horizontal="center" vertical="center" wrapText="1"/>
    </xf>
    <xf numFmtId="0" fontId="5" fillId="15" borderId="10" xfId="0" applyFont="1" applyFill="1" applyBorder="1" applyAlignment="1">
      <alignment horizontal="center" vertical="center" wrapText="1"/>
    </xf>
    <xf numFmtId="0" fontId="3" fillId="12" borderId="6" xfId="0" applyFont="1" applyFill="1" applyBorder="1"/>
    <xf numFmtId="0" fontId="3" fillId="12" borderId="11" xfId="0" applyFont="1" applyFill="1" applyBorder="1"/>
    <xf numFmtId="0" fontId="8" fillId="12" borderId="110" xfId="0" applyFont="1" applyFill="1" applyBorder="1" applyAlignment="1">
      <alignment horizontal="left" vertical="center"/>
    </xf>
    <xf numFmtId="0" fontId="8" fillId="12" borderId="111" xfId="0" applyFont="1" applyFill="1" applyBorder="1" applyAlignment="1">
      <alignment horizontal="left" vertical="center"/>
    </xf>
    <xf numFmtId="0" fontId="8" fillId="12" borderId="112" xfId="0" applyFont="1" applyFill="1" applyBorder="1" applyAlignment="1">
      <alignment horizontal="left" vertical="center"/>
    </xf>
    <xf numFmtId="1" fontId="9" fillId="12" borderId="5" xfId="0" applyNumberFormat="1" applyFont="1" applyFill="1" applyBorder="1" applyAlignment="1">
      <alignment horizontal="center" vertical="center"/>
    </xf>
    <xf numFmtId="0" fontId="88" fillId="12" borderId="6" xfId="0" applyFont="1" applyFill="1" applyBorder="1"/>
    <xf numFmtId="0" fontId="88" fillId="12" borderId="11" xfId="0" applyFont="1" applyFill="1" applyBorder="1"/>
    <xf numFmtId="1" fontId="9" fillId="0" borderId="23" xfId="0" applyNumberFormat="1" applyFont="1" applyBorder="1" applyAlignment="1">
      <alignment horizontal="center"/>
    </xf>
    <xf numFmtId="0" fontId="88" fillId="0" borderId="42" xfId="0" applyFont="1" applyBorder="1"/>
    <xf numFmtId="1" fontId="9" fillId="0" borderId="44" xfId="0" applyNumberFormat="1" applyFont="1" applyBorder="1" applyAlignment="1">
      <alignment horizontal="center"/>
    </xf>
    <xf numFmtId="0" fontId="88" fillId="0" borderId="24" xfId="0" applyFont="1" applyBorder="1"/>
    <xf numFmtId="0" fontId="9" fillId="2" borderId="12" xfId="0" applyFont="1" applyFill="1" applyBorder="1" applyAlignment="1">
      <alignment horizontal="center" vertical="center" wrapText="1"/>
    </xf>
    <xf numFmtId="0" fontId="88" fillId="0" borderId="16" xfId="0" applyFont="1" applyBorder="1"/>
    <xf numFmtId="0" fontId="88" fillId="0" borderId="45" xfId="0" applyFont="1" applyBorder="1"/>
    <xf numFmtId="0" fontId="9" fillId="2" borderId="9" xfId="0" applyFont="1" applyFill="1" applyBorder="1" applyAlignment="1">
      <alignment horizontal="center" vertical="center" wrapText="1"/>
    </xf>
    <xf numFmtId="0" fontId="88" fillId="0" borderId="14" xfId="0" applyFont="1" applyBorder="1"/>
    <xf numFmtId="0" fontId="9" fillId="0" borderId="1" xfId="0" applyFont="1" applyBorder="1" applyAlignment="1">
      <alignment horizontal="center" vertical="center"/>
    </xf>
    <xf numFmtId="0" fontId="88" fillId="0" borderId="2" xfId="0" applyFont="1" applyBorder="1"/>
    <xf numFmtId="0" fontId="88" fillId="0" borderId="3" xfId="0" applyFont="1" applyBorder="1"/>
    <xf numFmtId="17" fontId="9" fillId="0" borderId="5" xfId="0" applyNumberFormat="1" applyFont="1" applyBorder="1" applyAlignment="1">
      <alignment horizontal="center" vertical="center"/>
    </xf>
    <xf numFmtId="0" fontId="88" fillId="0" borderId="6" xfId="0" applyFont="1" applyBorder="1"/>
    <xf numFmtId="0" fontId="88" fillId="0" borderId="7" xfId="0" applyFont="1" applyBorder="1"/>
    <xf numFmtId="0" fontId="9" fillId="2" borderId="10" xfId="0" applyFont="1" applyFill="1" applyBorder="1" applyAlignment="1">
      <alignment horizontal="center" vertical="center" wrapText="1"/>
    </xf>
    <xf numFmtId="0" fontId="88" fillId="0" borderId="11" xfId="0" applyFont="1" applyBorder="1"/>
    <xf numFmtId="0" fontId="9" fillId="2" borderId="8" xfId="0" applyFont="1" applyFill="1" applyBorder="1" applyAlignment="1">
      <alignment horizontal="center" vertical="center" textRotation="90" wrapText="1"/>
    </xf>
    <xf numFmtId="0" fontId="88" fillId="0" borderId="13" xfId="0" applyFont="1" applyBorder="1"/>
    <xf numFmtId="1" fontId="9" fillId="3" borderId="9" xfId="0" applyNumberFormat="1"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9" xfId="0" applyFont="1" applyFill="1" applyBorder="1" applyAlignment="1">
      <alignment horizontal="left" vertical="center" wrapText="1"/>
    </xf>
    <xf numFmtId="0" fontId="88" fillId="0" borderId="14" xfId="0" applyFont="1" applyBorder="1" applyAlignment="1">
      <alignment horizontal="left"/>
    </xf>
    <xf numFmtId="1" fontId="18" fillId="12" borderId="44" xfId="0" applyNumberFormat="1" applyFont="1" applyFill="1" applyBorder="1" applyAlignment="1">
      <alignment horizontal="center"/>
    </xf>
    <xf numFmtId="0" fontId="3" fillId="12" borderId="45" xfId="0" applyFont="1" applyFill="1" applyBorder="1"/>
    <xf numFmtId="0" fontId="5" fillId="0" borderId="1" xfId="0" applyFont="1" applyBorder="1" applyAlignment="1">
      <alignment horizontal="center" vertical="center"/>
    </xf>
    <xf numFmtId="17" fontId="5" fillId="0" borderId="5" xfId="0" applyNumberFormat="1" applyFont="1" applyBorder="1" applyAlignment="1">
      <alignment horizontal="center" vertical="center"/>
    </xf>
    <xf numFmtId="1" fontId="7" fillId="12" borderId="5" xfId="0" applyNumberFormat="1" applyFont="1" applyFill="1" applyBorder="1" applyAlignment="1">
      <alignment horizontal="center" vertical="center"/>
    </xf>
    <xf numFmtId="1" fontId="18" fillId="12" borderId="23" xfId="0" applyNumberFormat="1" applyFont="1" applyFill="1" applyBorder="1" applyAlignment="1">
      <alignment horizontal="center"/>
    </xf>
    <xf numFmtId="0" fontId="3" fillId="12" borderId="42" xfId="0" applyFont="1" applyFill="1" applyBorder="1"/>
    <xf numFmtId="0" fontId="3" fillId="12" borderId="24" xfId="0" applyFont="1" applyFill="1" applyBorder="1"/>
    <xf numFmtId="1" fontId="75" fillId="12" borderId="106" xfId="0" applyNumberFormat="1" applyFont="1" applyFill="1" applyBorder="1" applyAlignment="1">
      <alignment horizontal="center"/>
    </xf>
    <xf numFmtId="0" fontId="73" fillId="12" borderId="107" xfId="0" applyFont="1" applyFill="1" applyBorder="1"/>
    <xf numFmtId="0" fontId="75" fillId="12" borderId="92" xfId="0" applyFont="1" applyFill="1" applyBorder="1" applyAlignment="1">
      <alignment horizontal="center" vertical="center"/>
    </xf>
    <xf numFmtId="0" fontId="73" fillId="12" borderId="93" xfId="0" applyFont="1" applyFill="1" applyBorder="1"/>
    <xf numFmtId="0" fontId="73" fillId="12" borderId="94" xfId="0" applyFont="1" applyFill="1" applyBorder="1"/>
    <xf numFmtId="17" fontId="8" fillId="12" borderId="95" xfId="0" applyNumberFormat="1" applyFont="1" applyFill="1" applyBorder="1" applyAlignment="1">
      <alignment horizontal="center" vertical="center"/>
    </xf>
    <xf numFmtId="0" fontId="73" fillId="12" borderId="56" xfId="0" applyFont="1" applyFill="1" applyBorder="1"/>
    <xf numFmtId="0" fontId="73" fillId="12" borderId="96" xfId="0" applyFont="1" applyFill="1" applyBorder="1"/>
    <xf numFmtId="0" fontId="75" fillId="15" borderId="10" xfId="0" applyFont="1" applyFill="1" applyBorder="1" applyAlignment="1">
      <alignment horizontal="center" vertical="center" wrapText="1"/>
    </xf>
    <xf numFmtId="0" fontId="73" fillId="12" borderId="33" xfId="0" applyFont="1" applyFill="1" applyBorder="1"/>
    <xf numFmtId="166" fontId="75" fillId="15" borderId="10" xfId="0" applyNumberFormat="1" applyFont="1" applyFill="1" applyBorder="1" applyAlignment="1">
      <alignment horizontal="center" vertical="center" wrapText="1"/>
    </xf>
    <xf numFmtId="1" fontId="75" fillId="12" borderId="95" xfId="0" applyNumberFormat="1" applyFont="1" applyFill="1" applyBorder="1" applyAlignment="1">
      <alignment horizontal="center" vertical="center"/>
    </xf>
    <xf numFmtId="1" fontId="75" fillId="12" borderId="105" xfId="0" applyNumberFormat="1" applyFont="1" applyFill="1" applyBorder="1" applyAlignment="1">
      <alignment horizontal="center"/>
    </xf>
    <xf numFmtId="0" fontId="73" fillId="12" borderId="106" xfId="0" applyFont="1" applyFill="1" applyBorder="1"/>
    <xf numFmtId="1" fontId="9" fillId="12" borderId="95" xfId="0" applyNumberFormat="1" applyFont="1" applyFill="1" applyBorder="1" applyAlignment="1">
      <alignment horizontal="center" vertical="center"/>
    </xf>
    <xf numFmtId="0" fontId="88" fillId="12" borderId="56" xfId="0" applyFont="1" applyFill="1" applyBorder="1"/>
    <xf numFmtId="0" fontId="88" fillId="12" borderId="33" xfId="0" applyFont="1" applyFill="1" applyBorder="1"/>
    <xf numFmtId="1" fontId="9" fillId="0" borderId="105" xfId="0" applyNumberFormat="1" applyFont="1" applyBorder="1" applyAlignment="1">
      <alignment horizontal="center"/>
    </xf>
    <xf numFmtId="0" fontId="88" fillId="0" borderId="106" xfId="0" applyFont="1" applyBorder="1"/>
    <xf numFmtId="1" fontId="9" fillId="0" borderId="106" xfId="0" applyNumberFormat="1" applyFont="1" applyBorder="1" applyAlignment="1">
      <alignment horizontal="center"/>
    </xf>
    <xf numFmtId="0" fontId="88" fillId="0" borderId="107" xfId="0" applyFont="1" applyBorder="1"/>
    <xf numFmtId="0" fontId="9" fillId="2" borderId="97" xfId="0" applyFont="1" applyFill="1" applyBorder="1" applyAlignment="1">
      <alignment horizontal="center" vertical="center" textRotation="90" wrapText="1"/>
    </xf>
    <xf numFmtId="0" fontId="88" fillId="0" borderId="99" xfId="0" applyFont="1" applyBorder="1"/>
    <xf numFmtId="0" fontId="9" fillId="2" borderId="21" xfId="0" applyFont="1" applyFill="1" applyBorder="1" applyAlignment="1">
      <alignment horizontal="center" vertical="center" wrapText="1"/>
    </xf>
    <xf numFmtId="0" fontId="88" fillId="0" borderId="49" xfId="0" applyFont="1" applyBorder="1"/>
    <xf numFmtId="0" fontId="9" fillId="3" borderId="21" xfId="0" applyFont="1" applyFill="1" applyBorder="1" applyAlignment="1">
      <alignment horizontal="center" vertical="center" wrapText="1"/>
    </xf>
    <xf numFmtId="0" fontId="88" fillId="0" borderId="56" xfId="0" applyFont="1" applyBorder="1"/>
    <xf numFmtId="0" fontId="88" fillId="0" borderId="33" xfId="0" applyFont="1" applyBorder="1"/>
    <xf numFmtId="0" fontId="9" fillId="2" borderId="98" xfId="0" applyFont="1" applyFill="1" applyBorder="1" applyAlignment="1">
      <alignment horizontal="center" vertical="center" wrapText="1"/>
    </xf>
    <xf numFmtId="0" fontId="88" fillId="0" borderId="100" xfId="0" applyFont="1" applyBorder="1"/>
    <xf numFmtId="0" fontId="9" fillId="0" borderId="92" xfId="0" applyFont="1" applyBorder="1" applyAlignment="1">
      <alignment horizontal="center" vertical="center"/>
    </xf>
    <xf numFmtId="0" fontId="88" fillId="0" borderId="93" xfId="0" applyFont="1" applyBorder="1"/>
    <xf numFmtId="0" fontId="88" fillId="0" borderId="94" xfId="0" applyFont="1" applyBorder="1"/>
    <xf numFmtId="17" fontId="9" fillId="0" borderId="95" xfId="0" applyNumberFormat="1" applyFont="1" applyBorder="1" applyAlignment="1">
      <alignment horizontal="center" vertical="center"/>
    </xf>
    <xf numFmtId="0" fontId="88" fillId="0" borderId="96" xfId="0" applyFont="1" applyBorder="1"/>
    <xf numFmtId="166" fontId="9" fillId="2" borderId="10" xfId="0" applyNumberFormat="1" applyFont="1" applyFill="1" applyBorder="1" applyAlignment="1">
      <alignment horizontal="center" vertical="center" wrapText="1"/>
    </xf>
    <xf numFmtId="1" fontId="9" fillId="3" borderId="21" xfId="0" applyNumberFormat="1" applyFont="1" applyFill="1" applyBorder="1" applyAlignment="1">
      <alignment horizontal="center" vertical="center" wrapText="1"/>
    </xf>
    <xf numFmtId="1" fontId="7" fillId="0" borderId="5" xfId="0" applyNumberFormat="1" applyFont="1" applyBorder="1" applyAlignment="1">
      <alignment horizontal="center" vertical="center"/>
    </xf>
    <xf numFmtId="1" fontId="12" fillId="0" borderId="23" xfId="0" applyNumberFormat="1" applyFont="1" applyBorder="1" applyAlignment="1">
      <alignment horizontal="center"/>
    </xf>
    <xf numFmtId="0" fontId="3" fillId="0" borderId="42" xfId="0" applyFont="1" applyBorder="1"/>
    <xf numFmtId="1" fontId="12" fillId="0" borderId="44" xfId="0" applyNumberFormat="1" applyFont="1" applyBorder="1" applyAlignment="1">
      <alignment horizontal="center"/>
    </xf>
    <xf numFmtId="0" fontId="3" fillId="0" borderId="45" xfId="0" applyFont="1" applyBorder="1"/>
    <xf numFmtId="0" fontId="5" fillId="2" borderId="50" xfId="0" applyFont="1" applyFill="1" applyBorder="1" applyAlignment="1">
      <alignment horizontal="center" vertical="center" wrapText="1"/>
    </xf>
    <xf numFmtId="166" fontId="7" fillId="15" borderId="10" xfId="0" applyNumberFormat="1" applyFont="1" applyFill="1" applyBorder="1" applyAlignment="1">
      <alignment horizontal="center" vertical="center" wrapText="1"/>
    </xf>
    <xf numFmtId="0" fontId="14" fillId="6" borderId="51" xfId="0" applyFont="1" applyFill="1" applyBorder="1" applyAlignment="1">
      <alignment horizontal="center"/>
    </xf>
    <xf numFmtId="0" fontId="3" fillId="0" borderId="52" xfId="0" applyFont="1" applyBorder="1"/>
    <xf numFmtId="0" fontId="3" fillId="0" borderId="53" xfId="0" applyFont="1" applyBorder="1"/>
    <xf numFmtId="0" fontId="14" fillId="0" borderId="10" xfId="0" applyFont="1" applyBorder="1" applyAlignment="1">
      <alignment horizontal="center"/>
    </xf>
    <xf numFmtId="0" fontId="14" fillId="0" borderId="56" xfId="0" applyFont="1" applyBorder="1" applyAlignment="1">
      <alignment horizontal="center"/>
    </xf>
    <xf numFmtId="0" fontId="14" fillId="0" borderId="33" xfId="0" applyFont="1" applyBorder="1" applyAlignment="1">
      <alignment horizontal="center"/>
    </xf>
    <xf numFmtId="1" fontId="14" fillId="0" borderId="10" xfId="0" applyNumberFormat="1" applyFont="1" applyBorder="1" applyAlignment="1">
      <alignment horizontal="center"/>
    </xf>
    <xf numFmtId="0" fontId="14" fillId="6" borderId="10" xfId="0" applyFont="1" applyFill="1" applyBorder="1" applyAlignment="1">
      <alignment horizontal="center"/>
    </xf>
    <xf numFmtId="0" fontId="14" fillId="6" borderId="54" xfId="0" applyFont="1" applyFill="1" applyBorder="1" applyAlignment="1">
      <alignment horizontal="center"/>
    </xf>
    <xf numFmtId="0" fontId="3" fillId="0" borderId="10" xfId="0" applyFont="1" applyBorder="1" applyAlignment="1">
      <alignment horizontal="center"/>
    </xf>
    <xf numFmtId="1" fontId="14" fillId="0" borderId="56" xfId="0" applyNumberFormat="1" applyFont="1" applyBorder="1" applyAlignment="1">
      <alignment horizontal="center"/>
    </xf>
    <xf numFmtId="1" fontId="14" fillId="0" borderId="33" xfId="0" applyNumberFormat="1" applyFont="1" applyBorder="1" applyAlignment="1">
      <alignment horizontal="center"/>
    </xf>
    <xf numFmtId="0" fontId="3" fillId="6" borderId="51" xfId="0" applyFont="1" applyFill="1" applyBorder="1" applyAlignment="1">
      <alignment horizontal="center"/>
    </xf>
    <xf numFmtId="0" fontId="14" fillId="6" borderId="56" xfId="0" applyFont="1" applyFill="1" applyBorder="1" applyAlignment="1">
      <alignment horizontal="center"/>
    </xf>
    <xf numFmtId="0" fontId="14" fillId="6" borderId="33" xfId="0" applyFont="1" applyFill="1" applyBorder="1" applyAlignment="1">
      <alignment horizontal="center"/>
    </xf>
    <xf numFmtId="0" fontId="31" fillId="0" borderId="0" xfId="0" applyFont="1" applyAlignment="1">
      <alignment horizontal="center"/>
    </xf>
    <xf numFmtId="0" fontId="0" fillId="0" borderId="0" xfId="0"/>
    <xf numFmtId="0" fontId="14" fillId="0" borderId="0" xfId="0" applyFont="1" applyAlignment="1">
      <alignment horizontal="center"/>
    </xf>
    <xf numFmtId="0" fontId="0" fillId="0" borderId="0" xfId="0" applyAlignment="1">
      <alignment horizontal="center"/>
    </xf>
    <xf numFmtId="1" fontId="32" fillId="0" borderId="5" xfId="0" applyNumberFormat="1" applyFont="1" applyBorder="1" applyAlignment="1">
      <alignment horizontal="center" vertical="center"/>
    </xf>
    <xf numFmtId="1" fontId="33" fillId="0" borderId="23" xfId="0" applyNumberFormat="1" applyFont="1" applyBorder="1" applyAlignment="1">
      <alignment horizontal="center"/>
    </xf>
    <xf numFmtId="1" fontId="33" fillId="0" borderId="44" xfId="0" applyNumberFormat="1" applyFont="1" applyBorder="1" applyAlignment="1">
      <alignment horizontal="center"/>
    </xf>
    <xf numFmtId="0" fontId="13" fillId="2" borderId="8" xfId="0" applyFont="1" applyFill="1" applyBorder="1" applyAlignment="1">
      <alignment horizontal="center" vertical="center" textRotation="90" wrapText="1"/>
    </xf>
    <xf numFmtId="0" fontId="13" fillId="2" borderId="9"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0" borderId="9" xfId="0" applyFont="1" applyBorder="1" applyAlignment="1">
      <alignment horizontal="center" vertical="center" wrapText="1"/>
    </xf>
    <xf numFmtId="0" fontId="13" fillId="0" borderId="1" xfId="0" applyFont="1" applyBorder="1" applyAlignment="1">
      <alignment horizontal="center" vertical="center"/>
    </xf>
    <xf numFmtId="1" fontId="13" fillId="3" borderId="9" xfId="0" applyNumberFormat="1" applyFont="1" applyFill="1" applyBorder="1" applyAlignment="1">
      <alignment horizontal="center" vertical="center" wrapText="1"/>
    </xf>
    <xf numFmtId="0" fontId="13" fillId="3" borderId="9" xfId="0" applyFont="1" applyFill="1" applyBorder="1" applyAlignment="1">
      <alignment horizontal="center" vertical="center" wrapText="1"/>
    </xf>
    <xf numFmtId="0" fontId="55" fillId="12" borderId="71" xfId="1" applyFont="1" applyFill="1" applyBorder="1" applyAlignment="1">
      <alignment horizontal="center" vertical="center"/>
    </xf>
    <xf numFmtId="0" fontId="55" fillId="12" borderId="72" xfId="1" applyFont="1" applyFill="1" applyBorder="1" applyAlignment="1">
      <alignment horizontal="center" vertical="center"/>
    </xf>
    <xf numFmtId="0" fontId="55" fillId="12" borderId="73" xfId="1" applyFont="1" applyFill="1" applyBorder="1" applyAlignment="1">
      <alignment horizontal="center" vertical="center"/>
    </xf>
    <xf numFmtId="0" fontId="55" fillId="12" borderId="78" xfId="1" applyFont="1" applyFill="1" applyBorder="1" applyAlignment="1">
      <alignment horizontal="center" vertical="center"/>
    </xf>
    <xf numFmtId="0" fontId="55" fillId="12" borderId="68" xfId="1" applyFont="1" applyFill="1" applyBorder="1" applyAlignment="1">
      <alignment horizontal="center" vertical="center"/>
    </xf>
    <xf numFmtId="0" fontId="55" fillId="12" borderId="79" xfId="1" applyFont="1" applyFill="1" applyBorder="1" applyAlignment="1">
      <alignment horizontal="center" vertical="center"/>
    </xf>
    <xf numFmtId="0" fontId="55" fillId="12" borderId="78" xfId="1" applyFont="1" applyFill="1" applyBorder="1" applyAlignment="1">
      <alignment horizontal="center" vertical="center" wrapText="1"/>
    </xf>
    <xf numFmtId="0" fontId="55" fillId="12" borderId="68" xfId="1" applyFont="1" applyFill="1" applyBorder="1" applyAlignment="1">
      <alignment horizontal="center" vertical="center" wrapText="1"/>
    </xf>
    <xf numFmtId="1" fontId="67" fillId="12" borderId="85" xfId="2" applyNumberFormat="1" applyFont="1" applyFill="1" applyBorder="1" applyAlignment="1">
      <alignment horizontal="center"/>
    </xf>
    <xf numFmtId="1" fontId="67" fillId="12" borderId="86" xfId="2" applyNumberFormat="1" applyFont="1" applyFill="1" applyBorder="1" applyAlignment="1">
      <alignment horizontal="center"/>
    </xf>
    <xf numFmtId="1" fontId="67" fillId="12" borderId="87" xfId="2" applyNumberFormat="1" applyFont="1" applyFill="1" applyBorder="1" applyAlignment="1">
      <alignment horizontal="center"/>
    </xf>
    <xf numFmtId="0" fontId="59" fillId="12" borderId="69" xfId="1" applyFont="1" applyFill="1" applyBorder="1" applyAlignment="1">
      <alignment horizontal="center" vertical="center"/>
    </xf>
    <xf numFmtId="0" fontId="59" fillId="12" borderId="70" xfId="1" applyFont="1" applyFill="1" applyBorder="1" applyAlignment="1">
      <alignment horizontal="center" vertical="center"/>
    </xf>
    <xf numFmtId="0" fontId="59" fillId="12" borderId="88" xfId="1" applyFont="1" applyFill="1" applyBorder="1" applyAlignment="1">
      <alignment horizontal="center" vertical="center"/>
    </xf>
    <xf numFmtId="0" fontId="59" fillId="12" borderId="71" xfId="1" applyFont="1" applyFill="1" applyBorder="1" applyAlignment="1">
      <alignment horizontal="center" vertical="center"/>
    </xf>
    <xf numFmtId="0" fontId="59" fillId="12" borderId="72" xfId="1" applyFont="1" applyFill="1" applyBorder="1" applyAlignment="1">
      <alignment horizontal="center" vertical="center"/>
    </xf>
    <xf numFmtId="0" fontId="59" fillId="12" borderId="73" xfId="1" applyFont="1" applyFill="1" applyBorder="1" applyAlignment="1">
      <alignment horizontal="center" vertical="center"/>
    </xf>
    <xf numFmtId="0" fontId="62" fillId="12" borderId="80" xfId="1" applyFont="1" applyFill="1" applyBorder="1" applyAlignment="1">
      <alignment horizontal="left" vertical="center" wrapText="1"/>
    </xf>
    <xf numFmtId="0" fontId="62" fillId="12" borderId="81" xfId="1" applyFont="1" applyFill="1" applyBorder="1" applyAlignment="1">
      <alignment horizontal="left" vertical="center" wrapText="1"/>
    </xf>
    <xf numFmtId="0" fontId="59" fillId="12" borderId="78" xfId="1" applyFont="1" applyFill="1" applyBorder="1" applyAlignment="1">
      <alignment horizontal="center" vertical="center"/>
    </xf>
    <xf numFmtId="0" fontId="59" fillId="12" borderId="68" xfId="1" applyFont="1" applyFill="1" applyBorder="1" applyAlignment="1">
      <alignment horizontal="center" vertical="center"/>
    </xf>
    <xf numFmtId="1" fontId="67" fillId="12" borderId="82" xfId="2" applyNumberFormat="1" applyFont="1" applyFill="1" applyBorder="1" applyAlignment="1">
      <alignment horizontal="center"/>
    </xf>
    <xf numFmtId="1" fontId="67" fillId="12" borderId="83" xfId="2" applyNumberFormat="1" applyFont="1" applyFill="1" applyBorder="1" applyAlignment="1">
      <alignment horizontal="center"/>
    </xf>
    <xf numFmtId="1" fontId="2" fillId="0" borderId="5" xfId="0" applyNumberFormat="1" applyFont="1" applyBorder="1" applyAlignment="1">
      <alignment horizontal="center" vertical="center"/>
    </xf>
    <xf numFmtId="1" fontId="22" fillId="0" borderId="23" xfId="0" applyNumberFormat="1" applyFont="1" applyBorder="1" applyAlignment="1">
      <alignment horizontal="center"/>
    </xf>
    <xf numFmtId="1" fontId="22" fillId="0" borderId="44" xfId="0" applyNumberFormat="1" applyFont="1" applyBorder="1" applyAlignment="1">
      <alignment horizontal="center"/>
    </xf>
    <xf numFmtId="0" fontId="2" fillId="2" borderId="8" xfId="0" applyFont="1" applyFill="1" applyBorder="1" applyAlignment="1">
      <alignment horizontal="center" vertical="center" textRotation="90" wrapText="1"/>
    </xf>
    <xf numFmtId="0" fontId="2" fillId="2" borderId="9"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0" borderId="1" xfId="0" applyFont="1" applyBorder="1" applyAlignment="1">
      <alignment horizontal="center" vertical="center"/>
    </xf>
    <xf numFmtId="17" fontId="2" fillId="0" borderId="5" xfId="0" applyNumberFormat="1" applyFont="1" applyBorder="1" applyAlignment="1">
      <alignment horizontal="center" vertical="center"/>
    </xf>
    <xf numFmtId="0" fontId="37" fillId="2" borderId="10" xfId="0" applyFont="1" applyFill="1" applyBorder="1" applyAlignment="1">
      <alignment horizontal="center" vertical="center" wrapText="1"/>
    </xf>
    <xf numFmtId="1" fontId="2" fillId="3" borderId="9" xfId="0" applyNumberFormat="1" applyFont="1" applyFill="1" applyBorder="1" applyAlignment="1">
      <alignment horizontal="center" vertical="center" wrapText="1"/>
    </xf>
    <xf numFmtId="0" fontId="7" fillId="0" borderId="1" xfId="0" applyFont="1" applyBorder="1" applyAlignment="1">
      <alignment horizontal="center" vertical="center"/>
    </xf>
    <xf numFmtId="0" fontId="7" fillId="0" borderId="5" xfId="0" applyFont="1" applyBorder="1" applyAlignment="1">
      <alignment horizontal="center" vertical="center"/>
    </xf>
    <xf numFmtId="0" fontId="2" fillId="0" borderId="27" xfId="0" applyFont="1" applyBorder="1" applyAlignment="1">
      <alignment horizontal="center" vertical="center"/>
    </xf>
    <xf numFmtId="0" fontId="2" fillId="0" borderId="57" xfId="0" applyFont="1" applyBorder="1" applyAlignment="1">
      <alignment horizontal="center" vertical="center"/>
    </xf>
    <xf numFmtId="0" fontId="3" fillId="0" borderId="58" xfId="0" applyFont="1" applyBorder="1"/>
    <xf numFmtId="0" fontId="3" fillId="0" borderId="59" xfId="0" applyFont="1" applyBorder="1"/>
    <xf numFmtId="0" fontId="2" fillId="0" borderId="5" xfId="0" applyFont="1" applyBorder="1" applyAlignment="1">
      <alignment horizontal="center" vertical="center"/>
    </xf>
    <xf numFmtId="1" fontId="5" fillId="0" borderId="23" xfId="0" applyNumberFormat="1" applyFont="1" applyBorder="1" applyAlignment="1">
      <alignment horizontal="center"/>
    </xf>
    <xf numFmtId="1" fontId="5" fillId="0" borderId="44" xfId="0" applyNumberFormat="1" applyFont="1" applyBorder="1" applyAlignment="1">
      <alignment horizontal="center"/>
    </xf>
    <xf numFmtId="0" fontId="38" fillId="0" borderId="1" xfId="0" applyFont="1" applyBorder="1" applyAlignment="1">
      <alignment horizontal="center" vertical="center" wrapText="1"/>
    </xf>
    <xf numFmtId="0" fontId="28" fillId="0" borderId="5" xfId="0" applyFont="1" applyBorder="1" applyAlignment="1">
      <alignment horizontal="center" vertical="center" wrapText="1"/>
    </xf>
    <xf numFmtId="0" fontId="38" fillId="0" borderId="5" xfId="0" applyFont="1" applyBorder="1" applyAlignment="1">
      <alignment horizontal="center" vertical="center" wrapText="1"/>
    </xf>
    <xf numFmtId="1" fontId="13" fillId="0" borderId="23" xfId="0" applyNumberFormat="1" applyFont="1" applyBorder="1" applyAlignment="1">
      <alignment horizontal="center" wrapText="1"/>
    </xf>
    <xf numFmtId="1" fontId="13" fillId="0" borderId="44" xfId="0" applyNumberFormat="1" applyFont="1" applyBorder="1" applyAlignment="1">
      <alignment horizontal="center" wrapText="1"/>
    </xf>
    <xf numFmtId="0" fontId="46" fillId="0" borderId="1" xfId="0" applyFont="1" applyBorder="1" applyAlignment="1">
      <alignment horizontal="center"/>
    </xf>
    <xf numFmtId="3" fontId="49" fillId="0" borderId="10" xfId="0" applyNumberFormat="1" applyFont="1" applyBorder="1" applyAlignment="1">
      <alignment horizontal="center" vertical="center"/>
    </xf>
    <xf numFmtId="0" fontId="50" fillId="0" borderId="51" xfId="0" applyFont="1" applyBorder="1" applyAlignment="1">
      <alignment horizontal="center"/>
    </xf>
    <xf numFmtId="0" fontId="50" fillId="0" borderId="10" xfId="0" applyFont="1" applyBorder="1" applyAlignment="1">
      <alignment horizontal="center" vertical="center"/>
    </xf>
    <xf numFmtId="49" fontId="50" fillId="0" borderId="10" xfId="0" applyNumberFormat="1" applyFont="1" applyBorder="1" applyAlignment="1">
      <alignment horizontal="center" vertical="center" wrapText="1"/>
    </xf>
    <xf numFmtId="0" fontId="50" fillId="0" borderId="10" xfId="0" applyFont="1" applyBorder="1" applyAlignment="1">
      <alignment horizontal="center" vertical="center" wrapText="1"/>
    </xf>
  </cellXfs>
  <cellStyles count="3">
    <cellStyle name="Comma 2" xfId="2" xr:uid="{40C427D5-8451-495E-8AB7-19A296D28938}"/>
    <cellStyle name="Normal" xfId="0" builtinId="0"/>
    <cellStyle name="Normal 2" xfId="1" xr:uid="{FD22D629-56B2-46EB-8927-606B6BDFE022}"/>
  </cellStyles>
  <dxfs count="26">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bgColor theme="7" tint="0.39991454817346722"/>
        </patternFill>
      </fill>
    </dxf>
    <dxf>
      <font>
        <color rgb="FF9C0006"/>
      </font>
      <fill>
        <patternFill patternType="solid">
          <bgColor theme="7" tint="0.39991454817346722"/>
        </patternFill>
      </fill>
    </dxf>
    <dxf>
      <font>
        <color rgb="FF9C0006"/>
      </font>
      <fill>
        <patternFill patternType="solid">
          <bgColor theme="7" tint="0.39991454817346722"/>
        </patternFill>
      </fill>
    </dxf>
    <dxf>
      <font>
        <color rgb="FF9C0006"/>
      </font>
      <fill>
        <patternFill patternType="solid">
          <bgColor theme="7" tint="0.39991454817346722"/>
        </patternFill>
      </fill>
    </dxf>
    <dxf>
      <font>
        <color rgb="FF9C0006"/>
      </font>
      <fill>
        <patternFill patternType="solid">
          <bgColor theme="7" tint="0.39991454817346722"/>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
      <font>
        <color rgb="FF9C0006"/>
      </font>
      <fill>
        <patternFill patternType="solid">
          <fgColor rgb="FFFFD965"/>
          <bgColor rgb="FFFFD9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Q99"/>
  <sheetViews>
    <sheetView view="pageBreakPreview" zoomScale="85" zoomScaleNormal="85" zoomScaleSheetLayoutView="85" workbookViewId="0">
      <pane ySplit="4" topLeftCell="A5" activePane="bottomLeft" state="frozen"/>
      <selection pane="bottomLeft" activeCell="C20" sqref="C20"/>
    </sheetView>
  </sheetViews>
  <sheetFormatPr defaultColWidth="16.81640625" defaultRowHeight="15" customHeight="1"/>
  <cols>
    <col min="1" max="1" width="8.1796875" customWidth="1"/>
    <col min="2" max="2" width="25.453125" customWidth="1"/>
    <col min="3" max="5" width="18.453125" customWidth="1"/>
    <col min="6" max="6" width="15.7265625" customWidth="1"/>
    <col min="7" max="7" width="11" hidden="1" customWidth="1"/>
    <col min="8" max="8" width="12.1796875" customWidth="1"/>
    <col min="9" max="9" width="16" customWidth="1"/>
    <col min="10" max="10" width="10.7265625" customWidth="1"/>
    <col min="11" max="11" width="9.26953125" customWidth="1"/>
    <col min="12" max="12" width="13.81640625" customWidth="1"/>
    <col min="13" max="13" width="11" customWidth="1"/>
    <col min="14" max="14" width="15.7265625" customWidth="1"/>
    <col min="15" max="15" width="18.453125" customWidth="1"/>
    <col min="16" max="16" width="6.26953125" customWidth="1"/>
    <col min="17" max="17" width="15.7265625" customWidth="1"/>
  </cols>
  <sheetData>
    <row r="1" spans="1:17" ht="20.25" customHeight="1">
      <c r="A1" s="633" t="s">
        <v>0</v>
      </c>
      <c r="B1" s="634"/>
      <c r="C1" s="634"/>
      <c r="D1" s="634"/>
      <c r="E1" s="634"/>
      <c r="F1" s="634"/>
      <c r="G1" s="634"/>
      <c r="H1" s="634"/>
      <c r="I1" s="634"/>
      <c r="J1" s="634"/>
      <c r="K1" s="634"/>
      <c r="L1" s="634"/>
      <c r="M1" s="634"/>
      <c r="N1" s="634"/>
      <c r="O1" s="635"/>
      <c r="P1" s="1"/>
      <c r="Q1" s="2"/>
    </row>
    <row r="2" spans="1:17" ht="20.25" customHeight="1">
      <c r="A2" s="636" t="s">
        <v>568</v>
      </c>
      <c r="B2" s="637"/>
      <c r="C2" s="637"/>
      <c r="D2" s="637"/>
      <c r="E2" s="637"/>
      <c r="F2" s="637"/>
      <c r="G2" s="637"/>
      <c r="H2" s="637"/>
      <c r="I2" s="637"/>
      <c r="J2" s="637"/>
      <c r="K2" s="637"/>
      <c r="L2" s="637"/>
      <c r="M2" s="637"/>
      <c r="N2" s="637"/>
      <c r="O2" s="638"/>
      <c r="P2" s="1"/>
      <c r="Q2" s="2"/>
    </row>
    <row r="3" spans="1:17" ht="20.25" customHeight="1">
      <c r="A3" s="619" t="s">
        <v>1</v>
      </c>
      <c r="B3" s="621" t="s">
        <v>2</v>
      </c>
      <c r="C3" s="621" t="s">
        <v>3</v>
      </c>
      <c r="D3" s="623" t="s">
        <v>4</v>
      </c>
      <c r="E3" s="621" t="s">
        <v>5</v>
      </c>
      <c r="F3" s="631" t="s">
        <v>6</v>
      </c>
      <c r="G3" s="637"/>
      <c r="H3" s="637"/>
      <c r="I3" s="637"/>
      <c r="J3" s="637"/>
      <c r="K3" s="628"/>
      <c r="L3" s="621" t="s">
        <v>7</v>
      </c>
      <c r="M3" s="631" t="s">
        <v>8</v>
      </c>
      <c r="N3" s="628"/>
      <c r="O3" s="629" t="s">
        <v>9</v>
      </c>
      <c r="P3" s="1"/>
      <c r="Q3" s="2"/>
    </row>
    <row r="4" spans="1:17" ht="94.5" customHeight="1">
      <c r="A4" s="620"/>
      <c r="B4" s="622"/>
      <c r="C4" s="622"/>
      <c r="D4" s="622"/>
      <c r="E4" s="622"/>
      <c r="F4" s="3" t="s">
        <v>10</v>
      </c>
      <c r="G4" s="3" t="s">
        <v>11</v>
      </c>
      <c r="H4" s="3" t="s">
        <v>12</v>
      </c>
      <c r="I4" s="3" t="s">
        <v>13</v>
      </c>
      <c r="J4" s="3" t="s">
        <v>14</v>
      </c>
      <c r="K4" s="3" t="s">
        <v>15</v>
      </c>
      <c r="L4" s="622"/>
      <c r="M4" s="4" t="s">
        <v>16</v>
      </c>
      <c r="N4" s="4" t="s">
        <v>17</v>
      </c>
      <c r="O4" s="630"/>
      <c r="P4" s="1"/>
      <c r="Q4" s="2"/>
    </row>
    <row r="5" spans="1:17" ht="30" customHeight="1">
      <c r="A5" s="5">
        <v>1</v>
      </c>
      <c r="B5" s="4" t="s">
        <v>18</v>
      </c>
      <c r="C5" s="6" t="e">
        <f>Academics!#REF!</f>
        <v>#REF!</v>
      </c>
      <c r="D5" s="7">
        <f>Academics!V7+Academics!X7</f>
        <v>172000</v>
      </c>
      <c r="E5" s="8" t="e">
        <f t="shared" ref="E5:E17" si="0">D5/C5</f>
        <v>#REF!</v>
      </c>
      <c r="F5" s="8">
        <f>Academics!AB7</f>
        <v>0</v>
      </c>
      <c r="G5" s="8">
        <f>Academics!AD7</f>
        <v>0</v>
      </c>
      <c r="H5" s="8">
        <f>Academics!AE7</f>
        <v>12500</v>
      </c>
      <c r="I5" s="8">
        <f>Academics!AF7</f>
        <v>13799</v>
      </c>
      <c r="J5" s="8">
        <f>Academics!AG7</f>
        <v>1800</v>
      </c>
      <c r="K5" s="8">
        <f>Academics!AH7</f>
        <v>0</v>
      </c>
      <c r="L5" s="7">
        <f>Academics!AJ7</f>
        <v>102700</v>
      </c>
      <c r="M5" s="7">
        <f>Academics!AK7</f>
        <v>1951.5</v>
      </c>
      <c r="N5" s="8">
        <f>Academics!AL7</f>
        <v>0</v>
      </c>
      <c r="O5" s="9">
        <f t="shared" ref="O5:O19" si="1">D5+M5+N5</f>
        <v>173951.5</v>
      </c>
      <c r="P5" s="1"/>
      <c r="Q5" s="10"/>
    </row>
    <row r="6" spans="1:17" ht="30" customHeight="1">
      <c r="A6" s="5">
        <v>2</v>
      </c>
      <c r="B6" s="4" t="s">
        <v>19</v>
      </c>
      <c r="C6" s="6" t="e">
        <f>Admin!#REF!</f>
        <v>#REF!</v>
      </c>
      <c r="D6" s="7">
        <f>Admin!V7+Admin!X7</f>
        <v>125000</v>
      </c>
      <c r="E6" s="8" t="e">
        <f t="shared" si="0"/>
        <v>#REF!</v>
      </c>
      <c r="F6" s="8">
        <f>Admin!AB7</f>
        <v>0</v>
      </c>
      <c r="G6" s="8">
        <f>Admin!AD7</f>
        <v>0</v>
      </c>
      <c r="H6" s="8">
        <f>Admin!AE7</f>
        <v>10000</v>
      </c>
      <c r="I6" s="8">
        <f>Admin!AF7</f>
        <v>21000</v>
      </c>
      <c r="J6" s="8">
        <f>Admin!AG7</f>
        <v>1800</v>
      </c>
      <c r="K6" s="8">
        <f>Admin!AH7</f>
        <v>0</v>
      </c>
      <c r="L6" s="7">
        <f>Admin!AJ7</f>
        <v>92200</v>
      </c>
      <c r="M6" s="7">
        <f>Admin!AK7</f>
        <v>1951.5</v>
      </c>
      <c r="N6" s="8">
        <f>Admin!AL7</f>
        <v>0</v>
      </c>
      <c r="O6" s="9">
        <f t="shared" si="1"/>
        <v>126951.5</v>
      </c>
      <c r="P6" s="1"/>
      <c r="Q6" s="10"/>
    </row>
    <row r="7" spans="1:17" ht="30" customHeight="1">
      <c r="A7" s="5">
        <v>3</v>
      </c>
      <c r="B7" s="4" t="s">
        <v>20</v>
      </c>
      <c r="C7" s="6" t="e">
        <f>'Relieved Admin'!#REF!</f>
        <v>#REF!</v>
      </c>
      <c r="D7" s="7">
        <f>Drivers!V7</f>
        <v>46400</v>
      </c>
      <c r="E7" s="8" t="e">
        <f t="shared" si="0"/>
        <v>#REF!</v>
      </c>
      <c r="F7" s="8">
        <f>Drivers!AB7</f>
        <v>0</v>
      </c>
      <c r="G7" s="8">
        <f>Drivers!AD7</f>
        <v>0</v>
      </c>
      <c r="H7" s="8">
        <f>Drivers!AE7</f>
        <v>0</v>
      </c>
      <c r="I7" s="8">
        <f>Drivers!AF7</f>
        <v>2500</v>
      </c>
      <c r="J7" s="8">
        <f>Drivers!AG7</f>
        <v>2506</v>
      </c>
      <c r="K7" s="8">
        <f>Drivers!AH7</f>
        <v>172</v>
      </c>
      <c r="L7" s="7">
        <f>Drivers!AJ7</f>
        <v>41222</v>
      </c>
      <c r="M7" s="7">
        <f>Drivers!AK7</f>
        <v>2717</v>
      </c>
      <c r="N7" s="8">
        <f>Drivers!AL7</f>
        <v>745</v>
      </c>
      <c r="O7" s="9">
        <f t="shared" si="1"/>
        <v>49862</v>
      </c>
      <c r="P7" s="1"/>
      <c r="Q7" s="10"/>
    </row>
    <row r="8" spans="1:17" ht="30" customHeight="1">
      <c r="A8" s="5">
        <v>4</v>
      </c>
      <c r="B8" s="4" t="s">
        <v>21</v>
      </c>
      <c r="C8" s="6" t="e">
        <f>+Conductors!#REF!</f>
        <v>#REF!</v>
      </c>
      <c r="D8" s="7">
        <f>Conductors!W7+Conductors!X7</f>
        <v>22300</v>
      </c>
      <c r="E8" s="8" t="e">
        <f t="shared" si="0"/>
        <v>#REF!</v>
      </c>
      <c r="F8" s="8">
        <f>Conductors!AB7</f>
        <v>0</v>
      </c>
      <c r="G8" s="8">
        <f>Conductors!AD7</f>
        <v>0</v>
      </c>
      <c r="H8" s="8">
        <f>Conductors!AE7</f>
        <v>0</v>
      </c>
      <c r="I8" s="8">
        <f>Conductors!AF7</f>
        <v>0</v>
      </c>
      <c r="J8" s="8">
        <f>Conductors!AG7</f>
        <v>697</v>
      </c>
      <c r="K8" s="8">
        <f>Conductors!AH7</f>
        <v>97</v>
      </c>
      <c r="L8" s="7">
        <f>Conductors!AJ7</f>
        <v>21506</v>
      </c>
      <c r="M8" s="7">
        <f>Conductors!AK7</f>
        <v>756</v>
      </c>
      <c r="N8" s="8">
        <f>Conductors!AL7</f>
        <v>420</v>
      </c>
      <c r="O8" s="9">
        <f t="shared" si="1"/>
        <v>23476</v>
      </c>
      <c r="P8" s="1"/>
      <c r="Q8" s="10"/>
    </row>
    <row r="9" spans="1:17" ht="30" customHeight="1">
      <c r="A9" s="5">
        <v>5</v>
      </c>
      <c r="B9" s="4" t="s">
        <v>22</v>
      </c>
      <c r="C9" s="6" t="e">
        <f>Securities!#REF!</f>
        <v>#REF!</v>
      </c>
      <c r="D9" s="7">
        <f>Securities!V7+Securities!X7</f>
        <v>44300</v>
      </c>
      <c r="E9" s="8" t="e">
        <f t="shared" si="0"/>
        <v>#REF!</v>
      </c>
      <c r="F9" s="8">
        <f>Securities!AB7</f>
        <v>416.66666666666669</v>
      </c>
      <c r="G9" s="8">
        <f>Securities!AD7</f>
        <v>0</v>
      </c>
      <c r="H9" s="8">
        <f>Securities!AE7</f>
        <v>10000</v>
      </c>
      <c r="I9" s="8">
        <f>Securities!AF7</f>
        <v>0</v>
      </c>
      <c r="J9" s="8">
        <f>Securities!AG7</f>
        <v>0</v>
      </c>
      <c r="K9" s="8">
        <f>Securities!AH7</f>
        <v>0</v>
      </c>
      <c r="L9" s="7">
        <f>Securities!AJ7</f>
        <v>33883</v>
      </c>
      <c r="M9" s="7">
        <f>Securities!AK7</f>
        <v>0</v>
      </c>
      <c r="N9" s="8">
        <f>Securities!AL7</f>
        <v>0</v>
      </c>
      <c r="O9" s="9">
        <f t="shared" si="1"/>
        <v>44300</v>
      </c>
      <c r="P9" s="1"/>
      <c r="Q9" s="10"/>
    </row>
    <row r="10" spans="1:17" ht="30" customHeight="1">
      <c r="A10" s="5">
        <v>6</v>
      </c>
      <c r="B10" s="4" t="s">
        <v>23</v>
      </c>
      <c r="C10" s="6" t="e">
        <f>+'House Keeping'!#REF!</f>
        <v>#REF!</v>
      </c>
      <c r="D10" s="7">
        <f>'House Keeping'!V7</f>
        <v>27800</v>
      </c>
      <c r="E10" s="8" t="e">
        <f t="shared" si="0"/>
        <v>#REF!</v>
      </c>
      <c r="F10" s="8">
        <f>'House Keeping'!AB7</f>
        <v>0</v>
      </c>
      <c r="G10" s="8">
        <f>'House Keeping'!AD7</f>
        <v>0</v>
      </c>
      <c r="H10" s="8">
        <f>'House Keeping'!AE7</f>
        <v>2000</v>
      </c>
      <c r="I10" s="8">
        <f>'House Keeping'!AF7</f>
        <v>0</v>
      </c>
      <c r="J10" s="8">
        <f>'House Keeping'!AG7</f>
        <v>1502</v>
      </c>
      <c r="K10" s="8">
        <f>'House Keeping'!AH7</f>
        <v>210</v>
      </c>
      <c r="L10" s="7">
        <f>'House Keeping'!AJ7</f>
        <v>24088</v>
      </c>
      <c r="M10" s="7">
        <f>'House Keeping'!AK7</f>
        <v>1629</v>
      </c>
      <c r="N10" s="8">
        <f>'House Keeping'!AL7</f>
        <v>904</v>
      </c>
      <c r="O10" s="9">
        <f t="shared" si="1"/>
        <v>30333</v>
      </c>
      <c r="P10" s="1"/>
      <c r="Q10" s="10"/>
    </row>
    <row r="11" spans="1:17" ht="30" customHeight="1">
      <c r="A11" s="5">
        <v>7</v>
      </c>
      <c r="B11" s="4" t="s">
        <v>24</v>
      </c>
      <c r="C11" s="6">
        <f>Hostel!A7</f>
        <v>3</v>
      </c>
      <c r="D11" s="7">
        <f>Hostel!V8</f>
        <v>40500</v>
      </c>
      <c r="E11" s="8">
        <f t="shared" si="0"/>
        <v>13500</v>
      </c>
      <c r="F11" s="8">
        <f>Hostel!AB8</f>
        <v>0</v>
      </c>
      <c r="G11" s="8">
        <f>Hostel!AD8</f>
        <v>0</v>
      </c>
      <c r="H11" s="8">
        <f>Hostel!AE8</f>
        <v>0</v>
      </c>
      <c r="I11" s="8">
        <f>Hostel!AF8</f>
        <v>0</v>
      </c>
      <c r="J11" s="8">
        <f>Hostel!AG8</f>
        <v>0</v>
      </c>
      <c r="K11" s="8">
        <f>Hostel!AH8</f>
        <v>0</v>
      </c>
      <c r="L11" s="7">
        <f>Hostel!AJ8</f>
        <v>40500</v>
      </c>
      <c r="M11" s="7">
        <f>Hostel!AK8</f>
        <v>0</v>
      </c>
      <c r="N11" s="8">
        <f>Hostel!AL8</f>
        <v>0</v>
      </c>
      <c r="O11" s="9">
        <f t="shared" si="1"/>
        <v>40500</v>
      </c>
      <c r="P11" s="1"/>
      <c r="Q11" s="10"/>
    </row>
    <row r="12" spans="1:17" ht="30" customHeight="1">
      <c r="A12" s="5">
        <v>8</v>
      </c>
      <c r="B12" s="4" t="s">
        <v>552</v>
      </c>
      <c r="C12" s="6">
        <f>+'ECA '!A18</f>
        <v>14</v>
      </c>
      <c r="D12" s="7">
        <f>+'ECA '!D19</f>
        <v>221000</v>
      </c>
      <c r="E12" s="8">
        <f t="shared" si="0"/>
        <v>15785.714285714286</v>
      </c>
      <c r="F12" s="8">
        <f>+'ECA '!K19</f>
        <v>4449.5967741935483</v>
      </c>
      <c r="G12" s="8">
        <v>0</v>
      </c>
      <c r="H12" s="8">
        <f>+'ECA '!J19</f>
        <v>0</v>
      </c>
      <c r="I12" s="8">
        <f>+'ECA '!H19</f>
        <v>0</v>
      </c>
      <c r="J12" s="8">
        <v>0</v>
      </c>
      <c r="K12" s="8">
        <v>0</v>
      </c>
      <c r="L12" s="7">
        <f>+'ECA '!M19</f>
        <v>216551</v>
      </c>
      <c r="M12" s="7">
        <v>0</v>
      </c>
      <c r="N12" s="8">
        <v>0</v>
      </c>
      <c r="O12" s="9">
        <f t="shared" si="1"/>
        <v>221000</v>
      </c>
      <c r="P12" s="1"/>
      <c r="Q12" s="10"/>
    </row>
    <row r="13" spans="1:17" ht="30" customHeight="1">
      <c r="A13" s="5">
        <v>9</v>
      </c>
      <c r="B13" s="4" t="s">
        <v>25</v>
      </c>
      <c r="C13" s="6">
        <f>+'Part time academic'!A12</f>
        <v>11</v>
      </c>
      <c r="D13" s="7">
        <f>+'Part time academic'!D14</f>
        <v>286558.66666666669</v>
      </c>
      <c r="E13" s="8">
        <f t="shared" si="0"/>
        <v>26050.78787878788</v>
      </c>
      <c r="F13" s="8">
        <f>+'Part time academic'!I14</f>
        <v>666.66666666666663</v>
      </c>
      <c r="G13" s="8">
        <v>0</v>
      </c>
      <c r="H13" s="8">
        <v>0</v>
      </c>
      <c r="I13" s="8">
        <f>+'Part time academic'!H14</f>
        <v>0</v>
      </c>
      <c r="J13" s="8">
        <v>0</v>
      </c>
      <c r="K13" s="8">
        <v>0</v>
      </c>
      <c r="L13" s="7">
        <f>+'Part time academic'!J14</f>
        <v>279225</v>
      </c>
      <c r="M13" s="7">
        <v>0</v>
      </c>
      <c r="N13" s="8">
        <v>0</v>
      </c>
      <c r="O13" s="9">
        <f t="shared" si="1"/>
        <v>286558.66666666669</v>
      </c>
      <c r="P13" s="1"/>
      <c r="Q13" s="10"/>
    </row>
    <row r="14" spans="1:17" ht="30" customHeight="1">
      <c r="A14" s="5">
        <v>10</v>
      </c>
      <c r="B14" s="3" t="s">
        <v>26</v>
      </c>
      <c r="C14" s="11" t="e">
        <f>+'Theni - Upparpatti'!#REF!</f>
        <v>#REF!</v>
      </c>
      <c r="D14" s="12">
        <f>'Theni - Upparpatti'!V7</f>
        <v>20000</v>
      </c>
      <c r="E14" s="8" t="e">
        <f t="shared" si="0"/>
        <v>#REF!</v>
      </c>
      <c r="F14" s="13">
        <f>'Theni - Upparpatti'!AB7</f>
        <v>0</v>
      </c>
      <c r="G14" s="13">
        <f>'Theni - Upparpatti'!AD7</f>
        <v>0</v>
      </c>
      <c r="H14" s="13">
        <f>'Theni - Upparpatti'!AE7</f>
        <v>0</v>
      </c>
      <c r="I14" s="13">
        <f>'Theni - Upparpatti'!AF7</f>
        <v>0</v>
      </c>
      <c r="J14" s="13">
        <f>'Theni - Upparpatti'!AG7</f>
        <v>0</v>
      </c>
      <c r="K14" s="13">
        <f>'Theni - Upparpatti'!AH7</f>
        <v>0</v>
      </c>
      <c r="L14" s="12">
        <f>'Theni - Upparpatti'!AJ7</f>
        <v>20000</v>
      </c>
      <c r="M14" s="12">
        <f>'Theni - Upparpatti'!AK7</f>
        <v>0</v>
      </c>
      <c r="N14" s="13">
        <f>'Theni - Upparpatti'!AL7</f>
        <v>0</v>
      </c>
      <c r="O14" s="9">
        <f t="shared" si="1"/>
        <v>20000</v>
      </c>
      <c r="P14" s="1"/>
      <c r="Q14" s="10"/>
    </row>
    <row r="15" spans="1:17" ht="30" customHeight="1">
      <c r="A15" s="5">
        <v>11</v>
      </c>
      <c r="B15" s="3" t="s">
        <v>27</v>
      </c>
      <c r="C15" s="11" t="e">
        <f>+AEP!#REF!</f>
        <v>#REF!</v>
      </c>
      <c r="D15" s="12">
        <f>+AEP!D6</f>
        <v>0</v>
      </c>
      <c r="E15" s="8" t="e">
        <f t="shared" si="0"/>
        <v>#REF!</v>
      </c>
      <c r="F15" s="13">
        <f>AEP!G6</f>
        <v>0</v>
      </c>
      <c r="G15" s="13"/>
      <c r="H15" s="13"/>
      <c r="I15" s="13">
        <f>AEP!F6</f>
        <v>0</v>
      </c>
      <c r="J15" s="13"/>
      <c r="K15" s="13"/>
      <c r="L15" s="13">
        <f>AEP!I6</f>
        <v>0</v>
      </c>
      <c r="M15" s="12"/>
      <c r="N15" s="13"/>
      <c r="O15" s="9">
        <f t="shared" si="1"/>
        <v>0</v>
      </c>
      <c r="P15" s="1"/>
      <c r="Q15" s="10"/>
    </row>
    <row r="16" spans="1:17" ht="30" customHeight="1">
      <c r="A16" s="5">
        <v>12</v>
      </c>
      <c r="B16" s="3" t="s">
        <v>28</v>
      </c>
      <c r="C16" s="11">
        <f>Rifle!A4</f>
        <v>1</v>
      </c>
      <c r="D16" s="12">
        <f>Rifle!D5</f>
        <v>66000</v>
      </c>
      <c r="E16" s="8">
        <f t="shared" si="0"/>
        <v>66000</v>
      </c>
      <c r="F16" s="13">
        <f>Rifle!J5</f>
        <v>0</v>
      </c>
      <c r="G16" s="13"/>
      <c r="H16" s="13">
        <f>Rifle!H5</f>
        <v>0</v>
      </c>
      <c r="I16" s="13">
        <f>Rifle!F5</f>
        <v>0</v>
      </c>
      <c r="J16" s="13"/>
      <c r="K16" s="13"/>
      <c r="L16" s="12">
        <f>Rifle!L5</f>
        <v>66000</v>
      </c>
      <c r="M16" s="12"/>
      <c r="N16" s="13"/>
      <c r="O16" s="9">
        <f t="shared" si="1"/>
        <v>66000</v>
      </c>
      <c r="P16" s="1"/>
      <c r="Q16" s="10"/>
    </row>
    <row r="17" spans="1:17" ht="30" customHeight="1">
      <c r="A17" s="5">
        <v>13</v>
      </c>
      <c r="B17" s="3" t="s">
        <v>29</v>
      </c>
      <c r="C17" s="11">
        <f>'Part Time - Admin'!A5</f>
        <v>2</v>
      </c>
      <c r="D17" s="12">
        <f>'Part Time - Admin'!D6</f>
        <v>35000</v>
      </c>
      <c r="E17" s="8">
        <f t="shared" si="0"/>
        <v>17500</v>
      </c>
      <c r="F17" s="13">
        <f>'Part Time - Admin'!L6</f>
        <v>0</v>
      </c>
      <c r="G17" s="13"/>
      <c r="H17" s="13">
        <v>0</v>
      </c>
      <c r="I17" s="13">
        <f>'Part Time - Admin'!K6</f>
        <v>0</v>
      </c>
      <c r="J17" s="13"/>
      <c r="K17" s="13"/>
      <c r="L17" s="12">
        <f>'Part Time - Admin'!N6</f>
        <v>35000</v>
      </c>
      <c r="M17" s="12"/>
      <c r="N17" s="13"/>
      <c r="O17" s="9">
        <f t="shared" si="1"/>
        <v>35000</v>
      </c>
      <c r="P17" s="1"/>
      <c r="Q17" s="10"/>
    </row>
    <row r="18" spans="1:17" ht="30" customHeight="1">
      <c r="A18" s="5">
        <v>14</v>
      </c>
      <c r="B18" s="3" t="s">
        <v>30</v>
      </c>
      <c r="C18" s="11">
        <f>'Relieved Academics'!A6</f>
        <v>2</v>
      </c>
      <c r="D18" s="12">
        <f>'Relieved Academics'!V7</f>
        <v>90000</v>
      </c>
      <c r="E18" s="8">
        <v>0</v>
      </c>
      <c r="F18" s="13">
        <f>'Relieved Academics'!AB7</f>
        <v>3000</v>
      </c>
      <c r="G18" s="13">
        <f>'Relieved Academics'!AD7</f>
        <v>0</v>
      </c>
      <c r="H18" s="13">
        <f>'Relieved Academics'!AE7</f>
        <v>0</v>
      </c>
      <c r="I18" s="13">
        <f>'Relieved Academics'!AF7</f>
        <v>4172</v>
      </c>
      <c r="J18" s="13">
        <f>'Relieved Academics'!AG7</f>
        <v>0</v>
      </c>
      <c r="K18" s="13">
        <f>'Relieved Academics'!AH7</f>
        <v>0</v>
      </c>
      <c r="L18" s="12">
        <f>'Relieved Academics'!AJ8</f>
        <v>46828</v>
      </c>
      <c r="M18" s="12">
        <f>'Relieved Academics'!AK7</f>
        <v>0</v>
      </c>
      <c r="N18" s="13">
        <f>'Relieved Academics'!AL7</f>
        <v>0</v>
      </c>
      <c r="O18" s="9">
        <f t="shared" si="1"/>
        <v>90000</v>
      </c>
      <c r="P18" s="1"/>
      <c r="Q18" s="10"/>
    </row>
    <row r="19" spans="1:17" ht="30" customHeight="1">
      <c r="A19" s="5">
        <v>15</v>
      </c>
      <c r="B19" s="3" t="s">
        <v>31</v>
      </c>
      <c r="C19" s="11" t="e">
        <f>'Relieved Admin'!#REF!</f>
        <v>#REF!</v>
      </c>
      <c r="D19" s="12">
        <f>'Relieved Admin'!V7</f>
        <v>34000</v>
      </c>
      <c r="E19" s="8">
        <v>0</v>
      </c>
      <c r="F19" s="13">
        <f>'Relieved Admin'!AB7</f>
        <v>0</v>
      </c>
      <c r="G19" s="13">
        <f>'Relieved Admin'!E7</f>
        <v>0</v>
      </c>
      <c r="H19" s="13">
        <f>'Relieved Admin'!AE7</f>
        <v>0</v>
      </c>
      <c r="I19" s="13">
        <f>'Relieved Admin'!AF7</f>
        <v>0</v>
      </c>
      <c r="J19" s="13">
        <f>'Relieved Admin'!AG7</f>
        <v>0</v>
      </c>
      <c r="K19" s="13">
        <f>'Relieved Admin'!AH7</f>
        <v>0</v>
      </c>
      <c r="L19" s="12">
        <f>'Relieved Admin'!AJ8</f>
        <v>9467</v>
      </c>
      <c r="M19" s="12">
        <f>'Relieved Admin'!AK7</f>
        <v>0</v>
      </c>
      <c r="N19" s="12">
        <f>'Relieved Admin'!AL7</f>
        <v>0</v>
      </c>
      <c r="O19" s="9">
        <f t="shared" si="1"/>
        <v>34000</v>
      </c>
      <c r="P19" s="1"/>
      <c r="Q19" s="10"/>
    </row>
    <row r="20" spans="1:17" ht="30" customHeight="1">
      <c r="A20" s="627" t="s">
        <v>32</v>
      </c>
      <c r="B20" s="628"/>
      <c r="C20" s="14" t="e">
        <f>+C5+C6+C7+C8+C9+C10+2+12+12+3+1+2</f>
        <v>#REF!</v>
      </c>
      <c r="D20" s="15">
        <f t="shared" ref="D20:O20" si="2">SUM(D5:D19)</f>
        <v>1230858.6666666667</v>
      </c>
      <c r="E20" s="15" t="e">
        <f t="shared" si="2"/>
        <v>#REF!</v>
      </c>
      <c r="F20" s="15">
        <f>SUM(F5:F19)</f>
        <v>8532.9301075268813</v>
      </c>
      <c r="G20" s="15">
        <f t="shared" si="2"/>
        <v>0</v>
      </c>
      <c r="H20" s="15">
        <f t="shared" si="2"/>
        <v>34500</v>
      </c>
      <c r="I20" s="15">
        <f t="shared" si="2"/>
        <v>41471</v>
      </c>
      <c r="J20" s="15">
        <f t="shared" si="2"/>
        <v>8305</v>
      </c>
      <c r="K20" s="15">
        <f t="shared" si="2"/>
        <v>479</v>
      </c>
      <c r="L20" s="15">
        <f t="shared" si="2"/>
        <v>1029170</v>
      </c>
      <c r="M20" s="15">
        <f t="shared" si="2"/>
        <v>9005</v>
      </c>
      <c r="N20" s="15">
        <f t="shared" si="2"/>
        <v>2069</v>
      </c>
      <c r="O20" s="16">
        <f t="shared" si="2"/>
        <v>1241932.6666666667</v>
      </c>
      <c r="P20" s="17"/>
      <c r="Q20" s="18"/>
    </row>
    <row r="21" spans="1:17" ht="30" customHeight="1">
      <c r="A21" s="19"/>
      <c r="B21" s="20"/>
      <c r="C21" s="20"/>
      <c r="D21" s="20"/>
      <c r="E21" s="20"/>
      <c r="F21" s="21"/>
      <c r="G21" s="22"/>
      <c r="H21" s="23"/>
      <c r="I21" s="23"/>
      <c r="J21" s="22"/>
      <c r="K21" s="22"/>
      <c r="L21" s="20"/>
      <c r="M21" s="20"/>
      <c r="N21" s="20"/>
      <c r="O21" s="24"/>
      <c r="P21" s="2"/>
      <c r="Q21" s="10"/>
    </row>
    <row r="22" spans="1:17" ht="30" customHeight="1">
      <c r="A22" s="639" t="s">
        <v>33</v>
      </c>
      <c r="B22" s="640"/>
      <c r="C22" s="640"/>
      <c r="D22" s="640"/>
      <c r="E22" s="640"/>
      <c r="F22" s="640"/>
      <c r="G22" s="640"/>
      <c r="H22" s="640"/>
      <c r="I22" s="640"/>
      <c r="J22" s="640"/>
      <c r="K22" s="640"/>
      <c r="L22" s="640"/>
      <c r="M22" s="640"/>
      <c r="N22" s="641"/>
      <c r="O22" s="25">
        <f>J20+K20+L20+M20+N20</f>
        <v>1049028</v>
      </c>
      <c r="P22" s="2"/>
      <c r="Q22" s="2"/>
    </row>
    <row r="23" spans="1:17" ht="75" customHeight="1">
      <c r="A23" s="632" t="s">
        <v>34</v>
      </c>
      <c r="B23" s="626"/>
      <c r="C23" s="624" t="s">
        <v>35</v>
      </c>
      <c r="D23" s="626"/>
      <c r="E23" s="26"/>
      <c r="F23" s="624" t="s">
        <v>36</v>
      </c>
      <c r="G23" s="625"/>
      <c r="H23" s="626"/>
      <c r="I23" s="27"/>
      <c r="J23" s="27" t="s">
        <v>37</v>
      </c>
      <c r="K23" s="27"/>
      <c r="L23" s="28"/>
      <c r="M23" s="28"/>
      <c r="N23" s="617" t="s">
        <v>38</v>
      </c>
      <c r="O23" s="618"/>
      <c r="P23" s="29"/>
      <c r="Q23" s="30"/>
    </row>
    <row r="24" spans="1:17" ht="78" customHeight="1">
      <c r="A24" s="2"/>
      <c r="B24" s="2"/>
      <c r="C24" s="2"/>
      <c r="D24" s="10"/>
      <c r="E24" s="2"/>
      <c r="F24" s="31"/>
      <c r="G24" s="31"/>
      <c r="H24" s="31"/>
      <c r="I24" s="31"/>
      <c r="J24" s="31"/>
      <c r="K24" s="31"/>
      <c r="L24" s="2"/>
      <c r="M24" s="2"/>
      <c r="N24" s="2"/>
      <c r="O24" s="2"/>
      <c r="P24" s="2"/>
      <c r="Q24" s="2"/>
    </row>
    <row r="25" spans="1:17" ht="20.25" customHeight="1">
      <c r="A25" s="2"/>
      <c r="B25" s="2"/>
      <c r="C25" s="2"/>
      <c r="D25" s="10"/>
      <c r="E25" s="2"/>
      <c r="F25" s="32"/>
      <c r="G25" s="32"/>
      <c r="H25" s="32"/>
      <c r="I25" s="32"/>
      <c r="J25" s="32"/>
      <c r="K25" s="32"/>
      <c r="L25" s="2"/>
      <c r="M25" s="2"/>
      <c r="N25" s="2"/>
      <c r="O25" s="2"/>
      <c r="P25" s="2"/>
      <c r="Q25" s="2"/>
    </row>
    <row r="26" spans="1:17" ht="20.25" customHeight="1">
      <c r="A26" s="2"/>
      <c r="B26" s="2"/>
      <c r="C26" s="2"/>
      <c r="D26" s="10"/>
      <c r="E26" s="2"/>
      <c r="F26" s="31"/>
      <c r="G26" s="31"/>
      <c r="H26" s="31"/>
      <c r="I26" s="31"/>
      <c r="J26" s="31"/>
      <c r="K26" s="31"/>
      <c r="L26" s="2"/>
      <c r="M26" s="2"/>
      <c r="N26" s="2"/>
      <c r="O26" s="2"/>
      <c r="P26" s="2"/>
      <c r="Q26" s="2"/>
    </row>
    <row r="27" spans="1:17" ht="20.25" customHeight="1">
      <c r="A27" s="2"/>
      <c r="B27" s="2"/>
      <c r="C27" s="2"/>
      <c r="D27" s="10"/>
      <c r="E27" s="2"/>
      <c r="F27" s="31"/>
      <c r="G27" s="31"/>
      <c r="H27" s="31"/>
      <c r="I27" s="31"/>
      <c r="J27" s="31"/>
      <c r="K27" s="31"/>
      <c r="L27" s="2"/>
      <c r="M27" s="2"/>
      <c r="N27" s="2"/>
      <c r="O27" s="2"/>
      <c r="P27" s="2"/>
      <c r="Q27" s="2"/>
    </row>
    <row r="28" spans="1:17" ht="20.25" customHeight="1">
      <c r="A28" s="2"/>
      <c r="B28" s="2"/>
      <c r="C28" s="2"/>
      <c r="D28" s="10"/>
      <c r="E28" s="2"/>
      <c r="F28" s="31"/>
      <c r="G28" s="31"/>
      <c r="H28" s="31"/>
      <c r="I28" s="31"/>
      <c r="J28" s="31"/>
      <c r="K28" s="31"/>
      <c r="L28" s="2"/>
      <c r="M28" s="2"/>
      <c r="N28" s="2"/>
      <c r="O28" s="2"/>
      <c r="P28" s="2"/>
      <c r="Q28" s="2"/>
    </row>
    <row r="29" spans="1:17" ht="20.25" customHeight="1">
      <c r="A29" s="2"/>
      <c r="B29" s="2"/>
      <c r="C29" s="2"/>
      <c r="D29" s="10"/>
      <c r="E29" s="2"/>
      <c r="F29" s="31"/>
      <c r="G29" s="31"/>
      <c r="H29" s="31"/>
      <c r="I29" s="31"/>
      <c r="J29" s="31"/>
      <c r="K29" s="31"/>
      <c r="L29" s="2"/>
      <c r="M29" s="2"/>
      <c r="N29" s="2"/>
      <c r="O29" s="2"/>
      <c r="P29" s="2"/>
      <c r="Q29" s="2"/>
    </row>
    <row r="30" spans="1:17" ht="20.25" customHeight="1">
      <c r="A30" s="2"/>
      <c r="B30" s="2"/>
      <c r="C30" s="2"/>
      <c r="D30" s="10"/>
      <c r="E30" s="2"/>
      <c r="F30" s="32"/>
      <c r="G30" s="32"/>
      <c r="H30" s="32"/>
      <c r="I30" s="32"/>
      <c r="J30" s="32"/>
      <c r="K30" s="32"/>
      <c r="L30" s="2"/>
      <c r="M30" s="2"/>
      <c r="N30" s="2"/>
      <c r="O30" s="2"/>
      <c r="P30" s="2"/>
      <c r="Q30" s="2"/>
    </row>
    <row r="31" spans="1:17" ht="20.25" customHeight="1">
      <c r="A31" s="2"/>
      <c r="B31" s="2"/>
      <c r="C31" s="2"/>
      <c r="D31" s="10"/>
      <c r="E31" s="2"/>
      <c r="F31" s="32"/>
      <c r="G31" s="32"/>
      <c r="H31" s="32"/>
      <c r="I31" s="32"/>
      <c r="J31" s="32"/>
      <c r="K31" s="32"/>
      <c r="L31" s="2"/>
      <c r="M31" s="2"/>
      <c r="N31" s="2"/>
      <c r="O31" s="2"/>
      <c r="P31" s="2"/>
      <c r="Q31" s="2"/>
    </row>
    <row r="32" spans="1:17" ht="20.25" customHeight="1">
      <c r="A32" s="2"/>
      <c r="B32" s="2"/>
      <c r="C32" s="2"/>
      <c r="D32" s="10"/>
      <c r="E32" s="2"/>
      <c r="F32" s="31"/>
      <c r="G32" s="31"/>
      <c r="H32" s="31"/>
      <c r="I32" s="31"/>
      <c r="J32" s="31"/>
      <c r="K32" s="31"/>
      <c r="L32" s="2"/>
      <c r="M32" s="2"/>
      <c r="N32" s="2"/>
      <c r="O32" s="2"/>
      <c r="P32" s="2"/>
      <c r="Q32" s="2"/>
    </row>
    <row r="33" spans="1:17" ht="20.25" customHeight="1">
      <c r="A33" s="2"/>
      <c r="B33" s="2"/>
      <c r="C33" s="2"/>
      <c r="D33" s="10"/>
      <c r="E33" s="2"/>
      <c r="F33" s="31"/>
      <c r="G33" s="31"/>
      <c r="H33" s="31"/>
      <c r="I33" s="31"/>
      <c r="J33" s="31"/>
      <c r="K33" s="31"/>
      <c r="L33" s="2"/>
      <c r="M33" s="2"/>
      <c r="N33" s="2"/>
      <c r="O33" s="2"/>
      <c r="P33" s="2"/>
      <c r="Q33" s="2"/>
    </row>
    <row r="34" spans="1:17" ht="20.25" customHeight="1">
      <c r="A34" s="2"/>
      <c r="B34" s="2"/>
      <c r="C34" s="2"/>
      <c r="D34" s="10"/>
      <c r="E34" s="2"/>
      <c r="F34" s="31"/>
      <c r="G34" s="31"/>
      <c r="H34" s="31"/>
      <c r="I34" s="31"/>
      <c r="J34" s="31"/>
      <c r="K34" s="31"/>
      <c r="L34" s="2"/>
      <c r="M34" s="2"/>
      <c r="N34" s="2"/>
      <c r="O34" s="2"/>
      <c r="P34" s="2"/>
      <c r="Q34" s="2"/>
    </row>
    <row r="35" spans="1:17" ht="20.25" customHeight="1">
      <c r="A35" s="2"/>
      <c r="B35" s="2"/>
      <c r="C35" s="2"/>
      <c r="D35" s="10"/>
      <c r="E35" s="2"/>
      <c r="F35" s="31"/>
      <c r="G35" s="31"/>
      <c r="H35" s="31"/>
      <c r="I35" s="31"/>
      <c r="J35" s="31"/>
      <c r="K35" s="31"/>
      <c r="L35" s="2"/>
      <c r="M35" s="2"/>
      <c r="N35" s="2"/>
      <c r="O35" s="2"/>
      <c r="P35" s="2"/>
      <c r="Q35" s="2"/>
    </row>
    <row r="36" spans="1:17" ht="20.25" customHeight="1">
      <c r="A36" s="2"/>
      <c r="B36" s="2"/>
      <c r="C36" s="2"/>
      <c r="D36" s="10"/>
      <c r="E36" s="2"/>
      <c r="F36" s="31"/>
      <c r="G36" s="31"/>
      <c r="H36" s="31"/>
      <c r="I36" s="31"/>
      <c r="J36" s="31"/>
      <c r="K36" s="31"/>
      <c r="L36" s="2"/>
      <c r="M36" s="2"/>
      <c r="N36" s="2"/>
      <c r="O36" s="2"/>
      <c r="P36" s="2"/>
      <c r="Q36" s="2"/>
    </row>
    <row r="37" spans="1:17" ht="20.25" customHeight="1">
      <c r="A37" s="2"/>
      <c r="B37" s="2"/>
      <c r="C37" s="2"/>
      <c r="D37" s="10"/>
      <c r="E37" s="2"/>
      <c r="F37" s="31"/>
      <c r="G37" s="31"/>
      <c r="H37" s="31"/>
      <c r="I37" s="31"/>
      <c r="J37" s="31"/>
      <c r="K37" s="31"/>
      <c r="L37" s="2"/>
      <c r="M37" s="2"/>
      <c r="N37" s="2"/>
      <c r="O37" s="2"/>
      <c r="P37" s="2"/>
      <c r="Q37" s="2"/>
    </row>
    <row r="38" spans="1:17" ht="20.25" customHeight="1">
      <c r="A38" s="2"/>
      <c r="B38" s="2"/>
      <c r="C38" s="2"/>
      <c r="D38" s="10"/>
      <c r="E38" s="2"/>
      <c r="F38" s="31"/>
      <c r="G38" s="31"/>
      <c r="H38" s="31"/>
      <c r="I38" s="31"/>
      <c r="J38" s="31"/>
      <c r="K38" s="31"/>
      <c r="L38" s="2"/>
      <c r="M38" s="2"/>
      <c r="N38" s="2"/>
      <c r="O38" s="2"/>
      <c r="P38" s="2"/>
      <c r="Q38" s="2"/>
    </row>
    <row r="39" spans="1:17" ht="20.25" customHeight="1">
      <c r="A39" s="2"/>
      <c r="B39" s="2"/>
      <c r="C39" s="2"/>
      <c r="D39" s="10"/>
      <c r="E39" s="2"/>
      <c r="F39" s="31"/>
      <c r="G39" s="31"/>
      <c r="H39" s="31"/>
      <c r="I39" s="31"/>
      <c r="J39" s="31"/>
      <c r="K39" s="31"/>
      <c r="L39" s="2"/>
      <c r="M39" s="2"/>
      <c r="N39" s="2"/>
      <c r="O39" s="2"/>
      <c r="P39" s="2"/>
      <c r="Q39" s="2"/>
    </row>
    <row r="40" spans="1:17" ht="20.25" customHeight="1">
      <c r="A40" s="2"/>
      <c r="B40" s="2"/>
      <c r="C40" s="2"/>
      <c r="D40" s="10"/>
      <c r="E40" s="2"/>
      <c r="F40" s="31"/>
      <c r="G40" s="31"/>
      <c r="H40" s="31"/>
      <c r="I40" s="31"/>
      <c r="J40" s="31"/>
      <c r="K40" s="31"/>
      <c r="L40" s="2"/>
      <c r="M40" s="2"/>
      <c r="N40" s="2"/>
      <c r="O40" s="2"/>
      <c r="P40" s="2"/>
      <c r="Q40" s="2"/>
    </row>
    <row r="41" spans="1:17" ht="20.25" customHeight="1">
      <c r="A41" s="2"/>
      <c r="B41" s="2"/>
      <c r="C41" s="2"/>
      <c r="D41" s="10"/>
      <c r="E41" s="2"/>
      <c r="F41" s="31"/>
      <c r="G41" s="31"/>
      <c r="H41" s="31"/>
      <c r="I41" s="31"/>
      <c r="J41" s="31"/>
      <c r="K41" s="31"/>
      <c r="L41" s="2"/>
      <c r="M41" s="2"/>
      <c r="N41" s="2"/>
      <c r="O41" s="2"/>
      <c r="P41" s="2"/>
      <c r="Q41" s="2"/>
    </row>
    <row r="42" spans="1:17" ht="20.25" customHeight="1">
      <c r="A42" s="2"/>
      <c r="B42" s="2"/>
      <c r="C42" s="2"/>
      <c r="D42" s="10"/>
      <c r="E42" s="2"/>
      <c r="F42" s="31"/>
      <c r="G42" s="31"/>
      <c r="H42" s="31"/>
      <c r="I42" s="31"/>
      <c r="J42" s="31"/>
      <c r="K42" s="31"/>
      <c r="L42" s="2"/>
      <c r="M42" s="2"/>
      <c r="N42" s="2"/>
      <c r="O42" s="2"/>
      <c r="P42" s="2"/>
      <c r="Q42" s="2"/>
    </row>
    <row r="43" spans="1:17" ht="20.25" customHeight="1">
      <c r="A43" s="2"/>
      <c r="B43" s="2"/>
      <c r="C43" s="2"/>
      <c r="D43" s="10"/>
      <c r="E43" s="2"/>
      <c r="F43" s="31"/>
      <c r="G43" s="31"/>
      <c r="H43" s="31"/>
      <c r="I43" s="31"/>
      <c r="J43" s="31"/>
      <c r="K43" s="31"/>
      <c r="L43" s="2"/>
      <c r="M43" s="2"/>
      <c r="N43" s="2"/>
      <c r="O43" s="2"/>
      <c r="P43" s="2"/>
      <c r="Q43" s="2"/>
    </row>
    <row r="44" spans="1:17" ht="20.25" customHeight="1">
      <c r="A44" s="2"/>
      <c r="B44" s="2"/>
      <c r="C44" s="2"/>
      <c r="D44" s="10"/>
      <c r="E44" s="2"/>
      <c r="F44" s="31"/>
      <c r="G44" s="31"/>
      <c r="H44" s="31"/>
      <c r="I44" s="31"/>
      <c r="J44" s="31"/>
      <c r="K44" s="31"/>
      <c r="L44" s="2"/>
      <c r="M44" s="2"/>
      <c r="N44" s="2"/>
      <c r="O44" s="2"/>
      <c r="P44" s="2"/>
      <c r="Q44" s="2"/>
    </row>
    <row r="45" spans="1:17" ht="20.25" customHeight="1">
      <c r="A45" s="2"/>
      <c r="B45" s="2"/>
      <c r="C45" s="2"/>
      <c r="D45" s="10"/>
      <c r="E45" s="2"/>
      <c r="F45" s="31"/>
      <c r="G45" s="31"/>
      <c r="H45" s="31"/>
      <c r="I45" s="31"/>
      <c r="J45" s="31"/>
      <c r="K45" s="31"/>
      <c r="L45" s="2"/>
      <c r="M45" s="2"/>
      <c r="N45" s="2"/>
      <c r="O45" s="2"/>
      <c r="P45" s="2"/>
      <c r="Q45" s="2"/>
    </row>
    <row r="46" spans="1:17" ht="20.25" customHeight="1">
      <c r="A46" s="2"/>
      <c r="B46" s="2"/>
      <c r="C46" s="2"/>
      <c r="D46" s="10"/>
      <c r="E46" s="2"/>
      <c r="F46" s="31"/>
      <c r="G46" s="31"/>
      <c r="H46" s="31"/>
      <c r="I46" s="31"/>
      <c r="J46" s="31"/>
      <c r="K46" s="31"/>
      <c r="L46" s="2"/>
      <c r="M46" s="2"/>
      <c r="N46" s="2"/>
      <c r="O46" s="2"/>
      <c r="P46" s="2"/>
      <c r="Q46" s="2"/>
    </row>
    <row r="47" spans="1:17" ht="20.25" customHeight="1">
      <c r="A47" s="2"/>
      <c r="B47" s="2"/>
      <c r="C47" s="2"/>
      <c r="D47" s="10"/>
      <c r="E47" s="2"/>
      <c r="F47" s="31"/>
      <c r="G47" s="31"/>
      <c r="H47" s="31"/>
      <c r="I47" s="31"/>
      <c r="J47" s="31"/>
      <c r="K47" s="31"/>
      <c r="L47" s="2"/>
      <c r="M47" s="2"/>
      <c r="N47" s="2"/>
      <c r="O47" s="2"/>
      <c r="P47" s="2"/>
      <c r="Q47" s="2"/>
    </row>
    <row r="48" spans="1:17" ht="20.25" customHeight="1">
      <c r="A48" s="2"/>
      <c r="B48" s="2"/>
      <c r="C48" s="2"/>
      <c r="D48" s="10"/>
      <c r="E48" s="2"/>
      <c r="F48" s="31"/>
      <c r="G48" s="31"/>
      <c r="H48" s="31"/>
      <c r="I48" s="31"/>
      <c r="J48" s="31"/>
      <c r="K48" s="31"/>
      <c r="L48" s="2"/>
      <c r="M48" s="2"/>
      <c r="N48" s="2"/>
      <c r="O48" s="2"/>
      <c r="P48" s="2"/>
      <c r="Q48" s="2"/>
    </row>
    <row r="49" spans="1:17" ht="20.25" customHeight="1">
      <c r="A49" s="2"/>
      <c r="B49" s="2"/>
      <c r="C49" s="2"/>
      <c r="D49" s="10"/>
      <c r="E49" s="2"/>
      <c r="F49" s="31"/>
      <c r="G49" s="31"/>
      <c r="H49" s="31"/>
      <c r="I49" s="31"/>
      <c r="J49" s="31"/>
      <c r="K49" s="31"/>
      <c r="L49" s="2"/>
      <c r="M49" s="2"/>
      <c r="N49" s="2"/>
      <c r="O49" s="2"/>
      <c r="P49" s="2"/>
      <c r="Q49" s="2"/>
    </row>
    <row r="50" spans="1:17" ht="20.25" customHeight="1">
      <c r="A50" s="2"/>
      <c r="B50" s="2"/>
      <c r="C50" s="2"/>
      <c r="D50" s="10"/>
      <c r="E50" s="2"/>
      <c r="F50" s="31"/>
      <c r="G50" s="31"/>
      <c r="H50" s="31"/>
      <c r="I50" s="31"/>
      <c r="J50" s="31"/>
      <c r="K50" s="31"/>
      <c r="L50" s="2"/>
      <c r="M50" s="2"/>
      <c r="N50" s="2"/>
      <c r="O50" s="2"/>
      <c r="P50" s="2"/>
      <c r="Q50" s="2"/>
    </row>
    <row r="51" spans="1:17" ht="20.25" customHeight="1">
      <c r="A51" s="2"/>
      <c r="B51" s="2"/>
      <c r="C51" s="2"/>
      <c r="D51" s="10"/>
      <c r="E51" s="2"/>
      <c r="F51" s="31"/>
      <c r="G51" s="31"/>
      <c r="H51" s="31"/>
      <c r="I51" s="31"/>
      <c r="J51" s="31"/>
      <c r="K51" s="31"/>
      <c r="L51" s="2"/>
      <c r="M51" s="2"/>
      <c r="N51" s="2"/>
      <c r="O51" s="2"/>
      <c r="P51" s="2"/>
      <c r="Q51" s="2"/>
    </row>
    <row r="52" spans="1:17" ht="20.25" customHeight="1">
      <c r="A52" s="2"/>
      <c r="B52" s="2"/>
      <c r="C52" s="2"/>
      <c r="D52" s="10"/>
      <c r="E52" s="2"/>
      <c r="F52" s="31"/>
      <c r="G52" s="31"/>
      <c r="H52" s="31"/>
      <c r="I52" s="31"/>
      <c r="J52" s="31"/>
      <c r="K52" s="31"/>
      <c r="L52" s="2"/>
      <c r="M52" s="2"/>
      <c r="N52" s="2"/>
      <c r="O52" s="2"/>
      <c r="P52" s="2"/>
      <c r="Q52" s="2"/>
    </row>
    <row r="53" spans="1:17" ht="20.25" customHeight="1">
      <c r="A53" s="2"/>
      <c r="B53" s="2"/>
      <c r="C53" s="2"/>
      <c r="D53" s="10"/>
      <c r="E53" s="2"/>
      <c r="F53" s="31"/>
      <c r="G53" s="31"/>
      <c r="H53" s="31"/>
      <c r="I53" s="31"/>
      <c r="J53" s="31"/>
      <c r="K53" s="31"/>
      <c r="L53" s="2"/>
      <c r="M53" s="2"/>
      <c r="N53" s="2"/>
      <c r="O53" s="2"/>
      <c r="P53" s="2"/>
      <c r="Q53" s="2"/>
    </row>
    <row r="54" spans="1:17" ht="20.25" customHeight="1">
      <c r="A54" s="2"/>
      <c r="B54" s="2"/>
      <c r="C54" s="2"/>
      <c r="D54" s="10"/>
      <c r="E54" s="2"/>
      <c r="F54" s="31"/>
      <c r="G54" s="31"/>
      <c r="H54" s="31"/>
      <c r="I54" s="31"/>
      <c r="J54" s="31"/>
      <c r="K54" s="31"/>
      <c r="L54" s="2"/>
      <c r="M54" s="2"/>
      <c r="N54" s="2"/>
      <c r="O54" s="2"/>
      <c r="P54" s="2"/>
      <c r="Q54" s="2"/>
    </row>
    <row r="55" spans="1:17" ht="20.25" customHeight="1">
      <c r="A55" s="2"/>
      <c r="B55" s="2"/>
      <c r="C55" s="2"/>
      <c r="D55" s="10"/>
      <c r="E55" s="2"/>
      <c r="F55" s="31"/>
      <c r="G55" s="31"/>
      <c r="H55" s="31"/>
      <c r="I55" s="31"/>
      <c r="J55" s="31"/>
      <c r="K55" s="31"/>
      <c r="L55" s="2"/>
      <c r="M55" s="2"/>
      <c r="N55" s="2"/>
      <c r="O55" s="2"/>
      <c r="P55" s="2"/>
      <c r="Q55" s="2"/>
    </row>
    <row r="56" spans="1:17" ht="20.25" customHeight="1">
      <c r="A56" s="2"/>
      <c r="B56" s="2"/>
      <c r="C56" s="2"/>
      <c r="D56" s="10"/>
      <c r="E56" s="2"/>
      <c r="F56" s="31"/>
      <c r="G56" s="31"/>
      <c r="H56" s="31"/>
      <c r="I56" s="31"/>
      <c r="J56" s="31"/>
      <c r="K56" s="31"/>
      <c r="L56" s="2"/>
      <c r="M56" s="2"/>
      <c r="N56" s="2"/>
      <c r="O56" s="2"/>
      <c r="P56" s="2"/>
      <c r="Q56" s="2"/>
    </row>
    <row r="57" spans="1:17" ht="20.25" customHeight="1">
      <c r="A57" s="2"/>
      <c r="B57" s="2"/>
      <c r="C57" s="2"/>
      <c r="D57" s="10"/>
      <c r="E57" s="2"/>
      <c r="F57" s="31"/>
      <c r="G57" s="31"/>
      <c r="H57" s="31"/>
      <c r="I57" s="31"/>
      <c r="J57" s="31"/>
      <c r="K57" s="31"/>
      <c r="L57" s="2"/>
      <c r="M57" s="2"/>
      <c r="N57" s="2"/>
      <c r="O57" s="2"/>
      <c r="P57" s="2"/>
      <c r="Q57" s="2"/>
    </row>
    <row r="58" spans="1:17" ht="20.25" customHeight="1">
      <c r="A58" s="2"/>
      <c r="B58" s="2"/>
      <c r="C58" s="2"/>
      <c r="D58" s="10"/>
      <c r="E58" s="2"/>
      <c r="F58" s="31"/>
      <c r="G58" s="31"/>
      <c r="H58" s="31"/>
      <c r="I58" s="31"/>
      <c r="J58" s="31"/>
      <c r="K58" s="31"/>
      <c r="L58" s="2"/>
      <c r="M58" s="2"/>
      <c r="N58" s="2"/>
      <c r="O58" s="2"/>
      <c r="P58" s="2"/>
      <c r="Q58" s="2"/>
    </row>
    <row r="59" spans="1:17" ht="20.25" customHeight="1">
      <c r="A59" s="2"/>
      <c r="B59" s="2"/>
      <c r="C59" s="2"/>
      <c r="D59" s="10"/>
      <c r="E59" s="2"/>
      <c r="F59" s="31"/>
      <c r="G59" s="31"/>
      <c r="H59" s="31"/>
      <c r="I59" s="31"/>
      <c r="J59" s="31"/>
      <c r="K59" s="31"/>
      <c r="L59" s="2"/>
      <c r="M59" s="2"/>
      <c r="N59" s="2"/>
      <c r="O59" s="2"/>
      <c r="P59" s="2"/>
      <c r="Q59" s="2"/>
    </row>
    <row r="60" spans="1:17" ht="20.25" customHeight="1">
      <c r="A60" s="2"/>
      <c r="B60" s="2"/>
      <c r="C60" s="2"/>
      <c r="D60" s="10"/>
      <c r="E60" s="2"/>
      <c r="F60" s="31"/>
      <c r="G60" s="31"/>
      <c r="H60" s="31"/>
      <c r="I60" s="31"/>
      <c r="J60" s="31"/>
      <c r="K60" s="31"/>
      <c r="L60" s="2"/>
      <c r="M60" s="2"/>
      <c r="N60" s="2"/>
      <c r="O60" s="2"/>
      <c r="P60" s="2"/>
      <c r="Q60" s="2"/>
    </row>
    <row r="61" spans="1:17" ht="20.25" customHeight="1">
      <c r="A61" s="2"/>
      <c r="B61" s="2"/>
      <c r="C61" s="2"/>
      <c r="D61" s="10"/>
      <c r="E61" s="2"/>
      <c r="F61" s="31"/>
      <c r="G61" s="31"/>
      <c r="H61" s="31"/>
      <c r="I61" s="31"/>
      <c r="J61" s="31"/>
      <c r="K61" s="31"/>
      <c r="L61" s="2"/>
      <c r="M61" s="2"/>
      <c r="N61" s="2"/>
      <c r="O61" s="2"/>
      <c r="P61" s="2"/>
      <c r="Q61" s="2"/>
    </row>
    <row r="62" spans="1:17" ht="20.25" customHeight="1">
      <c r="A62" s="2"/>
      <c r="B62" s="2"/>
      <c r="C62" s="2"/>
      <c r="D62" s="10"/>
      <c r="E62" s="2"/>
      <c r="F62" s="31"/>
      <c r="G62" s="31"/>
      <c r="H62" s="31"/>
      <c r="I62" s="31"/>
      <c r="J62" s="31"/>
      <c r="K62" s="31"/>
      <c r="L62" s="2"/>
      <c r="M62" s="2"/>
      <c r="N62" s="2"/>
      <c r="O62" s="2"/>
      <c r="P62" s="2"/>
      <c r="Q62" s="2"/>
    </row>
    <row r="63" spans="1:17" ht="20.25" customHeight="1">
      <c r="A63" s="2"/>
      <c r="B63" s="2"/>
      <c r="C63" s="2"/>
      <c r="D63" s="10"/>
      <c r="E63" s="2"/>
      <c r="F63" s="31"/>
      <c r="G63" s="31"/>
      <c r="H63" s="31"/>
      <c r="I63" s="31"/>
      <c r="J63" s="31"/>
      <c r="K63" s="31"/>
      <c r="L63" s="2"/>
      <c r="M63" s="2"/>
      <c r="N63" s="2"/>
      <c r="O63" s="2"/>
      <c r="P63" s="2"/>
      <c r="Q63" s="2"/>
    </row>
    <row r="64" spans="1:17" ht="20.25" customHeight="1">
      <c r="A64" s="2"/>
      <c r="B64" s="2"/>
      <c r="C64" s="2"/>
      <c r="D64" s="10"/>
      <c r="E64" s="2"/>
      <c r="F64" s="31"/>
      <c r="G64" s="31"/>
      <c r="H64" s="31"/>
      <c r="I64" s="31"/>
      <c r="J64" s="31"/>
      <c r="K64" s="31"/>
      <c r="L64" s="2"/>
      <c r="M64" s="2"/>
      <c r="N64" s="2"/>
      <c r="O64" s="2"/>
      <c r="P64" s="2"/>
      <c r="Q64" s="2"/>
    </row>
    <row r="65" spans="1:17" ht="20.25" customHeight="1">
      <c r="A65" s="2"/>
      <c r="B65" s="2"/>
      <c r="C65" s="2"/>
      <c r="D65" s="10"/>
      <c r="E65" s="2"/>
      <c r="F65" s="31"/>
      <c r="G65" s="31"/>
      <c r="H65" s="31"/>
      <c r="I65" s="31"/>
      <c r="J65" s="31"/>
      <c r="K65" s="31"/>
      <c r="L65" s="2"/>
      <c r="M65" s="2"/>
      <c r="N65" s="2"/>
      <c r="O65" s="2"/>
      <c r="P65" s="2"/>
      <c r="Q65" s="2"/>
    </row>
    <row r="66" spans="1:17" ht="20.25" customHeight="1">
      <c r="A66" s="2"/>
      <c r="B66" s="2"/>
      <c r="C66" s="2"/>
      <c r="D66" s="10"/>
      <c r="E66" s="2"/>
      <c r="F66" s="31"/>
      <c r="G66" s="31"/>
      <c r="H66" s="31"/>
      <c r="I66" s="31"/>
      <c r="J66" s="31"/>
      <c r="K66" s="31"/>
      <c r="L66" s="2"/>
      <c r="M66" s="2"/>
      <c r="N66" s="2"/>
      <c r="O66" s="2"/>
      <c r="P66" s="2"/>
      <c r="Q66" s="2"/>
    </row>
    <row r="67" spans="1:17" ht="20.25" customHeight="1">
      <c r="A67" s="2"/>
      <c r="B67" s="2"/>
      <c r="C67" s="2"/>
      <c r="D67" s="10"/>
      <c r="E67" s="2"/>
      <c r="F67" s="31"/>
      <c r="G67" s="31"/>
      <c r="H67" s="31"/>
      <c r="I67" s="31"/>
      <c r="J67" s="31"/>
      <c r="K67" s="31"/>
      <c r="L67" s="2"/>
      <c r="M67" s="2"/>
      <c r="N67" s="2"/>
      <c r="O67" s="2"/>
      <c r="P67" s="2"/>
      <c r="Q67" s="2"/>
    </row>
    <row r="68" spans="1:17" ht="20.25" customHeight="1">
      <c r="A68" s="2"/>
      <c r="B68" s="2"/>
      <c r="C68" s="2"/>
      <c r="D68" s="10"/>
      <c r="E68" s="2"/>
      <c r="F68" s="31"/>
      <c r="G68" s="31"/>
      <c r="H68" s="31"/>
      <c r="I68" s="31"/>
      <c r="J68" s="31"/>
      <c r="K68" s="31"/>
      <c r="L68" s="2"/>
      <c r="M68" s="2"/>
      <c r="N68" s="2"/>
      <c r="O68" s="2"/>
      <c r="P68" s="2"/>
      <c r="Q68" s="2"/>
    </row>
    <row r="69" spans="1:17" ht="20.25" customHeight="1">
      <c r="A69" s="2"/>
      <c r="B69" s="2"/>
      <c r="C69" s="2"/>
      <c r="D69" s="10"/>
      <c r="E69" s="2"/>
      <c r="F69" s="31"/>
      <c r="G69" s="31"/>
      <c r="H69" s="31"/>
      <c r="I69" s="31"/>
      <c r="J69" s="31"/>
      <c r="K69" s="31"/>
      <c r="L69" s="2"/>
      <c r="M69" s="2"/>
      <c r="N69" s="2"/>
      <c r="O69" s="2"/>
      <c r="P69" s="2"/>
      <c r="Q69" s="2"/>
    </row>
    <row r="70" spans="1:17" ht="20.25" customHeight="1">
      <c r="A70" s="2"/>
      <c r="B70" s="2"/>
      <c r="C70" s="2"/>
      <c r="D70" s="10"/>
      <c r="E70" s="2"/>
      <c r="F70" s="31"/>
      <c r="G70" s="31"/>
      <c r="H70" s="31"/>
      <c r="I70" s="31"/>
      <c r="J70" s="31"/>
      <c r="K70" s="31"/>
      <c r="L70" s="2"/>
      <c r="M70" s="2"/>
      <c r="N70" s="2"/>
      <c r="O70" s="2"/>
      <c r="P70" s="2"/>
      <c r="Q70" s="2"/>
    </row>
    <row r="71" spans="1:17" ht="20.25" customHeight="1">
      <c r="A71" s="2"/>
      <c r="B71" s="2"/>
      <c r="C71" s="2"/>
      <c r="D71" s="10"/>
      <c r="E71" s="2"/>
      <c r="F71" s="31"/>
      <c r="G71" s="31"/>
      <c r="H71" s="31"/>
      <c r="I71" s="31"/>
      <c r="J71" s="31"/>
      <c r="K71" s="31"/>
      <c r="L71" s="2"/>
      <c r="M71" s="2"/>
      <c r="N71" s="2"/>
      <c r="O71" s="2"/>
      <c r="P71" s="2"/>
      <c r="Q71" s="2"/>
    </row>
    <row r="72" spans="1:17" ht="20.25" customHeight="1">
      <c r="A72" s="2"/>
      <c r="B72" s="2"/>
      <c r="C72" s="2"/>
      <c r="D72" s="10"/>
      <c r="E72" s="2"/>
      <c r="F72" s="31"/>
      <c r="G72" s="31"/>
      <c r="H72" s="31"/>
      <c r="I72" s="31"/>
      <c r="J72" s="31"/>
      <c r="K72" s="31"/>
      <c r="L72" s="2"/>
      <c r="M72" s="2"/>
      <c r="N72" s="2"/>
      <c r="O72" s="2"/>
      <c r="P72" s="2"/>
      <c r="Q72" s="2"/>
    </row>
    <row r="73" spans="1:17" ht="20.25" customHeight="1">
      <c r="A73" s="2"/>
      <c r="B73" s="2"/>
      <c r="C73" s="2"/>
      <c r="D73" s="10"/>
      <c r="E73" s="2"/>
      <c r="F73" s="31"/>
      <c r="G73" s="31"/>
      <c r="H73" s="31"/>
      <c r="I73" s="31"/>
      <c r="J73" s="31"/>
      <c r="K73" s="31"/>
      <c r="L73" s="2"/>
      <c r="M73" s="2"/>
      <c r="N73" s="2"/>
      <c r="O73" s="2"/>
      <c r="P73" s="2"/>
      <c r="Q73" s="2"/>
    </row>
    <row r="74" spans="1:17" ht="20.25" customHeight="1">
      <c r="A74" s="2"/>
      <c r="B74" s="2"/>
      <c r="C74" s="2"/>
      <c r="D74" s="10"/>
      <c r="E74" s="2"/>
      <c r="F74" s="31"/>
      <c r="G74" s="31"/>
      <c r="H74" s="31"/>
      <c r="I74" s="31"/>
      <c r="J74" s="31"/>
      <c r="K74" s="31"/>
      <c r="L74" s="2"/>
      <c r="M74" s="2"/>
      <c r="N74" s="2"/>
      <c r="O74" s="2"/>
      <c r="P74" s="2"/>
      <c r="Q74" s="2"/>
    </row>
    <row r="75" spans="1:17" ht="20.25" customHeight="1">
      <c r="A75" s="2"/>
      <c r="B75" s="2"/>
      <c r="C75" s="2"/>
      <c r="D75" s="10"/>
      <c r="E75" s="2"/>
      <c r="F75" s="31"/>
      <c r="G75" s="31"/>
      <c r="H75" s="31"/>
      <c r="I75" s="31"/>
      <c r="J75" s="31"/>
      <c r="K75" s="31"/>
      <c r="L75" s="2"/>
      <c r="M75" s="2"/>
      <c r="N75" s="2"/>
      <c r="O75" s="2"/>
      <c r="P75" s="2"/>
      <c r="Q75" s="2"/>
    </row>
    <row r="76" spans="1:17" ht="20.25" customHeight="1">
      <c r="A76" s="2"/>
      <c r="B76" s="2"/>
      <c r="C76" s="2"/>
      <c r="D76" s="10"/>
      <c r="E76" s="2"/>
      <c r="F76" s="31"/>
      <c r="G76" s="31"/>
      <c r="H76" s="31"/>
      <c r="I76" s="31"/>
      <c r="J76" s="31"/>
      <c r="K76" s="31"/>
      <c r="L76" s="2"/>
      <c r="M76" s="2"/>
      <c r="N76" s="2"/>
      <c r="O76" s="2"/>
      <c r="P76" s="2"/>
      <c r="Q76" s="2"/>
    </row>
    <row r="77" spans="1:17" ht="20.25" customHeight="1">
      <c r="A77" s="2"/>
      <c r="B77" s="2"/>
      <c r="C77" s="2"/>
      <c r="D77" s="10"/>
      <c r="E77" s="2"/>
      <c r="F77" s="31"/>
      <c r="G77" s="31"/>
      <c r="H77" s="31"/>
      <c r="I77" s="31"/>
      <c r="J77" s="31"/>
      <c r="K77" s="31"/>
      <c r="L77" s="2"/>
      <c r="M77" s="2"/>
      <c r="N77" s="2"/>
      <c r="O77" s="2"/>
      <c r="P77" s="2"/>
      <c r="Q77" s="2"/>
    </row>
    <row r="78" spans="1:17" ht="20.25" customHeight="1">
      <c r="A78" s="2"/>
      <c r="B78" s="2"/>
      <c r="C78" s="2"/>
      <c r="D78" s="10"/>
      <c r="E78" s="2"/>
      <c r="F78" s="31"/>
      <c r="G78" s="31"/>
      <c r="H78" s="31"/>
      <c r="I78" s="31"/>
      <c r="J78" s="31"/>
      <c r="K78" s="31"/>
      <c r="L78" s="2"/>
      <c r="M78" s="2"/>
      <c r="N78" s="2"/>
      <c r="O78" s="2"/>
      <c r="P78" s="2"/>
      <c r="Q78" s="2"/>
    </row>
    <row r="79" spans="1:17" ht="20.25" customHeight="1">
      <c r="A79" s="2"/>
      <c r="B79" s="2"/>
      <c r="C79" s="2"/>
      <c r="D79" s="10"/>
      <c r="E79" s="2"/>
      <c r="F79" s="31"/>
      <c r="G79" s="31"/>
      <c r="H79" s="31"/>
      <c r="I79" s="31"/>
      <c r="J79" s="31"/>
      <c r="K79" s="31"/>
      <c r="L79" s="2"/>
      <c r="M79" s="2"/>
      <c r="N79" s="2"/>
      <c r="O79" s="2"/>
      <c r="P79" s="2"/>
      <c r="Q79" s="2"/>
    </row>
    <row r="80" spans="1:17" ht="20.25" customHeight="1">
      <c r="A80" s="2"/>
      <c r="B80" s="2"/>
      <c r="C80" s="2"/>
      <c r="D80" s="10"/>
      <c r="E80" s="2"/>
      <c r="F80" s="31"/>
      <c r="G80" s="31"/>
      <c r="H80" s="31"/>
      <c r="I80" s="31"/>
      <c r="J80" s="31"/>
      <c r="K80" s="31"/>
      <c r="L80" s="2"/>
      <c r="M80" s="2"/>
      <c r="N80" s="2"/>
      <c r="O80" s="2"/>
      <c r="P80" s="2"/>
      <c r="Q80" s="2"/>
    </row>
    <row r="81" spans="1:17" ht="20.25" customHeight="1">
      <c r="A81" s="2"/>
      <c r="B81" s="2"/>
      <c r="C81" s="2"/>
      <c r="D81" s="10"/>
      <c r="E81" s="2"/>
      <c r="F81" s="31"/>
      <c r="G81" s="31"/>
      <c r="H81" s="31"/>
      <c r="I81" s="31"/>
      <c r="J81" s="31"/>
      <c r="K81" s="31"/>
      <c r="L81" s="2"/>
      <c r="M81" s="2"/>
      <c r="N81" s="2"/>
      <c r="O81" s="2"/>
      <c r="P81" s="2"/>
      <c r="Q81" s="2"/>
    </row>
    <row r="82" spans="1:17" ht="20.25" customHeight="1">
      <c r="A82" s="2"/>
      <c r="B82" s="2"/>
      <c r="C82" s="2"/>
      <c r="D82" s="10"/>
      <c r="E82" s="2"/>
      <c r="F82" s="31"/>
      <c r="G82" s="31"/>
      <c r="H82" s="31"/>
      <c r="I82" s="31"/>
      <c r="J82" s="31"/>
      <c r="K82" s="31"/>
      <c r="L82" s="2"/>
      <c r="M82" s="2"/>
      <c r="N82" s="2"/>
      <c r="O82" s="2"/>
      <c r="P82" s="2"/>
      <c r="Q82" s="2"/>
    </row>
    <row r="83" spans="1:17" ht="20.25" customHeight="1">
      <c r="A83" s="2"/>
      <c r="B83" s="2"/>
      <c r="C83" s="2"/>
      <c r="D83" s="10"/>
      <c r="E83" s="2"/>
      <c r="F83" s="31"/>
      <c r="G83" s="31"/>
      <c r="H83" s="31"/>
      <c r="I83" s="31"/>
      <c r="J83" s="31"/>
      <c r="K83" s="31"/>
      <c r="L83" s="2"/>
      <c r="M83" s="2"/>
      <c r="N83" s="2"/>
      <c r="O83" s="2"/>
      <c r="P83" s="2"/>
      <c r="Q83" s="2"/>
    </row>
    <row r="84" spans="1:17" ht="20.25" customHeight="1">
      <c r="A84" s="2"/>
      <c r="B84" s="2"/>
      <c r="C84" s="2"/>
      <c r="D84" s="10"/>
      <c r="E84" s="2"/>
      <c r="F84" s="31"/>
      <c r="G84" s="31"/>
      <c r="H84" s="31"/>
      <c r="I84" s="31"/>
      <c r="J84" s="31"/>
      <c r="K84" s="31"/>
      <c r="L84" s="2"/>
      <c r="M84" s="2"/>
      <c r="N84" s="2"/>
      <c r="O84" s="2"/>
      <c r="P84" s="2"/>
      <c r="Q84" s="2"/>
    </row>
    <row r="85" spans="1:17" ht="20.25" customHeight="1">
      <c r="A85" s="2"/>
      <c r="B85" s="2"/>
      <c r="C85" s="2"/>
      <c r="D85" s="10"/>
      <c r="E85" s="2"/>
      <c r="F85" s="31"/>
      <c r="G85" s="31"/>
      <c r="H85" s="31"/>
      <c r="I85" s="31"/>
      <c r="J85" s="31"/>
      <c r="K85" s="31"/>
      <c r="L85" s="2"/>
      <c r="M85" s="2"/>
      <c r="N85" s="2"/>
      <c r="O85" s="2"/>
      <c r="P85" s="2"/>
      <c r="Q85" s="2"/>
    </row>
    <row r="86" spans="1:17" ht="20.25" customHeight="1">
      <c r="A86" s="2"/>
      <c r="B86" s="2"/>
      <c r="C86" s="2"/>
      <c r="D86" s="10"/>
      <c r="E86" s="2"/>
      <c r="F86" s="31"/>
      <c r="G86" s="31"/>
      <c r="H86" s="31"/>
      <c r="I86" s="31"/>
      <c r="J86" s="31"/>
      <c r="K86" s="31"/>
      <c r="L86" s="2"/>
      <c r="M86" s="2"/>
      <c r="N86" s="2"/>
      <c r="O86" s="2"/>
      <c r="P86" s="2"/>
      <c r="Q86" s="2"/>
    </row>
    <row r="87" spans="1:17" ht="20.25" customHeight="1">
      <c r="A87" s="2"/>
      <c r="B87" s="2"/>
      <c r="C87" s="2"/>
      <c r="D87" s="10"/>
      <c r="E87" s="2"/>
      <c r="F87" s="31"/>
      <c r="G87" s="31"/>
      <c r="H87" s="31"/>
      <c r="I87" s="31"/>
      <c r="J87" s="31"/>
      <c r="K87" s="31"/>
      <c r="L87" s="2"/>
      <c r="M87" s="2"/>
      <c r="N87" s="2"/>
      <c r="O87" s="2"/>
      <c r="P87" s="2"/>
      <c r="Q87" s="2"/>
    </row>
    <row r="88" spans="1:17" ht="20.25" customHeight="1">
      <c r="A88" s="2"/>
      <c r="B88" s="2"/>
      <c r="C88" s="2"/>
      <c r="D88" s="10"/>
      <c r="E88" s="2"/>
      <c r="F88" s="31"/>
      <c r="G88" s="31"/>
      <c r="H88" s="31"/>
      <c r="I88" s="31"/>
      <c r="J88" s="31"/>
      <c r="K88" s="31"/>
      <c r="L88" s="2"/>
      <c r="M88" s="2"/>
      <c r="N88" s="2"/>
      <c r="O88" s="2"/>
      <c r="P88" s="2"/>
      <c r="Q88" s="2"/>
    </row>
    <row r="89" spans="1:17" ht="20.25" customHeight="1">
      <c r="A89" s="2"/>
      <c r="B89" s="2"/>
      <c r="C89" s="2"/>
      <c r="D89" s="10"/>
      <c r="E89" s="2"/>
      <c r="F89" s="31"/>
      <c r="G89" s="31"/>
      <c r="H89" s="31"/>
      <c r="I89" s="31"/>
      <c r="J89" s="31"/>
      <c r="K89" s="31"/>
      <c r="L89" s="2"/>
      <c r="M89" s="2"/>
      <c r="N89" s="2"/>
      <c r="O89" s="2"/>
      <c r="P89" s="2"/>
      <c r="Q89" s="2"/>
    </row>
    <row r="90" spans="1:17" ht="20.25" customHeight="1">
      <c r="A90" s="2"/>
      <c r="B90" s="2"/>
      <c r="C90" s="2"/>
      <c r="D90" s="10"/>
      <c r="E90" s="2"/>
      <c r="F90" s="31"/>
      <c r="G90" s="31"/>
      <c r="H90" s="31"/>
      <c r="I90" s="31"/>
      <c r="J90" s="31"/>
      <c r="K90" s="31"/>
      <c r="L90" s="2"/>
      <c r="M90" s="2"/>
      <c r="N90" s="2"/>
      <c r="O90" s="2"/>
      <c r="P90" s="2"/>
      <c r="Q90" s="2"/>
    </row>
    <row r="91" spans="1:17" ht="20.25" customHeight="1">
      <c r="A91" s="2"/>
      <c r="B91" s="2"/>
      <c r="C91" s="2"/>
      <c r="D91" s="10"/>
      <c r="E91" s="2"/>
      <c r="F91" s="31"/>
      <c r="G91" s="31"/>
      <c r="H91" s="31"/>
      <c r="I91" s="31"/>
      <c r="J91" s="31"/>
      <c r="K91" s="31"/>
      <c r="L91" s="2"/>
      <c r="M91" s="2"/>
      <c r="N91" s="2"/>
      <c r="O91" s="2"/>
      <c r="P91" s="2"/>
      <c r="Q91" s="2"/>
    </row>
    <row r="92" spans="1:17" ht="20.25" customHeight="1">
      <c r="A92" s="2"/>
      <c r="B92" s="2"/>
      <c r="C92" s="2"/>
      <c r="D92" s="10"/>
      <c r="E92" s="2"/>
      <c r="F92" s="31"/>
      <c r="G92" s="31"/>
      <c r="H92" s="31"/>
      <c r="I92" s="31"/>
      <c r="J92" s="31"/>
      <c r="K92" s="31"/>
      <c r="L92" s="2"/>
      <c r="M92" s="2"/>
      <c r="N92" s="2"/>
      <c r="O92" s="2"/>
      <c r="P92" s="2"/>
      <c r="Q92" s="2"/>
    </row>
    <row r="93" spans="1:17" ht="20.25" customHeight="1">
      <c r="A93" s="2"/>
      <c r="B93" s="2"/>
      <c r="C93" s="2"/>
      <c r="D93" s="10"/>
      <c r="E93" s="2"/>
      <c r="F93" s="31"/>
      <c r="G93" s="31"/>
      <c r="H93" s="31"/>
      <c r="I93" s="31"/>
      <c r="J93" s="31"/>
      <c r="K93" s="31"/>
      <c r="L93" s="2"/>
      <c r="M93" s="2"/>
      <c r="N93" s="2"/>
      <c r="O93" s="2"/>
      <c r="P93" s="2"/>
      <c r="Q93" s="2"/>
    </row>
    <row r="94" spans="1:17" ht="20.25" customHeight="1">
      <c r="A94" s="2"/>
      <c r="B94" s="2"/>
      <c r="C94" s="2"/>
      <c r="D94" s="10"/>
      <c r="E94" s="2"/>
      <c r="F94" s="31"/>
      <c r="G94" s="31"/>
      <c r="H94" s="31"/>
      <c r="I94" s="31"/>
      <c r="J94" s="31"/>
      <c r="K94" s="31"/>
      <c r="L94" s="2"/>
      <c r="M94" s="2"/>
      <c r="N94" s="2"/>
      <c r="O94" s="2"/>
      <c r="P94" s="2"/>
      <c r="Q94" s="2"/>
    </row>
    <row r="95" spans="1:17" ht="20.25" customHeight="1">
      <c r="A95" s="2"/>
      <c r="B95" s="2"/>
      <c r="C95" s="2"/>
      <c r="D95" s="10"/>
      <c r="E95" s="2"/>
      <c r="F95" s="31"/>
      <c r="G95" s="31"/>
      <c r="H95" s="31"/>
      <c r="I95" s="31"/>
      <c r="J95" s="31"/>
      <c r="K95" s="31"/>
      <c r="L95" s="2"/>
      <c r="M95" s="2"/>
      <c r="N95" s="2"/>
      <c r="O95" s="2"/>
      <c r="P95" s="2"/>
      <c r="Q95" s="2"/>
    </row>
    <row r="96" spans="1:17" ht="20.25" customHeight="1">
      <c r="A96" s="2"/>
      <c r="B96" s="2"/>
      <c r="C96" s="2"/>
      <c r="D96" s="10"/>
      <c r="E96" s="2"/>
      <c r="F96" s="31"/>
      <c r="G96" s="31"/>
      <c r="H96" s="31"/>
      <c r="I96" s="31"/>
      <c r="J96" s="31"/>
      <c r="K96" s="31"/>
      <c r="L96" s="2"/>
      <c r="M96" s="2"/>
      <c r="N96" s="2"/>
      <c r="O96" s="2"/>
      <c r="P96" s="2"/>
      <c r="Q96" s="2"/>
    </row>
    <row r="97" spans="1:17" ht="20.25" customHeight="1">
      <c r="A97" s="2"/>
      <c r="B97" s="2"/>
      <c r="C97" s="2"/>
      <c r="D97" s="10"/>
      <c r="E97" s="2"/>
      <c r="F97" s="31"/>
      <c r="G97" s="31"/>
      <c r="H97" s="31"/>
      <c r="I97" s="31"/>
      <c r="J97" s="31"/>
      <c r="K97" s="31"/>
      <c r="L97" s="2"/>
      <c r="M97" s="2"/>
      <c r="N97" s="2"/>
      <c r="O97" s="2"/>
      <c r="P97" s="2"/>
      <c r="Q97" s="2"/>
    </row>
    <row r="98" spans="1:17" ht="20.25" customHeight="1">
      <c r="A98" s="2"/>
      <c r="B98" s="2"/>
      <c r="C98" s="2"/>
      <c r="D98" s="10"/>
      <c r="E98" s="2"/>
      <c r="F98" s="31"/>
      <c r="G98" s="31"/>
      <c r="H98" s="31"/>
      <c r="I98" s="31"/>
      <c r="J98" s="31"/>
      <c r="K98" s="31"/>
      <c r="L98" s="2"/>
      <c r="M98" s="2"/>
      <c r="N98" s="2"/>
      <c r="O98" s="2"/>
      <c r="P98" s="2"/>
      <c r="Q98" s="2"/>
    </row>
    <row r="99" spans="1:17" ht="20.25" customHeight="1">
      <c r="A99" s="2"/>
      <c r="B99" s="2"/>
      <c r="C99" s="2"/>
      <c r="D99" s="10"/>
      <c r="E99" s="2"/>
      <c r="F99" s="31"/>
      <c r="G99" s="31"/>
      <c r="H99" s="31"/>
      <c r="I99" s="31"/>
      <c r="J99" s="31"/>
      <c r="K99" s="31"/>
      <c r="L99" s="2"/>
      <c r="M99" s="2"/>
      <c r="N99" s="2"/>
      <c r="O99" s="2"/>
      <c r="P99" s="2"/>
      <c r="Q99" s="2"/>
    </row>
  </sheetData>
  <mergeCells count="17">
    <mergeCell ref="A1:O1"/>
    <mergeCell ref="A2:O2"/>
    <mergeCell ref="F3:K3"/>
    <mergeCell ref="A22:N22"/>
    <mergeCell ref="N23:O23"/>
    <mergeCell ref="A3:A4"/>
    <mergeCell ref="B3:B4"/>
    <mergeCell ref="C3:C4"/>
    <mergeCell ref="D3:D4"/>
    <mergeCell ref="F23:H23"/>
    <mergeCell ref="A20:B20"/>
    <mergeCell ref="L3:L4"/>
    <mergeCell ref="O3:O4"/>
    <mergeCell ref="M3:N3"/>
    <mergeCell ref="C23:D23"/>
    <mergeCell ref="A23:B23"/>
    <mergeCell ref="E3:E4"/>
  </mergeCells>
  <printOptions horizontalCentered="1" verticalCentered="1"/>
  <pageMargins left="0.23" right="0.23" top="0.21" bottom="0.36" header="0" footer="0"/>
  <pageSetup paperSize="9" scale="65" fitToHeight="0" orientation="landscape" horizontalDpi="360" verticalDpi="360" r:id="rId1"/>
  <rowBreaks count="1" manualBreakCount="1">
    <brk id="23" max="1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5623"/>
    <pageSetUpPr fitToPage="1"/>
  </sheetPr>
  <dimension ref="A1:AS30"/>
  <sheetViews>
    <sheetView zoomScale="40" zoomScaleNormal="40" workbookViewId="0">
      <pane xSplit="2" ySplit="4" topLeftCell="C5" activePane="bottomRight" state="frozen"/>
      <selection pane="topRight" activeCell="C1" sqref="C1"/>
      <selection pane="bottomLeft" activeCell="A5" sqref="A5"/>
      <selection pane="bottomRight" activeCell="A7" sqref="A7:Q7"/>
    </sheetView>
  </sheetViews>
  <sheetFormatPr defaultColWidth="16.81640625" defaultRowHeight="15" customHeight="1" outlineLevelCol="1"/>
  <cols>
    <col min="1" max="1" width="5.1796875" customWidth="1"/>
    <col min="2" max="2" width="43" customWidth="1"/>
    <col min="3" max="3" width="33.81640625" customWidth="1"/>
    <col min="4" max="5" width="8.7265625" customWidth="1" outlineLevel="1"/>
    <col min="6" max="7" width="8.7265625" hidden="1" customWidth="1" outlineLevel="1"/>
    <col min="8" max="8" width="8.26953125" customWidth="1" outlineLevel="1"/>
    <col min="9" max="11" width="8.7265625" hidden="1" customWidth="1" outlineLevel="1"/>
    <col min="12" max="12" width="8.7265625" customWidth="1" outlineLevel="1"/>
    <col min="13" max="13" width="11.81640625" customWidth="1" outlineLevel="1"/>
    <col min="14" max="16" width="8.7265625" customWidth="1" outlineLevel="1"/>
    <col min="17" max="17" width="9" customWidth="1" outlineLevel="1"/>
    <col min="18" max="18" width="19.453125" customWidth="1" outlineLevel="1"/>
    <col min="19" max="19" width="20.81640625" hidden="1" customWidth="1" outlineLevel="1"/>
    <col min="20" max="20" width="16.81640625" customWidth="1" outlineLevel="1"/>
    <col min="21" max="21" width="20.81640625" bestFit="1" customWidth="1" outlineLevel="1"/>
    <col min="22" max="22" width="19.453125" customWidth="1" outlineLevel="1"/>
    <col min="23" max="23" width="22.26953125" hidden="1" customWidth="1" outlineLevel="1"/>
    <col min="24" max="24" width="16.1796875" hidden="1" customWidth="1" outlineLevel="1"/>
    <col min="25" max="25" width="22.453125" customWidth="1" outlineLevel="1"/>
    <col min="26" max="26" width="18" customWidth="1" outlineLevel="1"/>
    <col min="27" max="27" width="21.453125" customWidth="1" outlineLevel="1"/>
    <col min="28" max="28" width="18.81640625" customWidth="1" outlineLevel="1"/>
    <col min="29" max="29" width="17.453125" hidden="1" customWidth="1" outlineLevel="1"/>
    <col min="30" max="30" width="17.81640625" hidden="1" customWidth="1" outlineLevel="1"/>
    <col min="31" max="31" width="17.7265625" customWidth="1" outlineLevel="1"/>
    <col min="32" max="32" width="19.1796875" customWidth="1" outlineLevel="1"/>
    <col min="33" max="33" width="14.1796875" customWidth="1" outlineLevel="1"/>
    <col min="34" max="34" width="11.81640625" customWidth="1" outlineLevel="1"/>
    <col min="35" max="35" width="19.1796875" customWidth="1" outlineLevel="1"/>
    <col min="36" max="36" width="22.453125" customWidth="1"/>
    <col min="37" max="37" width="13.26953125" hidden="1" customWidth="1"/>
    <col min="38" max="38" width="14.1796875" hidden="1" customWidth="1"/>
    <col min="39" max="39" width="52.453125" customWidth="1"/>
    <col min="40" max="40" width="30.81640625" customWidth="1"/>
    <col min="41" max="41" width="40.1796875" customWidth="1"/>
    <col min="42" max="44" width="11" customWidth="1"/>
  </cols>
  <sheetData>
    <row r="1" spans="1:45" ht="35.15" customHeight="1">
      <c r="A1" s="648" t="s">
        <v>0</v>
      </c>
      <c r="B1" s="649"/>
      <c r="C1" s="649"/>
      <c r="D1" s="649"/>
      <c r="E1" s="649"/>
      <c r="F1" s="649"/>
      <c r="G1" s="649"/>
      <c r="H1" s="649"/>
      <c r="I1" s="649"/>
      <c r="J1" s="649"/>
      <c r="K1" s="649"/>
      <c r="L1" s="649"/>
      <c r="M1" s="649"/>
      <c r="N1" s="649"/>
      <c r="O1" s="649"/>
      <c r="P1" s="649"/>
      <c r="Q1" s="649"/>
      <c r="R1" s="649"/>
      <c r="S1" s="649"/>
      <c r="T1" s="649"/>
      <c r="U1" s="649"/>
      <c r="V1" s="649"/>
      <c r="W1" s="649"/>
      <c r="X1" s="649"/>
      <c r="Y1" s="649"/>
      <c r="Z1" s="649"/>
      <c r="AA1" s="649"/>
      <c r="AB1" s="649"/>
      <c r="AC1" s="649"/>
      <c r="AD1" s="649"/>
      <c r="AE1" s="649"/>
      <c r="AF1" s="649"/>
      <c r="AG1" s="649"/>
      <c r="AH1" s="649"/>
      <c r="AI1" s="649"/>
      <c r="AJ1" s="649"/>
      <c r="AK1" s="649"/>
      <c r="AL1" s="649"/>
      <c r="AM1" s="650"/>
      <c r="AN1" s="33"/>
      <c r="AO1" s="31"/>
      <c r="AP1" s="31"/>
      <c r="AQ1" s="31"/>
      <c r="AR1" s="31"/>
    </row>
    <row r="2" spans="1:45" ht="36.65" customHeight="1">
      <c r="A2" s="651" t="s">
        <v>569</v>
      </c>
      <c r="B2" s="652"/>
      <c r="C2" s="652"/>
      <c r="D2" s="652"/>
      <c r="E2" s="652"/>
      <c r="F2" s="652"/>
      <c r="G2" s="652"/>
      <c r="H2" s="652"/>
      <c r="I2" s="652"/>
      <c r="J2" s="652"/>
      <c r="K2" s="652"/>
      <c r="L2" s="652"/>
      <c r="M2" s="652"/>
      <c r="N2" s="652"/>
      <c r="O2" s="652"/>
      <c r="P2" s="652"/>
      <c r="Q2" s="652"/>
      <c r="R2" s="652"/>
      <c r="S2" s="652"/>
      <c r="T2" s="652"/>
      <c r="U2" s="652"/>
      <c r="V2" s="652"/>
      <c r="W2" s="652"/>
      <c r="X2" s="652"/>
      <c r="Y2" s="652"/>
      <c r="Z2" s="652"/>
      <c r="AA2" s="652"/>
      <c r="AB2" s="652"/>
      <c r="AC2" s="652"/>
      <c r="AD2" s="652"/>
      <c r="AE2" s="652"/>
      <c r="AF2" s="652"/>
      <c r="AG2" s="652"/>
      <c r="AH2" s="652"/>
      <c r="AI2" s="652"/>
      <c r="AJ2" s="652"/>
      <c r="AK2" s="652"/>
      <c r="AL2" s="652"/>
      <c r="AM2" s="653"/>
      <c r="AN2" s="33"/>
      <c r="AO2" s="31"/>
      <c r="AP2" s="31"/>
      <c r="AQ2" s="31"/>
      <c r="AR2" s="31"/>
    </row>
    <row r="3" spans="1:45" ht="117.5">
      <c r="A3" s="508" t="s">
        <v>39</v>
      </c>
      <c r="B3" s="509" t="s">
        <v>40</v>
      </c>
      <c r="C3" s="509" t="s">
        <v>41</v>
      </c>
      <c r="D3" s="654" t="s">
        <v>42</v>
      </c>
      <c r="E3" s="652"/>
      <c r="F3" s="652"/>
      <c r="G3" s="652"/>
      <c r="H3" s="652"/>
      <c r="I3" s="652"/>
      <c r="J3" s="652"/>
      <c r="K3" s="652"/>
      <c r="L3" s="652"/>
      <c r="M3" s="652"/>
      <c r="N3" s="652"/>
      <c r="O3" s="652"/>
      <c r="P3" s="652"/>
      <c r="Q3" s="652"/>
      <c r="R3" s="654" t="s">
        <v>43</v>
      </c>
      <c r="S3" s="652"/>
      <c r="T3" s="652"/>
      <c r="U3" s="652"/>
      <c r="V3" s="509" t="s">
        <v>44</v>
      </c>
      <c r="W3" s="509" t="s">
        <v>45</v>
      </c>
      <c r="X3" s="509" t="s">
        <v>46</v>
      </c>
      <c r="Y3" s="510" t="s">
        <v>47</v>
      </c>
      <c r="Z3" s="510" t="s">
        <v>48</v>
      </c>
      <c r="AA3" s="511" t="s">
        <v>49</v>
      </c>
      <c r="AB3" s="654" t="s">
        <v>6</v>
      </c>
      <c r="AC3" s="652"/>
      <c r="AD3" s="652"/>
      <c r="AE3" s="652"/>
      <c r="AF3" s="652"/>
      <c r="AG3" s="652"/>
      <c r="AH3" s="652"/>
      <c r="AI3" s="652"/>
      <c r="AJ3" s="512" t="s">
        <v>50</v>
      </c>
      <c r="AK3" s="654" t="s">
        <v>51</v>
      </c>
      <c r="AL3" s="652"/>
      <c r="AM3" s="513" t="s">
        <v>52</v>
      </c>
      <c r="AN3" s="40"/>
      <c r="AO3" s="1"/>
      <c r="AP3" s="1"/>
      <c r="AQ3" s="1"/>
      <c r="AR3" s="1"/>
    </row>
    <row r="4" spans="1:45" ht="108.75" customHeight="1">
      <c r="A4" s="508"/>
      <c r="B4" s="509"/>
      <c r="C4" s="509"/>
      <c r="D4" s="514" t="s">
        <v>53</v>
      </c>
      <c r="E4" s="515" t="s">
        <v>54</v>
      </c>
      <c r="F4" s="516" t="s">
        <v>55</v>
      </c>
      <c r="G4" s="516" t="s">
        <v>56</v>
      </c>
      <c r="H4" s="515" t="s">
        <v>57</v>
      </c>
      <c r="I4" s="516" t="s">
        <v>58</v>
      </c>
      <c r="J4" s="516" t="s">
        <v>59</v>
      </c>
      <c r="K4" s="514" t="s">
        <v>60</v>
      </c>
      <c r="L4" s="515" t="s">
        <v>61</v>
      </c>
      <c r="M4" s="514" t="s">
        <v>62</v>
      </c>
      <c r="N4" s="514" t="s">
        <v>63</v>
      </c>
      <c r="O4" s="514" t="s">
        <v>64</v>
      </c>
      <c r="P4" s="516" t="s">
        <v>65</v>
      </c>
      <c r="Q4" s="517" t="s">
        <v>66</v>
      </c>
      <c r="R4" s="518" t="s">
        <v>67</v>
      </c>
      <c r="S4" s="518" t="s">
        <v>68</v>
      </c>
      <c r="T4" s="519" t="s">
        <v>69</v>
      </c>
      <c r="U4" s="520" t="s">
        <v>70</v>
      </c>
      <c r="V4" s="509"/>
      <c r="W4" s="509"/>
      <c r="X4" s="509"/>
      <c r="Y4" s="510"/>
      <c r="Z4" s="510"/>
      <c r="AA4" s="511"/>
      <c r="AB4" s="511" t="s">
        <v>71</v>
      </c>
      <c r="AC4" s="509" t="s">
        <v>72</v>
      </c>
      <c r="AD4" s="511" t="s">
        <v>11</v>
      </c>
      <c r="AE4" s="511" t="s">
        <v>12</v>
      </c>
      <c r="AF4" s="509" t="s">
        <v>73</v>
      </c>
      <c r="AG4" s="511" t="s">
        <v>74</v>
      </c>
      <c r="AH4" s="511" t="s">
        <v>75</v>
      </c>
      <c r="AI4" s="521" t="s">
        <v>32</v>
      </c>
      <c r="AJ4" s="512"/>
      <c r="AK4" s="511" t="s">
        <v>76</v>
      </c>
      <c r="AL4" s="511" t="s">
        <v>77</v>
      </c>
      <c r="AM4" s="513"/>
      <c r="AN4" s="48"/>
      <c r="AO4" s="49"/>
      <c r="AP4" s="49"/>
      <c r="AQ4" s="49"/>
      <c r="AR4" s="49"/>
    </row>
    <row r="5" spans="1:45" s="355" customFormat="1" ht="75.75" customHeight="1">
      <c r="A5" s="522">
        <v>1</v>
      </c>
      <c r="B5" s="523" t="s">
        <v>78</v>
      </c>
      <c r="C5" s="524" t="s">
        <v>79</v>
      </c>
      <c r="D5" s="524">
        <v>30</v>
      </c>
      <c r="E5" s="525">
        <v>0</v>
      </c>
      <c r="F5" s="526">
        <f t="shared" ref="F5" si="0">IF((E5/3)&gt;=1,TRUNC(E5/3,0),0)</f>
        <v>0</v>
      </c>
      <c r="G5" s="526">
        <f t="shared" ref="G5" si="1">E5-F5*3</f>
        <v>0</v>
      </c>
      <c r="H5" s="525">
        <v>0</v>
      </c>
      <c r="I5" s="526">
        <f t="shared" ref="I5" si="2">IF(H5&lt;1,H5,H5-1)</f>
        <v>0</v>
      </c>
      <c r="J5" s="526">
        <f t="shared" ref="J5" si="3">H5-I5</f>
        <v>0</v>
      </c>
      <c r="K5" s="526">
        <v>0</v>
      </c>
      <c r="L5" s="525">
        <v>1.5</v>
      </c>
      <c r="M5" s="526">
        <v>0</v>
      </c>
      <c r="N5" s="526">
        <v>0</v>
      </c>
      <c r="O5" s="526">
        <v>0</v>
      </c>
      <c r="P5" s="527">
        <f t="shared" ref="P5" si="4">L5+M5+N5+O5</f>
        <v>1.5</v>
      </c>
      <c r="Q5" s="528">
        <f t="shared" ref="Q5" si="5">(F5*0.5)+(I5*0.5)+M5+(N5*2)</f>
        <v>0</v>
      </c>
      <c r="R5" s="529">
        <f>125000</f>
        <v>125000</v>
      </c>
      <c r="S5" s="529">
        <f>12500+12500+12500</f>
        <v>37500</v>
      </c>
      <c r="T5" s="529">
        <v>12500</v>
      </c>
      <c r="U5" s="529">
        <f t="shared" ref="U5:U6" si="6">R5-(S5+T5)</f>
        <v>75000</v>
      </c>
      <c r="V5" s="530">
        <v>130000</v>
      </c>
      <c r="W5" s="530">
        <f t="shared" ref="W5:W6" si="7">V5</f>
        <v>130000</v>
      </c>
      <c r="X5" s="530">
        <v>0</v>
      </c>
      <c r="Y5" s="530">
        <f t="shared" ref="Y5:Y6" si="8">W5-AB5</f>
        <v>130000</v>
      </c>
      <c r="Z5" s="531">
        <f t="shared" ref="Z5:Z6" si="9">V5/D5</f>
        <v>4333.333333333333</v>
      </c>
      <c r="AA5" s="530">
        <v>15000</v>
      </c>
      <c r="AB5" s="532">
        <f t="shared" ref="AB5:AB6" si="10">Q5*Z5</f>
        <v>0</v>
      </c>
      <c r="AC5" s="532"/>
      <c r="AD5" s="532">
        <f t="shared" ref="AD5:AD6" si="11">(AC5)*Z5</f>
        <v>0</v>
      </c>
      <c r="AE5" s="530">
        <f t="shared" ref="AE5:AE6" si="12">T5</f>
        <v>12500</v>
      </c>
      <c r="AF5" s="533">
        <f>2500+10000+500</f>
        <v>13000</v>
      </c>
      <c r="AG5" s="532">
        <f>(AA5*12%)</f>
        <v>1800</v>
      </c>
      <c r="AH5" s="532">
        <v>0</v>
      </c>
      <c r="AI5" s="534">
        <f t="shared" ref="AI5:AI6" si="13">SUM(AB5,AD5:AH5)</f>
        <v>27300</v>
      </c>
      <c r="AJ5" s="534">
        <f>ROUND(SUM(W5:X5)-AI5,0)</f>
        <v>102700</v>
      </c>
      <c r="AK5" s="532">
        <f>(AA5*13.01%)</f>
        <v>1951.5</v>
      </c>
      <c r="AL5" s="532">
        <v>0</v>
      </c>
      <c r="AM5" s="535" t="s">
        <v>597</v>
      </c>
      <c r="AN5" s="356" t="s">
        <v>80</v>
      </c>
      <c r="AO5" s="357"/>
      <c r="AP5" s="357"/>
      <c r="AQ5" s="357"/>
      <c r="AR5" s="357"/>
    </row>
    <row r="6" spans="1:45" s="355" customFormat="1" ht="75.75" customHeight="1">
      <c r="A6" s="522">
        <v>2</v>
      </c>
      <c r="B6" s="523" t="s">
        <v>81</v>
      </c>
      <c r="C6" s="524" t="s">
        <v>82</v>
      </c>
      <c r="D6" s="524">
        <v>30</v>
      </c>
      <c r="E6" s="525">
        <v>0</v>
      </c>
      <c r="F6" s="526">
        <f t="shared" ref="F6" si="14">IF((E6/3)&gt;=1,TRUNC(E6/3,0),0)</f>
        <v>0</v>
      </c>
      <c r="G6" s="526">
        <f t="shared" ref="G6" si="15">E6-F6*3</f>
        <v>0</v>
      </c>
      <c r="H6" s="525">
        <v>0</v>
      </c>
      <c r="I6" s="526">
        <f t="shared" ref="I6" si="16">IF(H6&lt;1,H6,H6-1)</f>
        <v>0</v>
      </c>
      <c r="J6" s="526">
        <f t="shared" ref="J6" si="17">H6-I6</f>
        <v>0</v>
      </c>
      <c r="K6" s="526">
        <v>0</v>
      </c>
      <c r="L6" s="525"/>
      <c r="M6" s="526">
        <v>0</v>
      </c>
      <c r="N6" s="526">
        <v>0</v>
      </c>
      <c r="O6" s="526">
        <v>0</v>
      </c>
      <c r="P6" s="527">
        <f t="shared" ref="P6" si="18">L6+M6+N6+O6</f>
        <v>0</v>
      </c>
      <c r="Q6" s="528">
        <f t="shared" ref="Q6" si="19">(F6*0.5)+(I6*0.5)+M6+(N6*2)</f>
        <v>0</v>
      </c>
      <c r="R6" s="530">
        <v>0</v>
      </c>
      <c r="S6" s="530">
        <v>0</v>
      </c>
      <c r="T6" s="530">
        <v>0</v>
      </c>
      <c r="U6" s="530">
        <f t="shared" si="6"/>
        <v>0</v>
      </c>
      <c r="V6" s="530">
        <v>42000</v>
      </c>
      <c r="W6" s="530">
        <f t="shared" si="7"/>
        <v>42000</v>
      </c>
      <c r="X6" s="530">
        <v>0</v>
      </c>
      <c r="Y6" s="530">
        <f t="shared" si="8"/>
        <v>42000</v>
      </c>
      <c r="Z6" s="531">
        <f t="shared" si="9"/>
        <v>1400</v>
      </c>
      <c r="AA6" s="530">
        <f t="shared" ref="AA6" si="20">W6*45%</f>
        <v>18900</v>
      </c>
      <c r="AB6" s="532">
        <f t="shared" si="10"/>
        <v>0</v>
      </c>
      <c r="AC6" s="532">
        <v>0</v>
      </c>
      <c r="AD6" s="532">
        <f t="shared" si="11"/>
        <v>0</v>
      </c>
      <c r="AE6" s="530">
        <f t="shared" si="12"/>
        <v>0</v>
      </c>
      <c r="AF6" s="536">
        <f>299+500</f>
        <v>799</v>
      </c>
      <c r="AG6" s="532">
        <v>0</v>
      </c>
      <c r="AH6" s="532">
        <v>0</v>
      </c>
      <c r="AI6" s="534">
        <f t="shared" si="13"/>
        <v>799</v>
      </c>
      <c r="AJ6" s="534"/>
      <c r="AK6" s="532">
        <v>0</v>
      </c>
      <c r="AL6" s="532">
        <v>0</v>
      </c>
      <c r="AM6" s="537"/>
      <c r="AN6" s="356" t="s">
        <v>83</v>
      </c>
      <c r="AO6" s="357"/>
      <c r="AP6" s="357"/>
      <c r="AQ6" s="357"/>
      <c r="AR6" s="357"/>
    </row>
    <row r="7" spans="1:45" s="355" customFormat="1" ht="75.75" customHeight="1" thickBot="1">
      <c r="A7" s="642"/>
      <c r="B7" s="643"/>
      <c r="C7" s="643"/>
      <c r="D7" s="643"/>
      <c r="E7" s="643"/>
      <c r="F7" s="643"/>
      <c r="G7" s="643"/>
      <c r="H7" s="643"/>
      <c r="I7" s="643"/>
      <c r="J7" s="643"/>
      <c r="K7" s="643"/>
      <c r="L7" s="643"/>
      <c r="M7" s="643"/>
      <c r="N7" s="643"/>
      <c r="O7" s="643"/>
      <c r="P7" s="643"/>
      <c r="Q7" s="643"/>
      <c r="R7" s="538">
        <f>SUM(R5:R6)</f>
        <v>125000</v>
      </c>
      <c r="S7" s="538">
        <f>SUM(S5:S6)</f>
        <v>37500</v>
      </c>
      <c r="T7" s="538">
        <f>SUM(T5:T6)</f>
        <v>12500</v>
      </c>
      <c r="U7" s="538">
        <f>SUM(U5:U6)</f>
        <v>75000</v>
      </c>
      <c r="V7" s="538">
        <f>SUM(V5:V6)</f>
        <v>172000</v>
      </c>
      <c r="W7" s="538">
        <f>SUM(W5:W6)</f>
        <v>172000</v>
      </c>
      <c r="X7" s="538">
        <f>SUM(X5:X6)</f>
        <v>0</v>
      </c>
      <c r="Y7" s="538">
        <f>SUM(Y5:Y6)</f>
        <v>172000</v>
      </c>
      <c r="Z7" s="538">
        <f>SUM(Z5:Z6)</f>
        <v>5733.333333333333</v>
      </c>
      <c r="AA7" s="538">
        <f>SUM(AA5:AA6)</f>
        <v>33900</v>
      </c>
      <c r="AB7" s="538">
        <f>SUM(AB5:AB6)</f>
        <v>0</v>
      </c>
      <c r="AC7" s="538">
        <f>SUM(AC5:AC6)</f>
        <v>0</v>
      </c>
      <c r="AD7" s="538">
        <f>SUM(AD5:AD6)</f>
        <v>0</v>
      </c>
      <c r="AE7" s="538">
        <f>SUM(AE5:AE6)</f>
        <v>12500</v>
      </c>
      <c r="AF7" s="538">
        <f>SUM(AF5:AF6)</f>
        <v>13799</v>
      </c>
      <c r="AG7" s="538">
        <f>SUM(AG5:AG6)</f>
        <v>1800</v>
      </c>
      <c r="AH7" s="538">
        <f>SUM(AH5:AH6)</f>
        <v>0</v>
      </c>
      <c r="AI7" s="538">
        <f>SUM(AI5:AI6)</f>
        <v>28099</v>
      </c>
      <c r="AJ7" s="538">
        <f>SUM(AJ5:AJ6)</f>
        <v>102700</v>
      </c>
      <c r="AK7" s="538">
        <f>SUM(AK5:AK6)</f>
        <v>1951.5</v>
      </c>
      <c r="AL7" s="538">
        <f>SUM(AL5:AL6)</f>
        <v>0</v>
      </c>
      <c r="AM7" s="539">
        <f>SUM(AM5:AM6)</f>
        <v>0</v>
      </c>
      <c r="AN7" s="359"/>
      <c r="AO7" s="360"/>
      <c r="AP7" s="360"/>
      <c r="AQ7" s="360"/>
      <c r="AR7" s="360"/>
    </row>
    <row r="8" spans="1:45" s="355" customFormat="1" ht="36.5" customHeight="1" thickBot="1">
      <c r="A8" s="540" t="s">
        <v>599</v>
      </c>
      <c r="B8" s="541"/>
      <c r="C8" s="541"/>
      <c r="D8" s="541"/>
      <c r="E8" s="541"/>
      <c r="F8" s="541"/>
      <c r="G8" s="541"/>
      <c r="H8" s="541"/>
      <c r="I8" s="541"/>
      <c r="J8" s="541"/>
      <c r="K8" s="541"/>
      <c r="L8" s="541"/>
      <c r="M8" s="541"/>
      <c r="N8" s="541"/>
      <c r="O8" s="541"/>
      <c r="P8" s="541"/>
      <c r="Q8" s="541"/>
      <c r="R8" s="541"/>
      <c r="S8" s="541"/>
      <c r="T8" s="541"/>
      <c r="U8" s="541"/>
      <c r="V8" s="541"/>
      <c r="W8" s="541"/>
      <c r="X8" s="541"/>
      <c r="Y8" s="541"/>
      <c r="Z8" s="541"/>
      <c r="AA8" s="541"/>
      <c r="AB8" s="541"/>
      <c r="AC8" s="541"/>
      <c r="AD8" s="541"/>
      <c r="AE8" s="541"/>
      <c r="AF8" s="541"/>
      <c r="AG8" s="541"/>
      <c r="AH8" s="541"/>
      <c r="AI8" s="541"/>
      <c r="AJ8" s="541"/>
      <c r="AK8" s="541"/>
      <c r="AL8" s="541"/>
      <c r="AM8" s="542"/>
      <c r="AN8" s="359"/>
      <c r="AO8" s="503"/>
      <c r="AP8" s="503"/>
      <c r="AQ8" s="503"/>
      <c r="AR8" s="503"/>
    </row>
    <row r="9" spans="1:45" ht="135" customHeight="1" thickBot="1">
      <c r="A9" s="644" t="s">
        <v>34</v>
      </c>
      <c r="B9" s="645"/>
      <c r="C9" s="543"/>
      <c r="D9" s="543"/>
      <c r="E9" s="543"/>
      <c r="F9" s="543"/>
      <c r="G9" s="543"/>
      <c r="H9" s="543"/>
      <c r="I9" s="543"/>
      <c r="J9" s="543"/>
      <c r="K9" s="543"/>
      <c r="L9" s="543"/>
      <c r="M9" s="543"/>
      <c r="N9" s="543"/>
      <c r="O9" s="543"/>
      <c r="P9" s="543"/>
      <c r="Q9" s="543"/>
      <c r="R9" s="543"/>
      <c r="S9" s="543"/>
      <c r="T9" s="543"/>
      <c r="U9" s="543"/>
      <c r="V9" s="543"/>
      <c r="W9" s="543" t="s">
        <v>112</v>
      </c>
      <c r="X9" s="543"/>
      <c r="Y9" s="543"/>
      <c r="Z9" s="543"/>
      <c r="AA9" s="543"/>
      <c r="AB9" s="543"/>
      <c r="AC9" s="543"/>
      <c r="AD9" s="543"/>
      <c r="AE9" s="543"/>
      <c r="AF9" s="543"/>
      <c r="AG9" s="543"/>
      <c r="AH9" s="543"/>
      <c r="AI9" s="543"/>
      <c r="AJ9" s="543"/>
      <c r="AK9" s="543"/>
      <c r="AL9" s="646" t="s">
        <v>37</v>
      </c>
      <c r="AM9" s="647"/>
      <c r="AN9" s="93"/>
      <c r="AO9" s="479"/>
      <c r="AP9" s="479"/>
      <c r="AQ9" s="479"/>
      <c r="AR9" s="479"/>
      <c r="AS9" s="480"/>
    </row>
    <row r="10" spans="1:45" ht="20.25" customHeight="1">
      <c r="A10" s="31"/>
      <c r="B10" s="31"/>
      <c r="C10" s="1"/>
      <c r="D10" s="31"/>
      <c r="E10" s="31"/>
      <c r="F10" s="31"/>
      <c r="G10" s="31"/>
      <c r="H10" s="31"/>
      <c r="I10" s="31"/>
      <c r="J10" s="31"/>
      <c r="K10" s="31"/>
      <c r="L10" s="31"/>
      <c r="M10" s="31"/>
      <c r="N10" s="31"/>
      <c r="O10" s="31"/>
      <c r="P10" s="31"/>
      <c r="Q10" s="58"/>
      <c r="R10" s="59"/>
      <c r="S10" s="59"/>
      <c r="T10" s="59"/>
      <c r="U10" s="59"/>
      <c r="V10" s="59"/>
      <c r="W10" s="31"/>
      <c r="X10" s="31"/>
      <c r="Y10" s="60"/>
      <c r="Z10" s="60"/>
      <c r="AA10" s="31"/>
      <c r="AB10" s="31"/>
      <c r="AC10" s="31"/>
      <c r="AD10" s="31"/>
      <c r="AE10" s="31"/>
      <c r="AF10" s="31"/>
      <c r="AG10" s="31"/>
      <c r="AH10" s="31"/>
      <c r="AI10" s="61"/>
      <c r="AJ10" s="61"/>
      <c r="AK10" s="31"/>
      <c r="AL10" s="31"/>
      <c r="AM10" s="1"/>
      <c r="AN10" s="62"/>
      <c r="AO10" s="31"/>
      <c r="AP10" s="31"/>
      <c r="AQ10" s="31"/>
      <c r="AR10" s="31"/>
    </row>
    <row r="11" spans="1:45" ht="20.25" customHeight="1">
      <c r="A11" s="31"/>
      <c r="B11" s="31"/>
      <c r="C11" s="1"/>
      <c r="D11" s="31"/>
      <c r="E11" s="31"/>
      <c r="F11" s="31"/>
      <c r="G11" s="31"/>
      <c r="H11" s="31"/>
      <c r="I11" s="31"/>
      <c r="J11" s="31"/>
      <c r="K11" s="31"/>
      <c r="L11" s="31"/>
      <c r="M11" s="31"/>
      <c r="N11" s="31"/>
      <c r="O11" s="31"/>
      <c r="P11" s="31"/>
      <c r="Q11" s="58"/>
      <c r="R11" s="59"/>
      <c r="S11" s="59"/>
      <c r="T11" s="59"/>
      <c r="U11" s="59"/>
      <c r="V11" s="59"/>
      <c r="W11" s="31"/>
      <c r="X11" s="31"/>
      <c r="Y11" s="60"/>
      <c r="Z11" s="60"/>
      <c r="AA11" s="31"/>
      <c r="AB11" s="31"/>
      <c r="AC11" s="31"/>
      <c r="AD11" s="31"/>
      <c r="AE11" s="31"/>
      <c r="AF11" s="31"/>
      <c r="AG11" s="31"/>
      <c r="AH11" s="31"/>
      <c r="AI11" s="61"/>
      <c r="AJ11" s="61"/>
      <c r="AK11" s="31"/>
      <c r="AL11" s="31"/>
      <c r="AM11" s="1"/>
      <c r="AN11" s="62"/>
      <c r="AO11" s="31"/>
      <c r="AP11" s="31"/>
      <c r="AQ11" s="31"/>
      <c r="AR11" s="31"/>
    </row>
    <row r="12" spans="1:45" ht="20.25" customHeight="1">
      <c r="A12" s="31"/>
      <c r="B12" s="31"/>
      <c r="C12" s="1"/>
      <c r="D12" s="31"/>
      <c r="E12" s="31"/>
      <c r="F12" s="31"/>
      <c r="G12" s="31"/>
      <c r="H12" s="31"/>
      <c r="I12" s="31"/>
      <c r="J12" s="31"/>
      <c r="K12" s="31"/>
      <c r="L12" s="31"/>
      <c r="M12" s="31"/>
      <c r="N12" s="31"/>
      <c r="O12" s="31"/>
      <c r="P12" s="31"/>
      <c r="Q12" s="58"/>
      <c r="R12" s="59"/>
      <c r="S12" s="59"/>
      <c r="T12" s="59"/>
      <c r="U12" s="59"/>
      <c r="V12" s="59"/>
      <c r="W12" s="31"/>
      <c r="X12" s="31"/>
      <c r="Y12" s="60"/>
      <c r="Z12" s="60"/>
      <c r="AA12" s="31"/>
      <c r="AB12" s="31"/>
      <c r="AC12" s="31"/>
      <c r="AD12" s="31"/>
      <c r="AE12" s="31"/>
      <c r="AF12" s="31"/>
      <c r="AG12" s="31"/>
      <c r="AH12" s="31"/>
      <c r="AI12" s="61"/>
      <c r="AJ12" s="61"/>
      <c r="AK12" s="31"/>
      <c r="AL12" s="31"/>
      <c r="AM12" s="1"/>
      <c r="AN12" s="62"/>
      <c r="AO12" s="31"/>
      <c r="AP12" s="31"/>
      <c r="AQ12" s="31"/>
      <c r="AR12" s="31"/>
    </row>
    <row r="13" spans="1:45" ht="20.25" customHeight="1">
      <c r="A13" s="31"/>
      <c r="B13" s="31"/>
      <c r="C13" s="1"/>
      <c r="D13" s="31"/>
      <c r="E13" s="31"/>
      <c r="F13" s="31"/>
      <c r="G13" s="31"/>
      <c r="H13" s="31"/>
      <c r="I13" s="31"/>
      <c r="J13" s="31"/>
      <c r="K13" s="31"/>
      <c r="L13" s="31"/>
      <c r="M13" s="31"/>
      <c r="N13" s="31"/>
      <c r="O13" s="31"/>
      <c r="P13" s="31"/>
      <c r="Q13" s="58"/>
      <c r="R13" s="59"/>
      <c r="S13" s="59"/>
      <c r="T13" s="59"/>
      <c r="U13" s="59"/>
      <c r="V13" s="59"/>
      <c r="W13" s="31"/>
      <c r="X13" s="31"/>
      <c r="Y13" s="60"/>
      <c r="Z13" s="60"/>
      <c r="AA13" s="31"/>
      <c r="AB13" s="31"/>
      <c r="AC13" s="31"/>
      <c r="AD13" s="31"/>
      <c r="AE13" s="31"/>
      <c r="AF13" s="31"/>
      <c r="AG13" s="31"/>
      <c r="AH13" s="31"/>
      <c r="AI13" s="61"/>
      <c r="AJ13" s="61"/>
      <c r="AK13" s="31"/>
      <c r="AL13" s="31"/>
      <c r="AM13" s="1"/>
      <c r="AN13" s="62"/>
      <c r="AO13" s="31"/>
      <c r="AP13" s="31"/>
      <c r="AQ13" s="31"/>
      <c r="AR13" s="31"/>
    </row>
    <row r="14" spans="1:45" ht="20.25" customHeight="1">
      <c r="A14" s="31"/>
      <c r="B14" s="31"/>
      <c r="C14" s="1"/>
      <c r="D14" s="31"/>
      <c r="E14" s="31"/>
      <c r="F14" s="31"/>
      <c r="G14" s="31"/>
      <c r="H14" s="31"/>
      <c r="I14" s="31"/>
      <c r="J14" s="31"/>
      <c r="K14" s="31"/>
      <c r="L14" s="31"/>
      <c r="M14" s="31"/>
      <c r="N14" s="31"/>
      <c r="O14" s="31"/>
      <c r="P14" s="31"/>
      <c r="Q14" s="58"/>
      <c r="R14" s="59"/>
      <c r="S14" s="59"/>
      <c r="T14" s="59"/>
      <c r="U14" s="59"/>
      <c r="V14" s="59"/>
      <c r="W14" s="31"/>
      <c r="X14" s="31"/>
      <c r="Y14" s="60"/>
      <c r="Z14" s="60"/>
      <c r="AA14" s="31"/>
      <c r="AB14" s="31"/>
      <c r="AC14" s="31"/>
      <c r="AD14" s="31"/>
      <c r="AE14" s="31"/>
      <c r="AF14" s="31"/>
      <c r="AG14" s="31"/>
      <c r="AH14" s="31"/>
      <c r="AI14" s="61"/>
      <c r="AJ14" s="61"/>
      <c r="AK14" s="31"/>
      <c r="AL14" s="31"/>
      <c r="AM14" s="1"/>
      <c r="AN14" s="62"/>
      <c r="AO14" s="31"/>
      <c r="AP14" s="31"/>
      <c r="AQ14" s="31"/>
      <c r="AR14" s="31"/>
    </row>
    <row r="15" spans="1:45" ht="20.25" customHeight="1">
      <c r="A15" s="31"/>
      <c r="B15" s="31"/>
      <c r="C15" s="1"/>
      <c r="D15" s="31"/>
      <c r="E15" s="31"/>
      <c r="F15" s="31"/>
      <c r="G15" s="31"/>
      <c r="H15" s="31"/>
      <c r="I15" s="31"/>
      <c r="J15" s="31"/>
      <c r="K15" s="31"/>
      <c r="L15" s="31"/>
      <c r="M15" s="31"/>
      <c r="N15" s="31"/>
      <c r="O15" s="31"/>
      <c r="P15" s="31"/>
      <c r="Q15" s="58"/>
      <c r="R15" s="59"/>
      <c r="S15" s="59"/>
      <c r="T15" s="59"/>
      <c r="U15" s="59"/>
      <c r="V15" s="59"/>
      <c r="W15" s="31"/>
      <c r="X15" s="31"/>
      <c r="Y15" s="60"/>
      <c r="Z15" s="60"/>
      <c r="AA15" s="31"/>
      <c r="AB15" s="31"/>
      <c r="AC15" s="31"/>
      <c r="AD15" s="31"/>
      <c r="AE15" s="31"/>
      <c r="AF15" s="31"/>
      <c r="AG15" s="31"/>
      <c r="AH15" s="31"/>
      <c r="AI15" s="61"/>
      <c r="AJ15" s="61"/>
      <c r="AK15" s="31"/>
      <c r="AL15" s="31"/>
      <c r="AM15" s="1"/>
      <c r="AN15" s="62"/>
      <c r="AO15" s="31"/>
      <c r="AP15" s="31"/>
      <c r="AQ15" s="31"/>
      <c r="AR15" s="31"/>
    </row>
    <row r="16" spans="1:45" ht="20.25" customHeight="1">
      <c r="A16" s="31"/>
      <c r="B16" s="31"/>
      <c r="C16" s="1"/>
      <c r="D16" s="31"/>
      <c r="E16" s="31"/>
      <c r="F16" s="31"/>
      <c r="G16" s="31"/>
      <c r="H16" s="31"/>
      <c r="I16" s="31"/>
      <c r="J16" s="31"/>
      <c r="K16" s="31"/>
      <c r="L16" s="31"/>
      <c r="M16" s="31"/>
      <c r="N16" s="31"/>
      <c r="O16" s="31"/>
      <c r="P16" s="31"/>
      <c r="Q16" s="58"/>
      <c r="R16" s="59"/>
      <c r="S16" s="59"/>
      <c r="T16" s="59"/>
      <c r="U16" s="59"/>
      <c r="V16" s="59"/>
      <c r="W16" s="31"/>
      <c r="X16" s="31"/>
      <c r="Y16" s="60"/>
      <c r="Z16" s="60"/>
      <c r="AA16" s="31"/>
      <c r="AB16" s="31"/>
      <c r="AC16" s="31"/>
      <c r="AD16" s="31"/>
      <c r="AE16" s="31"/>
      <c r="AF16" s="31"/>
      <c r="AG16" s="31"/>
      <c r="AH16" s="31"/>
      <c r="AI16" s="61"/>
      <c r="AJ16" s="61"/>
      <c r="AK16" s="31"/>
      <c r="AL16" s="31"/>
      <c r="AM16" s="1"/>
      <c r="AN16" s="62"/>
      <c r="AO16" s="31"/>
      <c r="AP16" s="31"/>
      <c r="AQ16" s="31"/>
      <c r="AR16" s="31"/>
    </row>
    <row r="17" spans="1:44" ht="20.25" customHeight="1">
      <c r="A17" s="31"/>
      <c r="B17" s="31"/>
      <c r="C17" s="1"/>
      <c r="D17" s="31"/>
      <c r="E17" s="31"/>
      <c r="F17" s="31"/>
      <c r="G17" s="31"/>
      <c r="H17" s="31"/>
      <c r="I17" s="31"/>
      <c r="J17" s="31"/>
      <c r="K17" s="31"/>
      <c r="L17" s="31"/>
      <c r="M17" s="31"/>
      <c r="N17" s="31"/>
      <c r="O17" s="31"/>
      <c r="P17" s="31"/>
      <c r="Q17" s="58"/>
      <c r="R17" s="59"/>
      <c r="S17" s="59"/>
      <c r="T17" s="59"/>
      <c r="U17" s="59"/>
      <c r="V17" s="59"/>
      <c r="W17" s="31"/>
      <c r="X17" s="31"/>
      <c r="Y17" s="60"/>
      <c r="Z17" s="60"/>
      <c r="AA17" s="31"/>
      <c r="AB17" s="31"/>
      <c r="AC17" s="31"/>
      <c r="AD17" s="31"/>
      <c r="AE17" s="31"/>
      <c r="AF17" s="31"/>
      <c r="AG17" s="31"/>
      <c r="AH17" s="31"/>
      <c r="AI17" s="61"/>
      <c r="AJ17" s="61"/>
      <c r="AK17" s="31"/>
      <c r="AL17" s="31"/>
      <c r="AM17" s="1"/>
      <c r="AN17" s="62"/>
      <c r="AO17" s="31"/>
      <c r="AP17" s="31"/>
      <c r="AQ17" s="31"/>
      <c r="AR17" s="31"/>
    </row>
    <row r="18" spans="1:44" ht="20.25" customHeight="1">
      <c r="A18" s="31"/>
      <c r="B18" s="31"/>
      <c r="C18" s="1"/>
      <c r="D18" s="31"/>
      <c r="E18" s="31"/>
      <c r="F18" s="31"/>
      <c r="G18" s="31"/>
      <c r="H18" s="31"/>
      <c r="I18" s="31"/>
      <c r="J18" s="31"/>
      <c r="K18" s="31"/>
      <c r="L18" s="31"/>
      <c r="M18" s="31"/>
      <c r="N18" s="31"/>
      <c r="O18" s="31"/>
      <c r="P18" s="31"/>
      <c r="Q18" s="58"/>
      <c r="R18" s="59"/>
      <c r="S18" s="59"/>
      <c r="T18" s="59"/>
      <c r="U18" s="59"/>
      <c r="V18" s="59"/>
      <c r="W18" s="31"/>
      <c r="X18" s="31"/>
      <c r="Y18" s="60"/>
      <c r="Z18" s="60"/>
      <c r="AA18" s="31"/>
      <c r="AB18" s="31"/>
      <c r="AC18" s="31"/>
      <c r="AD18" s="31"/>
      <c r="AE18" s="31"/>
      <c r="AF18" s="31"/>
      <c r="AG18" s="31"/>
      <c r="AH18" s="31"/>
      <c r="AI18" s="61"/>
      <c r="AJ18" s="61"/>
      <c r="AK18" s="31"/>
      <c r="AL18" s="31"/>
      <c r="AM18" s="1"/>
      <c r="AN18" s="62"/>
      <c r="AO18" s="31"/>
      <c r="AP18" s="31"/>
      <c r="AQ18" s="31"/>
      <c r="AR18" s="31"/>
    </row>
    <row r="19" spans="1:44" ht="20.25" customHeight="1">
      <c r="A19" s="31"/>
      <c r="B19" s="31"/>
      <c r="C19" s="1"/>
      <c r="D19" s="31"/>
      <c r="E19" s="31"/>
      <c r="F19" s="31"/>
      <c r="G19" s="31"/>
      <c r="H19" s="31"/>
      <c r="I19" s="31"/>
      <c r="J19" s="31"/>
      <c r="K19" s="31"/>
      <c r="L19" s="31"/>
      <c r="M19" s="31"/>
      <c r="N19" s="31"/>
      <c r="O19" s="31"/>
      <c r="P19" s="31"/>
      <c r="Q19" s="58"/>
      <c r="R19" s="59"/>
      <c r="S19" s="59"/>
      <c r="T19" s="59"/>
      <c r="U19" s="59"/>
      <c r="V19" s="59"/>
      <c r="W19" s="31"/>
      <c r="X19" s="31"/>
      <c r="Y19" s="60"/>
      <c r="Z19" s="60"/>
      <c r="AA19" s="31"/>
      <c r="AB19" s="31"/>
      <c r="AC19" s="31"/>
      <c r="AD19" s="31"/>
      <c r="AE19" s="31"/>
      <c r="AF19" s="31"/>
      <c r="AG19" s="31"/>
      <c r="AH19" s="31"/>
      <c r="AI19" s="61"/>
      <c r="AJ19" s="61"/>
      <c r="AK19" s="31"/>
      <c r="AL19" s="31"/>
      <c r="AM19" s="1"/>
      <c r="AN19" s="62"/>
      <c r="AO19" s="31"/>
      <c r="AP19" s="31"/>
      <c r="AQ19" s="31"/>
      <c r="AR19" s="31"/>
    </row>
    <row r="20" spans="1:44" ht="20.25" customHeight="1">
      <c r="A20" s="31"/>
      <c r="B20" s="31"/>
      <c r="C20" s="1"/>
      <c r="D20" s="31"/>
      <c r="E20" s="31"/>
      <c r="F20" s="31"/>
      <c r="G20" s="31"/>
      <c r="H20" s="31"/>
      <c r="I20" s="31"/>
      <c r="J20" s="31"/>
      <c r="K20" s="31"/>
      <c r="L20" s="31"/>
      <c r="M20" s="31"/>
      <c r="N20" s="31"/>
      <c r="O20" s="31"/>
      <c r="P20" s="31"/>
      <c r="Q20" s="58"/>
      <c r="R20" s="59"/>
      <c r="S20" s="59"/>
      <c r="T20" s="59"/>
      <c r="U20" s="59"/>
      <c r="V20" s="59"/>
      <c r="W20" s="31"/>
      <c r="X20" s="31"/>
      <c r="Y20" s="60"/>
      <c r="Z20" s="60"/>
      <c r="AA20" s="31"/>
      <c r="AB20" s="31"/>
      <c r="AC20" s="31"/>
      <c r="AD20" s="31"/>
      <c r="AE20" s="31"/>
      <c r="AF20" s="31"/>
      <c r="AG20" s="31"/>
      <c r="AH20" s="31"/>
      <c r="AI20" s="61"/>
      <c r="AJ20" s="61"/>
      <c r="AK20" s="31"/>
      <c r="AL20" s="31"/>
      <c r="AM20" s="1"/>
      <c r="AN20" s="62"/>
      <c r="AO20" s="31"/>
      <c r="AP20" s="31"/>
      <c r="AQ20" s="31"/>
      <c r="AR20" s="31"/>
    </row>
    <row r="21" spans="1:44" ht="20.25" customHeight="1">
      <c r="A21" s="31"/>
      <c r="B21" s="31"/>
      <c r="C21" s="1"/>
      <c r="D21" s="31"/>
      <c r="E21" s="31"/>
      <c r="F21" s="31"/>
      <c r="G21" s="31"/>
      <c r="H21" s="31"/>
      <c r="I21" s="31"/>
      <c r="J21" s="31"/>
      <c r="K21" s="31"/>
      <c r="L21" s="31"/>
      <c r="M21" s="31"/>
      <c r="N21" s="31"/>
      <c r="O21" s="31"/>
      <c r="P21" s="31"/>
      <c r="Q21" s="58"/>
      <c r="R21" s="59"/>
      <c r="S21" s="59"/>
      <c r="T21" s="59"/>
      <c r="U21" s="59"/>
      <c r="V21" s="59"/>
      <c r="W21" s="31"/>
      <c r="X21" s="31"/>
      <c r="Y21" s="60"/>
      <c r="Z21" s="60"/>
      <c r="AA21" s="31"/>
      <c r="AB21" s="31"/>
      <c r="AC21" s="31"/>
      <c r="AD21" s="31"/>
      <c r="AE21" s="31"/>
      <c r="AF21" s="31"/>
      <c r="AG21" s="31"/>
      <c r="AH21" s="31"/>
      <c r="AI21" s="61"/>
      <c r="AJ21" s="61"/>
      <c r="AK21" s="31"/>
      <c r="AL21" s="31"/>
      <c r="AM21" s="1"/>
      <c r="AN21" s="62"/>
      <c r="AO21" s="31"/>
      <c r="AP21" s="31"/>
      <c r="AQ21" s="31"/>
      <c r="AR21" s="31"/>
    </row>
    <row r="22" spans="1:44" ht="20.25" customHeight="1">
      <c r="A22" s="31"/>
      <c r="B22" s="31"/>
      <c r="C22" s="1"/>
      <c r="D22" s="31"/>
      <c r="E22" s="31"/>
      <c r="F22" s="31"/>
      <c r="G22" s="31"/>
      <c r="H22" s="31"/>
      <c r="I22" s="31"/>
      <c r="J22" s="31"/>
      <c r="K22" s="31"/>
      <c r="L22" s="31"/>
      <c r="M22" s="31"/>
      <c r="N22" s="31"/>
      <c r="O22" s="31"/>
      <c r="P22" s="31"/>
      <c r="Q22" s="58"/>
      <c r="R22" s="59"/>
      <c r="S22" s="59"/>
      <c r="T22" s="59"/>
      <c r="U22" s="59"/>
      <c r="V22" s="59"/>
      <c r="W22" s="31"/>
      <c r="X22" s="31"/>
      <c r="Y22" s="60"/>
      <c r="Z22" s="60"/>
      <c r="AA22" s="31"/>
      <c r="AB22" s="31"/>
      <c r="AC22" s="31"/>
      <c r="AD22" s="31"/>
      <c r="AE22" s="31"/>
      <c r="AF22" s="31"/>
      <c r="AG22" s="31"/>
      <c r="AH22" s="31"/>
      <c r="AI22" s="61"/>
      <c r="AJ22" s="61"/>
      <c r="AK22" s="31"/>
      <c r="AL22" s="31"/>
      <c r="AM22" s="1"/>
      <c r="AN22" s="62"/>
      <c r="AO22" s="31"/>
      <c r="AP22" s="31"/>
      <c r="AQ22" s="31"/>
      <c r="AR22" s="31"/>
    </row>
    <row r="23" spans="1:44" ht="20.25" customHeight="1">
      <c r="A23" s="31"/>
      <c r="B23" s="31"/>
      <c r="C23" s="1"/>
      <c r="D23" s="31"/>
      <c r="E23" s="31"/>
      <c r="F23" s="31"/>
      <c r="G23" s="31"/>
      <c r="H23" s="31"/>
      <c r="I23" s="31"/>
      <c r="J23" s="31"/>
      <c r="K23" s="31"/>
      <c r="L23" s="31"/>
      <c r="M23" s="31"/>
      <c r="N23" s="31"/>
      <c r="O23" s="31"/>
      <c r="P23" s="31"/>
      <c r="Q23" s="58"/>
      <c r="R23" s="59"/>
      <c r="S23" s="59"/>
      <c r="T23" s="59"/>
      <c r="U23" s="59"/>
      <c r="V23" s="59"/>
      <c r="W23" s="31"/>
      <c r="X23" s="31"/>
      <c r="Y23" s="60"/>
      <c r="Z23" s="60"/>
      <c r="AA23" s="31"/>
      <c r="AB23" s="31"/>
      <c r="AC23" s="31"/>
      <c r="AD23" s="31"/>
      <c r="AE23" s="31"/>
      <c r="AF23" s="31"/>
      <c r="AG23" s="31"/>
      <c r="AH23" s="31"/>
      <c r="AI23" s="61"/>
      <c r="AJ23" s="61"/>
      <c r="AK23" s="31"/>
      <c r="AL23" s="31"/>
      <c r="AM23" s="1"/>
      <c r="AN23" s="62"/>
      <c r="AO23" s="31"/>
      <c r="AP23" s="31"/>
      <c r="AQ23" s="31"/>
      <c r="AR23" s="31"/>
    </row>
    <row r="24" spans="1:44" ht="20.25" customHeight="1">
      <c r="A24" s="31"/>
      <c r="B24" s="31"/>
      <c r="C24" s="1"/>
      <c r="D24" s="31"/>
      <c r="E24" s="31"/>
      <c r="F24" s="31"/>
      <c r="G24" s="31"/>
      <c r="H24" s="31"/>
      <c r="I24" s="31"/>
      <c r="J24" s="31"/>
      <c r="K24" s="31"/>
      <c r="L24" s="31"/>
      <c r="M24" s="31"/>
      <c r="N24" s="31"/>
      <c r="O24" s="31"/>
      <c r="P24" s="31"/>
      <c r="Q24" s="58"/>
      <c r="R24" s="59"/>
      <c r="S24" s="59"/>
      <c r="T24" s="59"/>
      <c r="U24" s="59"/>
      <c r="V24" s="59"/>
      <c r="W24" s="31"/>
      <c r="X24" s="31"/>
      <c r="Y24" s="60"/>
      <c r="Z24" s="60"/>
      <c r="AA24" s="31"/>
      <c r="AB24" s="31"/>
      <c r="AC24" s="31"/>
      <c r="AD24" s="31"/>
      <c r="AE24" s="31"/>
      <c r="AF24" s="31"/>
      <c r="AG24" s="31"/>
      <c r="AH24" s="31"/>
      <c r="AI24" s="61"/>
      <c r="AJ24" s="61"/>
      <c r="AK24" s="31"/>
      <c r="AL24" s="31"/>
      <c r="AM24" s="1"/>
      <c r="AN24" s="62"/>
      <c r="AO24" s="31"/>
      <c r="AP24" s="31"/>
      <c r="AQ24" s="31"/>
      <c r="AR24" s="31"/>
    </row>
    <row r="25" spans="1:44" ht="20.25" customHeight="1">
      <c r="A25" s="31"/>
      <c r="B25" s="31"/>
      <c r="C25" s="1"/>
      <c r="D25" s="31"/>
      <c r="E25" s="31"/>
      <c r="F25" s="31"/>
      <c r="G25" s="31"/>
      <c r="H25" s="31"/>
      <c r="I25" s="31"/>
      <c r="J25" s="31"/>
      <c r="K25" s="31"/>
      <c r="L25" s="31"/>
      <c r="M25" s="31"/>
      <c r="N25" s="31"/>
      <c r="O25" s="31"/>
      <c r="P25" s="31"/>
      <c r="Q25" s="58"/>
      <c r="R25" s="59"/>
      <c r="S25" s="59"/>
      <c r="T25" s="59"/>
      <c r="U25" s="59"/>
      <c r="V25" s="59"/>
      <c r="W25" s="31"/>
      <c r="X25" s="31"/>
      <c r="Y25" s="60"/>
      <c r="Z25" s="60"/>
      <c r="AA25" s="31"/>
      <c r="AB25" s="31"/>
      <c r="AC25" s="31"/>
      <c r="AD25" s="31"/>
      <c r="AE25" s="31"/>
      <c r="AF25" s="31"/>
      <c r="AG25" s="31"/>
      <c r="AH25" s="31"/>
      <c r="AI25" s="61"/>
      <c r="AJ25" s="61"/>
      <c r="AK25" s="31"/>
      <c r="AL25" s="31"/>
      <c r="AM25" s="1"/>
      <c r="AN25" s="62"/>
      <c r="AO25" s="31"/>
      <c r="AP25" s="31"/>
      <c r="AQ25" s="31"/>
      <c r="AR25" s="31"/>
    </row>
    <row r="26" spans="1:44" ht="20.25" customHeight="1">
      <c r="A26" s="31"/>
      <c r="B26" s="31"/>
      <c r="C26" s="1"/>
      <c r="D26" s="31"/>
      <c r="E26" s="31"/>
      <c r="F26" s="31"/>
      <c r="G26" s="31"/>
      <c r="H26" s="31"/>
      <c r="I26" s="31"/>
      <c r="J26" s="31"/>
      <c r="K26" s="31"/>
      <c r="L26" s="31"/>
      <c r="M26" s="31"/>
      <c r="N26" s="31"/>
      <c r="O26" s="31"/>
      <c r="P26" s="31"/>
      <c r="Q26" s="58"/>
      <c r="R26" s="59"/>
      <c r="S26" s="59"/>
      <c r="T26" s="59"/>
      <c r="U26" s="59"/>
      <c r="V26" s="59"/>
      <c r="W26" s="31"/>
      <c r="X26" s="31"/>
      <c r="Y26" s="60"/>
      <c r="Z26" s="60"/>
      <c r="AA26" s="31"/>
      <c r="AB26" s="31"/>
      <c r="AC26" s="31"/>
      <c r="AD26" s="31"/>
      <c r="AE26" s="31"/>
      <c r="AF26" s="31"/>
      <c r="AG26" s="31"/>
      <c r="AH26" s="31"/>
      <c r="AI26" s="61"/>
      <c r="AJ26" s="61"/>
      <c r="AK26" s="31"/>
      <c r="AL26" s="31"/>
      <c r="AM26" s="1"/>
      <c r="AN26" s="62"/>
      <c r="AO26" s="31"/>
      <c r="AP26" s="31"/>
      <c r="AQ26" s="31"/>
      <c r="AR26" s="31"/>
    </row>
    <row r="27" spans="1:44" ht="20.25" customHeight="1">
      <c r="A27" s="31"/>
      <c r="B27" s="31"/>
      <c r="C27" s="1"/>
      <c r="D27" s="31"/>
      <c r="E27" s="31"/>
      <c r="F27" s="31"/>
      <c r="G27" s="31"/>
      <c r="H27" s="31"/>
      <c r="I27" s="31"/>
      <c r="J27" s="31"/>
      <c r="K27" s="31"/>
      <c r="L27" s="31"/>
      <c r="M27" s="31"/>
      <c r="N27" s="31"/>
      <c r="O27" s="31"/>
      <c r="P27" s="31"/>
      <c r="Q27" s="58"/>
      <c r="R27" s="59"/>
      <c r="S27" s="59"/>
      <c r="T27" s="59"/>
      <c r="U27" s="59"/>
      <c r="V27" s="59"/>
      <c r="W27" s="31"/>
      <c r="X27" s="31"/>
      <c r="Y27" s="60"/>
      <c r="Z27" s="60"/>
      <c r="AA27" s="31"/>
      <c r="AB27" s="31"/>
      <c r="AC27" s="31"/>
      <c r="AD27" s="31"/>
      <c r="AE27" s="31"/>
      <c r="AF27" s="31"/>
      <c r="AG27" s="31"/>
      <c r="AH27" s="31"/>
      <c r="AI27" s="61"/>
      <c r="AJ27" s="61"/>
      <c r="AK27" s="31"/>
      <c r="AL27" s="31"/>
      <c r="AM27" s="1"/>
      <c r="AN27" s="62"/>
      <c r="AO27" s="31"/>
      <c r="AP27" s="31"/>
      <c r="AQ27" s="31"/>
      <c r="AR27" s="31"/>
    </row>
    <row r="28" spans="1:44" ht="20.25" customHeight="1">
      <c r="A28" s="31"/>
      <c r="B28" s="31"/>
      <c r="C28" s="1"/>
      <c r="D28" s="31"/>
      <c r="E28" s="31"/>
      <c r="F28" s="31"/>
      <c r="G28" s="31"/>
      <c r="H28" s="31"/>
      <c r="I28" s="31"/>
      <c r="J28" s="31"/>
      <c r="K28" s="31"/>
      <c r="L28" s="31"/>
      <c r="M28" s="31"/>
      <c r="N28" s="31"/>
      <c r="O28" s="31"/>
      <c r="P28" s="31"/>
      <c r="Q28" s="58"/>
      <c r="R28" s="59"/>
      <c r="S28" s="59"/>
      <c r="T28" s="59"/>
      <c r="U28" s="59"/>
      <c r="V28" s="59"/>
      <c r="W28" s="31"/>
      <c r="X28" s="31"/>
      <c r="Y28" s="60"/>
      <c r="Z28" s="60"/>
      <c r="AA28" s="31"/>
      <c r="AB28" s="31"/>
      <c r="AC28" s="31"/>
      <c r="AD28" s="31"/>
      <c r="AE28" s="31"/>
      <c r="AF28" s="31"/>
      <c r="AG28" s="31"/>
      <c r="AH28" s="31"/>
      <c r="AI28" s="61"/>
      <c r="AJ28" s="61"/>
      <c r="AK28" s="31"/>
      <c r="AL28" s="31"/>
      <c r="AM28" s="1"/>
      <c r="AN28" s="62"/>
      <c r="AO28" s="31"/>
      <c r="AP28" s="31"/>
      <c r="AQ28" s="31"/>
      <c r="AR28" s="31"/>
    </row>
    <row r="29" spans="1:44" ht="20.25" customHeight="1">
      <c r="A29" s="31"/>
      <c r="B29" s="31"/>
      <c r="C29" s="1"/>
      <c r="D29" s="31"/>
      <c r="E29" s="31"/>
      <c r="F29" s="31"/>
      <c r="G29" s="31"/>
      <c r="H29" s="31"/>
      <c r="I29" s="31"/>
      <c r="J29" s="31"/>
      <c r="K29" s="31"/>
      <c r="L29" s="31"/>
      <c r="M29" s="31"/>
      <c r="N29" s="31"/>
      <c r="O29" s="31"/>
      <c r="P29" s="31"/>
      <c r="Q29" s="58"/>
      <c r="R29" s="59"/>
      <c r="S29" s="59"/>
      <c r="T29" s="59"/>
      <c r="U29" s="59"/>
      <c r="V29" s="59"/>
      <c r="W29" s="31"/>
      <c r="X29" s="31"/>
      <c r="Y29" s="60"/>
      <c r="Z29" s="60"/>
      <c r="AA29" s="31"/>
      <c r="AB29" s="31"/>
      <c r="AC29" s="31"/>
      <c r="AD29" s="31"/>
      <c r="AE29" s="31"/>
      <c r="AF29" s="31"/>
      <c r="AG29" s="31"/>
      <c r="AH29" s="31"/>
      <c r="AI29" s="61"/>
      <c r="AJ29" s="61"/>
      <c r="AK29" s="31"/>
      <c r="AL29" s="31"/>
      <c r="AM29" s="1"/>
      <c r="AN29" s="62"/>
      <c r="AO29" s="31"/>
      <c r="AP29" s="31"/>
      <c r="AQ29" s="31"/>
      <c r="AR29" s="31"/>
    </row>
    <row r="30" spans="1:44" ht="20.25" customHeight="1">
      <c r="A30" s="31"/>
      <c r="B30" s="31"/>
      <c r="C30" s="1"/>
      <c r="D30" s="31"/>
      <c r="E30" s="31"/>
      <c r="F30" s="31"/>
      <c r="G30" s="31"/>
      <c r="H30" s="31"/>
      <c r="I30" s="31"/>
      <c r="J30" s="31"/>
      <c r="K30" s="31"/>
      <c r="L30" s="31"/>
      <c r="M30" s="31"/>
      <c r="N30" s="31"/>
      <c r="O30" s="31"/>
      <c r="P30" s="31"/>
      <c r="Q30" s="58"/>
      <c r="R30" s="59"/>
      <c r="S30" s="59"/>
      <c r="T30" s="59"/>
      <c r="U30" s="59"/>
      <c r="V30" s="59"/>
      <c r="W30" s="31"/>
      <c r="X30" s="31"/>
      <c r="Y30" s="60"/>
      <c r="Z30" s="60"/>
      <c r="AA30" s="31"/>
      <c r="AB30" s="31"/>
      <c r="AC30" s="31"/>
      <c r="AD30" s="31"/>
      <c r="AE30" s="31"/>
      <c r="AF30" s="31"/>
      <c r="AG30" s="31"/>
      <c r="AH30" s="31"/>
      <c r="AI30" s="61"/>
      <c r="AJ30" s="61"/>
      <c r="AK30" s="31"/>
      <c r="AL30" s="31"/>
      <c r="AM30" s="1"/>
      <c r="AN30" s="62"/>
      <c r="AO30" s="31"/>
      <c r="AP30" s="31"/>
      <c r="AQ30" s="31"/>
      <c r="AR30" s="31"/>
    </row>
  </sheetData>
  <mergeCells count="9">
    <mergeCell ref="A7:Q7"/>
    <mergeCell ref="A9:B9"/>
    <mergeCell ref="AL9:AM9"/>
    <mergeCell ref="A1:AM1"/>
    <mergeCell ref="A2:AM2"/>
    <mergeCell ref="D3:Q3"/>
    <mergeCell ref="R3:U3"/>
    <mergeCell ref="AB3:AI3"/>
    <mergeCell ref="AK3:AL3"/>
  </mergeCells>
  <conditionalFormatting sqref="J5:J6 M5:N6">
    <cfRule type="cellIs" dxfId="25" priority="1" stopIfTrue="1" operator="equal">
      <formula>"ER"</formula>
    </cfRule>
  </conditionalFormatting>
  <printOptions horizontalCentered="1"/>
  <pageMargins left="0.2" right="0" top="0.23622047244094499" bottom="0" header="0" footer="0"/>
  <pageSetup paperSize="9" scale="24" fitToHeight="0" orientation="landscape"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5623"/>
    <pageSetUpPr fitToPage="1"/>
  </sheetPr>
  <dimension ref="A1:AR96"/>
  <sheetViews>
    <sheetView zoomScale="55" zoomScaleNormal="55" workbookViewId="0">
      <pane ySplit="4" topLeftCell="A5" activePane="bottomLeft" state="frozen"/>
      <selection pane="bottomLeft" activeCell="L6" sqref="L6"/>
    </sheetView>
  </sheetViews>
  <sheetFormatPr defaultColWidth="16.81640625" defaultRowHeight="15" customHeight="1"/>
  <cols>
    <col min="1" max="1" width="5.1796875" customWidth="1"/>
    <col min="2" max="2" width="32" customWidth="1"/>
    <col min="3" max="3" width="30.453125" customWidth="1"/>
    <col min="4" max="5" width="6" customWidth="1"/>
    <col min="6" max="7" width="6" hidden="1" customWidth="1"/>
    <col min="8" max="8" width="6" customWidth="1"/>
    <col min="9" max="11" width="6" hidden="1" customWidth="1"/>
    <col min="12" max="12" width="6" customWidth="1"/>
    <col min="13" max="13" width="8.1796875" customWidth="1"/>
    <col min="14" max="15" width="6" hidden="1" customWidth="1"/>
    <col min="16" max="16" width="8.7265625" customWidth="1"/>
    <col min="17" max="17" width="8.26953125" customWidth="1"/>
    <col min="18" max="18" width="16.26953125" hidden="1" customWidth="1"/>
    <col min="19" max="19" width="15.7265625" hidden="1" customWidth="1"/>
    <col min="20" max="20" width="12.1796875" hidden="1" customWidth="1"/>
    <col min="21" max="21" width="17.453125" hidden="1" customWidth="1"/>
    <col min="22" max="22" width="15.7265625" bestFit="1" customWidth="1"/>
    <col min="23" max="23" width="19.81640625" bestFit="1" customWidth="1"/>
    <col min="24" max="24" width="16.453125" customWidth="1"/>
    <col min="25" max="25" width="26.1796875" customWidth="1"/>
    <col min="26" max="26" width="16.26953125" customWidth="1"/>
    <col min="27" max="27" width="17.26953125" customWidth="1"/>
    <col min="28" max="28" width="15" customWidth="1"/>
    <col min="29" max="30" width="9.81640625" customWidth="1"/>
    <col min="31" max="31" width="12.1796875" bestFit="1" customWidth="1"/>
    <col min="32" max="32" width="12.1796875" customWidth="1"/>
    <col min="33" max="34" width="10.7265625" customWidth="1"/>
    <col min="35" max="35" width="15.7265625" customWidth="1"/>
    <col min="36" max="36" width="15.7265625" bestFit="1" customWidth="1"/>
    <col min="37" max="38" width="10.7265625" customWidth="1"/>
    <col min="39" max="39" width="42.81640625" customWidth="1"/>
    <col min="40" max="40" width="30.1796875" customWidth="1"/>
  </cols>
  <sheetData>
    <row r="1" spans="1:44" ht="20.25" customHeight="1">
      <c r="A1" s="672" t="s">
        <v>0</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B1" s="673"/>
      <c r="AC1" s="673"/>
      <c r="AD1" s="673"/>
      <c r="AE1" s="673"/>
      <c r="AF1" s="673"/>
      <c r="AG1" s="673"/>
      <c r="AH1" s="673"/>
      <c r="AI1" s="673"/>
      <c r="AJ1" s="673"/>
      <c r="AK1" s="673"/>
      <c r="AL1" s="673"/>
      <c r="AM1" s="674"/>
      <c r="AN1" s="31"/>
    </row>
    <row r="2" spans="1:44" ht="20.25" customHeight="1">
      <c r="A2" s="675" t="s">
        <v>570</v>
      </c>
      <c r="B2" s="676"/>
      <c r="C2" s="676"/>
      <c r="D2" s="676"/>
      <c r="E2" s="676"/>
      <c r="F2" s="676"/>
      <c r="G2" s="676"/>
      <c r="H2" s="676"/>
      <c r="I2" s="676"/>
      <c r="J2" s="676"/>
      <c r="K2" s="676"/>
      <c r="L2" s="676"/>
      <c r="M2" s="676"/>
      <c r="N2" s="676"/>
      <c r="O2" s="676"/>
      <c r="P2" s="676"/>
      <c r="Q2" s="676"/>
      <c r="R2" s="676"/>
      <c r="S2" s="676"/>
      <c r="T2" s="676"/>
      <c r="U2" s="676"/>
      <c r="V2" s="676"/>
      <c r="W2" s="676"/>
      <c r="X2" s="676"/>
      <c r="Y2" s="676"/>
      <c r="Z2" s="676"/>
      <c r="AA2" s="676"/>
      <c r="AB2" s="676"/>
      <c r="AC2" s="676"/>
      <c r="AD2" s="676"/>
      <c r="AE2" s="676"/>
      <c r="AF2" s="676"/>
      <c r="AG2" s="676"/>
      <c r="AH2" s="676"/>
      <c r="AI2" s="676"/>
      <c r="AJ2" s="676"/>
      <c r="AK2" s="676"/>
      <c r="AL2" s="676"/>
      <c r="AM2" s="677"/>
      <c r="AN2" s="31"/>
    </row>
    <row r="3" spans="1:44" ht="45.75" customHeight="1">
      <c r="A3" s="662" t="s">
        <v>39</v>
      </c>
      <c r="B3" s="664" t="s">
        <v>40</v>
      </c>
      <c r="C3" s="664" t="s">
        <v>41</v>
      </c>
      <c r="D3" s="667" t="s">
        <v>42</v>
      </c>
      <c r="E3" s="668"/>
      <c r="F3" s="668"/>
      <c r="G3" s="668"/>
      <c r="H3" s="668"/>
      <c r="I3" s="668"/>
      <c r="J3" s="668"/>
      <c r="K3" s="668"/>
      <c r="L3" s="668"/>
      <c r="M3" s="668"/>
      <c r="N3" s="668"/>
      <c r="O3" s="668"/>
      <c r="P3" s="668"/>
      <c r="Q3" s="669"/>
      <c r="R3" s="667" t="s">
        <v>43</v>
      </c>
      <c r="S3" s="668"/>
      <c r="T3" s="668"/>
      <c r="U3" s="669"/>
      <c r="V3" s="664" t="s">
        <v>44</v>
      </c>
      <c r="W3" s="664" t="s">
        <v>45</v>
      </c>
      <c r="X3" s="664" t="s">
        <v>113</v>
      </c>
      <c r="Y3" s="678" t="s">
        <v>114</v>
      </c>
      <c r="Z3" s="678" t="s">
        <v>48</v>
      </c>
      <c r="AA3" s="666" t="s">
        <v>49</v>
      </c>
      <c r="AB3" s="667" t="s">
        <v>6</v>
      </c>
      <c r="AC3" s="668"/>
      <c r="AD3" s="668"/>
      <c r="AE3" s="668"/>
      <c r="AF3" s="668"/>
      <c r="AG3" s="668"/>
      <c r="AH3" s="668"/>
      <c r="AI3" s="669"/>
      <c r="AJ3" s="666" t="s">
        <v>50</v>
      </c>
      <c r="AK3" s="667" t="s">
        <v>51</v>
      </c>
      <c r="AL3" s="669"/>
      <c r="AM3" s="670" t="s">
        <v>52</v>
      </c>
      <c r="AN3" s="1"/>
    </row>
    <row r="4" spans="1:44" s="441" customFormat="1" ht="156.75" customHeight="1">
      <c r="A4" s="663"/>
      <c r="B4" s="665"/>
      <c r="C4" s="665"/>
      <c r="D4" s="431" t="s">
        <v>53</v>
      </c>
      <c r="E4" s="431" t="s">
        <v>54</v>
      </c>
      <c r="F4" s="432" t="s">
        <v>55</v>
      </c>
      <c r="G4" s="432" t="s">
        <v>56</v>
      </c>
      <c r="H4" s="431" t="s">
        <v>115</v>
      </c>
      <c r="I4" s="432" t="s">
        <v>58</v>
      </c>
      <c r="J4" s="432" t="s">
        <v>59</v>
      </c>
      <c r="K4" s="431" t="s">
        <v>60</v>
      </c>
      <c r="L4" s="431" t="s">
        <v>116</v>
      </c>
      <c r="M4" s="431" t="s">
        <v>117</v>
      </c>
      <c r="N4" s="431" t="s">
        <v>118</v>
      </c>
      <c r="O4" s="431" t="s">
        <v>64</v>
      </c>
      <c r="P4" s="432" t="s">
        <v>119</v>
      </c>
      <c r="Q4" s="433" t="s">
        <v>66</v>
      </c>
      <c r="R4" s="434" t="s">
        <v>67</v>
      </c>
      <c r="S4" s="434" t="s">
        <v>68</v>
      </c>
      <c r="T4" s="435" t="s">
        <v>69</v>
      </c>
      <c r="U4" s="436" t="s">
        <v>70</v>
      </c>
      <c r="V4" s="665"/>
      <c r="W4" s="665"/>
      <c r="X4" s="665"/>
      <c r="Y4" s="665"/>
      <c r="Z4" s="665"/>
      <c r="AA4" s="665"/>
      <c r="AB4" s="437" t="s">
        <v>71</v>
      </c>
      <c r="AC4" s="438" t="s">
        <v>72</v>
      </c>
      <c r="AD4" s="437" t="s">
        <v>11</v>
      </c>
      <c r="AE4" s="437" t="s">
        <v>12</v>
      </c>
      <c r="AF4" s="438" t="s">
        <v>13</v>
      </c>
      <c r="AG4" s="437" t="s">
        <v>74</v>
      </c>
      <c r="AH4" s="437" t="s">
        <v>120</v>
      </c>
      <c r="AI4" s="439" t="s">
        <v>32</v>
      </c>
      <c r="AJ4" s="665"/>
      <c r="AK4" s="437" t="s">
        <v>76</v>
      </c>
      <c r="AL4" s="437" t="s">
        <v>121</v>
      </c>
      <c r="AM4" s="671"/>
      <c r="AN4" s="440"/>
    </row>
    <row r="5" spans="1:44" s="355" customFormat="1" ht="75.75" customHeight="1">
      <c r="A5" s="481">
        <v>1</v>
      </c>
      <c r="B5" s="477" t="s">
        <v>106</v>
      </c>
      <c r="C5" s="478" t="s">
        <v>107</v>
      </c>
      <c r="D5" s="467">
        <v>12</v>
      </c>
      <c r="E5" s="468">
        <v>0</v>
      </c>
      <c r="F5" s="466">
        <f>IF((E5/3)&gt;=1,TRUNC(E5/3,0),0)</f>
        <v>0</v>
      </c>
      <c r="G5" s="466">
        <f>E5-F5*3</f>
        <v>0</v>
      </c>
      <c r="H5" s="468">
        <v>0</v>
      </c>
      <c r="I5" s="466">
        <f>IF(H5&lt;1,H5,H5-1)</f>
        <v>0</v>
      </c>
      <c r="J5" s="466">
        <f>H5-I5</f>
        <v>0</v>
      </c>
      <c r="K5" s="466">
        <v>0</v>
      </c>
      <c r="L5" s="468">
        <v>1</v>
      </c>
      <c r="M5" s="466">
        <v>1.5</v>
      </c>
      <c r="N5" s="466">
        <v>0</v>
      </c>
      <c r="O5" s="466">
        <v>0</v>
      </c>
      <c r="P5" s="469">
        <f>L5+M5+N5+O5</f>
        <v>2.5</v>
      </c>
      <c r="Q5" s="470">
        <f>(F5*0.5)+(I5*0.5)+M5+(N5*2)</f>
        <v>1.5</v>
      </c>
      <c r="R5" s="473"/>
      <c r="S5" s="473"/>
      <c r="T5" s="473"/>
      <c r="U5" s="471">
        <f>R5-(S5+T5)</f>
        <v>0</v>
      </c>
      <c r="V5" s="473">
        <v>60000</v>
      </c>
      <c r="W5" s="471">
        <f>V5/30*12</f>
        <v>24000</v>
      </c>
      <c r="X5" s="473"/>
      <c r="Y5" s="471">
        <f>W5-AB5</f>
        <v>21000</v>
      </c>
      <c r="Z5" s="472">
        <f>V5/30</f>
        <v>2000</v>
      </c>
      <c r="AA5" s="471">
        <f>W5*45%</f>
        <v>10800</v>
      </c>
      <c r="AB5" s="473">
        <f>Q5*Z5</f>
        <v>3000</v>
      </c>
      <c r="AC5" s="473"/>
      <c r="AD5" s="473">
        <f>(AC5)*Z5</f>
        <v>0</v>
      </c>
      <c r="AE5" s="471">
        <f>T5</f>
        <v>0</v>
      </c>
      <c r="AF5" s="476"/>
      <c r="AG5" s="473">
        <v>0</v>
      </c>
      <c r="AH5" s="473">
        <v>0</v>
      </c>
      <c r="AI5" s="475">
        <f>SUM(AB5,AD5:AH5)</f>
        <v>3000</v>
      </c>
      <c r="AJ5" s="475">
        <f>ROUND(SUM(W5:X5)-AI5,0)</f>
        <v>21000</v>
      </c>
      <c r="AK5" s="473"/>
      <c r="AL5" s="473"/>
      <c r="AM5" s="483" t="s">
        <v>584</v>
      </c>
      <c r="AN5" s="356" t="s">
        <v>108</v>
      </c>
      <c r="AO5" s="358"/>
      <c r="AP5" s="358"/>
      <c r="AQ5" s="358"/>
      <c r="AR5" s="358"/>
    </row>
    <row r="6" spans="1:44" s="355" customFormat="1" ht="71.25" customHeight="1">
      <c r="A6" s="481">
        <v>2</v>
      </c>
      <c r="B6" s="477" t="s">
        <v>109</v>
      </c>
      <c r="C6" s="478" t="s">
        <v>110</v>
      </c>
      <c r="D6" s="467">
        <v>30</v>
      </c>
      <c r="E6" s="468">
        <v>1</v>
      </c>
      <c r="F6" s="466">
        <f>IF((E6/3)&gt;=1,TRUNC(E6/3,0),0)</f>
        <v>0</v>
      </c>
      <c r="G6" s="466">
        <f>E6-F6*3</f>
        <v>1</v>
      </c>
      <c r="H6" s="468">
        <v>0</v>
      </c>
      <c r="I6" s="466">
        <f>IF(H6&lt;1,H6,H6-1)</f>
        <v>0</v>
      </c>
      <c r="J6" s="466">
        <f>H6-I6</f>
        <v>0</v>
      </c>
      <c r="K6" s="466">
        <v>0</v>
      </c>
      <c r="L6" s="468">
        <v>2</v>
      </c>
      <c r="M6" s="466">
        <v>0</v>
      </c>
      <c r="N6" s="466">
        <v>0</v>
      </c>
      <c r="O6" s="466">
        <v>0</v>
      </c>
      <c r="P6" s="469">
        <f>L6+M6+N6+O6</f>
        <v>2</v>
      </c>
      <c r="Q6" s="470">
        <f>(F6*0.5)+(I6*0.5)+M6+(N6*2)</f>
        <v>0</v>
      </c>
      <c r="R6" s="473"/>
      <c r="S6" s="473"/>
      <c r="T6" s="473"/>
      <c r="U6" s="471">
        <f>R6-(S6+T6)</f>
        <v>0</v>
      </c>
      <c r="V6" s="473">
        <v>30000</v>
      </c>
      <c r="W6" s="471">
        <f>V6</f>
        <v>30000</v>
      </c>
      <c r="X6" s="473"/>
      <c r="Y6" s="471">
        <f>W6-AB6</f>
        <v>30000</v>
      </c>
      <c r="Z6" s="472">
        <f>V6/D6</f>
        <v>1000</v>
      </c>
      <c r="AA6" s="471">
        <f>W6*45%</f>
        <v>13500</v>
      </c>
      <c r="AB6" s="473">
        <f>Q6*Z6</f>
        <v>0</v>
      </c>
      <c r="AC6" s="473"/>
      <c r="AD6" s="473">
        <f>(AC6)*Z6</f>
        <v>0</v>
      </c>
      <c r="AE6" s="471">
        <f>T6</f>
        <v>0</v>
      </c>
      <c r="AF6" s="474">
        <f>1043*4</f>
        <v>4172</v>
      </c>
      <c r="AG6" s="473">
        <v>0</v>
      </c>
      <c r="AH6" s="473">
        <v>0</v>
      </c>
      <c r="AI6" s="475">
        <f>SUM(AB6,AD6:AH6)</f>
        <v>4172</v>
      </c>
      <c r="AJ6" s="475">
        <f>ROUND(SUM(W6:X6)-AI6,0)</f>
        <v>25828</v>
      </c>
      <c r="AK6" s="473"/>
      <c r="AL6" s="473"/>
      <c r="AM6" s="482" t="s">
        <v>585</v>
      </c>
      <c r="AN6" s="356" t="s">
        <v>111</v>
      </c>
      <c r="AO6" s="358"/>
      <c r="AP6" s="358"/>
      <c r="AQ6" s="358"/>
      <c r="AR6" s="358"/>
    </row>
    <row r="7" spans="1:44" s="442" customFormat="1" ht="50.25" customHeight="1">
      <c r="A7" s="655" t="s">
        <v>123</v>
      </c>
      <c r="B7" s="656"/>
      <c r="C7" s="656"/>
      <c r="D7" s="656"/>
      <c r="E7" s="656"/>
      <c r="F7" s="656"/>
      <c r="G7" s="656"/>
      <c r="H7" s="656"/>
      <c r="I7" s="656"/>
      <c r="J7" s="656"/>
      <c r="K7" s="656"/>
      <c r="L7" s="656"/>
      <c r="M7" s="656"/>
      <c r="N7" s="656"/>
      <c r="O7" s="656"/>
      <c r="P7" s="656"/>
      <c r="Q7" s="657"/>
      <c r="R7" s="424">
        <f t="shared" ref="R7:AL7" si="0">SUM(R5:R6)</f>
        <v>0</v>
      </c>
      <c r="S7" s="424">
        <f t="shared" si="0"/>
        <v>0</v>
      </c>
      <c r="T7" s="424">
        <f t="shared" si="0"/>
        <v>0</v>
      </c>
      <c r="U7" s="424">
        <f t="shared" si="0"/>
        <v>0</v>
      </c>
      <c r="V7" s="424">
        <f t="shared" si="0"/>
        <v>90000</v>
      </c>
      <c r="W7" s="424">
        <f t="shared" si="0"/>
        <v>54000</v>
      </c>
      <c r="X7" s="424">
        <f t="shared" si="0"/>
        <v>0</v>
      </c>
      <c r="Y7" s="424">
        <f t="shared" si="0"/>
        <v>51000</v>
      </c>
      <c r="Z7" s="424">
        <f t="shared" si="0"/>
        <v>3000</v>
      </c>
      <c r="AA7" s="424">
        <f t="shared" si="0"/>
        <v>24300</v>
      </c>
      <c r="AB7" s="424">
        <f t="shared" si="0"/>
        <v>3000</v>
      </c>
      <c r="AC7" s="424">
        <f t="shared" si="0"/>
        <v>0</v>
      </c>
      <c r="AD7" s="424">
        <f t="shared" si="0"/>
        <v>0</v>
      </c>
      <c r="AE7" s="424">
        <f t="shared" si="0"/>
        <v>0</v>
      </c>
      <c r="AF7" s="424">
        <f t="shared" si="0"/>
        <v>4172</v>
      </c>
      <c r="AG7" s="424">
        <f t="shared" si="0"/>
        <v>0</v>
      </c>
      <c r="AH7" s="424">
        <f t="shared" si="0"/>
        <v>0</v>
      </c>
      <c r="AI7" s="424">
        <f t="shared" si="0"/>
        <v>7172</v>
      </c>
      <c r="AJ7" s="424">
        <f t="shared" si="0"/>
        <v>46828</v>
      </c>
      <c r="AK7" s="424">
        <f t="shared" si="0"/>
        <v>0</v>
      </c>
      <c r="AL7" s="424">
        <f t="shared" si="0"/>
        <v>0</v>
      </c>
      <c r="AM7" s="484"/>
      <c r="AN7" s="428"/>
    </row>
    <row r="8" spans="1:44" s="442" customFormat="1" ht="40.5" customHeight="1">
      <c r="A8" s="485"/>
      <c r="B8" s="443"/>
      <c r="C8" s="443"/>
      <c r="D8" s="443"/>
      <c r="E8" s="443"/>
      <c r="F8" s="443"/>
      <c r="G8" s="443"/>
      <c r="H8" s="443"/>
      <c r="I8" s="443"/>
      <c r="J8" s="443"/>
      <c r="K8" s="443"/>
      <c r="L8" s="443"/>
      <c r="M8" s="443"/>
      <c r="N8" s="443"/>
      <c r="O8" s="443"/>
      <c r="P8" s="443"/>
      <c r="Q8" s="443"/>
      <c r="R8" s="444"/>
      <c r="S8" s="444"/>
      <c r="T8" s="444"/>
      <c r="U8" s="444"/>
      <c r="V8" s="444"/>
      <c r="W8" s="444"/>
      <c r="X8" s="444"/>
      <c r="Y8" s="444"/>
      <c r="Z8" s="444"/>
      <c r="AA8" s="444"/>
      <c r="AB8" s="444"/>
      <c r="AC8" s="444"/>
      <c r="AD8" s="424" t="s">
        <v>124</v>
      </c>
      <c r="AE8" s="424"/>
      <c r="AF8" s="424"/>
      <c r="AG8" s="424"/>
      <c r="AH8" s="424"/>
      <c r="AI8" s="424"/>
      <c r="AJ8" s="424">
        <f>+AJ7</f>
        <v>46828</v>
      </c>
      <c r="AK8" s="444"/>
      <c r="AL8" s="444"/>
      <c r="AM8" s="486"/>
      <c r="AN8" s="428"/>
    </row>
    <row r="9" spans="1:44" ht="108" customHeight="1">
      <c r="A9" s="658" t="s">
        <v>34</v>
      </c>
      <c r="B9" s="659"/>
      <c r="C9" s="487"/>
      <c r="D9" s="487"/>
      <c r="E9" s="487"/>
      <c r="F9" s="487"/>
      <c r="G9" s="487"/>
      <c r="H9" s="487"/>
      <c r="I9" s="487"/>
      <c r="J9" s="487"/>
      <c r="K9" s="487"/>
      <c r="L9" s="487"/>
      <c r="M9" s="487"/>
      <c r="N9" s="487"/>
      <c r="O9" s="487"/>
      <c r="P9" s="487"/>
      <c r="Q9" s="487"/>
      <c r="R9" s="487"/>
      <c r="S9" s="487"/>
      <c r="T9" s="487"/>
      <c r="U9" s="660" t="s">
        <v>35</v>
      </c>
      <c r="V9" s="659"/>
      <c r="W9" s="659"/>
      <c r="X9" s="659"/>
      <c r="Y9" s="659"/>
      <c r="Z9" s="487"/>
      <c r="AA9" s="487"/>
      <c r="AB9" s="487"/>
      <c r="AC9" s="487"/>
      <c r="AD9" s="487"/>
      <c r="AE9" s="487"/>
      <c r="AF9" s="487"/>
      <c r="AG9" s="487"/>
      <c r="AH9" s="487"/>
      <c r="AI9" s="487"/>
      <c r="AJ9" s="487"/>
      <c r="AK9" s="660" t="s">
        <v>37</v>
      </c>
      <c r="AL9" s="659"/>
      <c r="AM9" s="661"/>
      <c r="AN9" s="76"/>
    </row>
    <row r="10" spans="1:44" ht="20.25" customHeight="1">
      <c r="A10" s="31"/>
      <c r="B10" s="31"/>
      <c r="C10" s="31"/>
      <c r="D10" s="31"/>
      <c r="E10" s="31"/>
      <c r="F10" s="31"/>
      <c r="G10" s="31"/>
      <c r="H10" s="31"/>
      <c r="I10" s="31"/>
      <c r="J10" s="31"/>
      <c r="K10" s="31"/>
      <c r="L10" s="31"/>
      <c r="M10" s="31"/>
      <c r="N10" s="31"/>
      <c r="O10" s="31"/>
      <c r="P10" s="31"/>
      <c r="Q10" s="58"/>
      <c r="R10" s="31"/>
      <c r="S10" s="31"/>
      <c r="T10" s="31"/>
      <c r="U10" s="31"/>
      <c r="V10" s="31"/>
      <c r="W10" s="31"/>
      <c r="X10" s="31"/>
      <c r="Y10" s="31"/>
      <c r="Z10" s="31"/>
      <c r="AA10" s="31"/>
      <c r="AB10" s="31"/>
      <c r="AC10" s="31"/>
      <c r="AD10" s="31"/>
      <c r="AE10" s="31"/>
      <c r="AF10" s="31"/>
      <c r="AG10" s="31"/>
      <c r="AH10" s="31"/>
      <c r="AI10" s="31"/>
      <c r="AJ10" s="31"/>
      <c r="AK10" s="59"/>
      <c r="AL10" s="31"/>
      <c r="AM10" s="31"/>
      <c r="AN10" s="31"/>
    </row>
    <row r="11" spans="1:44" ht="20.25" customHeight="1">
      <c r="A11" s="32"/>
      <c r="B11" s="32"/>
      <c r="C11" s="32"/>
      <c r="D11" s="32"/>
      <c r="E11" s="31"/>
      <c r="F11" s="31"/>
      <c r="G11" s="31"/>
      <c r="H11" s="31"/>
      <c r="I11" s="31"/>
      <c r="J11" s="31"/>
      <c r="K11" s="31"/>
      <c r="L11" s="31"/>
      <c r="M11" s="31"/>
      <c r="N11" s="31"/>
      <c r="O11" s="31"/>
      <c r="P11" s="31"/>
      <c r="Q11" s="58"/>
      <c r="R11" s="32"/>
      <c r="S11" s="32"/>
      <c r="T11" s="32"/>
      <c r="U11" s="32"/>
      <c r="V11" s="32"/>
      <c r="W11" s="32"/>
      <c r="X11" s="32"/>
      <c r="Y11" s="32"/>
      <c r="Z11" s="32"/>
      <c r="AA11" s="32"/>
      <c r="AB11" s="32"/>
      <c r="AC11" s="32"/>
      <c r="AD11" s="32"/>
      <c r="AE11" s="32"/>
      <c r="AF11" s="32"/>
      <c r="AG11" s="32"/>
      <c r="AH11" s="32"/>
      <c r="AI11" s="32"/>
      <c r="AJ11" s="32"/>
      <c r="AK11" s="32"/>
      <c r="AL11" s="32"/>
      <c r="AM11" s="32"/>
      <c r="AN11" s="31"/>
    </row>
    <row r="12" spans="1:44" ht="20.25" customHeight="1">
      <c r="A12" s="31"/>
      <c r="B12" s="31"/>
      <c r="C12" s="31"/>
      <c r="D12" s="31"/>
      <c r="E12" s="31"/>
      <c r="F12" s="31"/>
      <c r="G12" s="31"/>
      <c r="H12" s="31"/>
      <c r="I12" s="31"/>
      <c r="J12" s="31"/>
      <c r="K12" s="31"/>
      <c r="L12" s="31"/>
      <c r="M12" s="31"/>
      <c r="N12" s="31"/>
      <c r="O12" s="31"/>
      <c r="P12" s="31"/>
      <c r="Q12" s="58"/>
      <c r="R12" s="31"/>
      <c r="S12" s="31"/>
      <c r="T12" s="31"/>
      <c r="U12" s="31"/>
      <c r="V12" s="31"/>
      <c r="W12" s="59"/>
      <c r="X12" s="59"/>
      <c r="Y12" s="31"/>
      <c r="Z12" s="31"/>
      <c r="AA12" s="31"/>
      <c r="AB12" s="31"/>
      <c r="AC12" s="31"/>
      <c r="AD12" s="31"/>
      <c r="AE12" s="31"/>
      <c r="AF12" s="31"/>
      <c r="AG12" s="31"/>
      <c r="AH12" s="31"/>
      <c r="AI12" s="31"/>
      <c r="AJ12" s="31"/>
      <c r="AK12" s="31"/>
      <c r="AL12" s="31"/>
      <c r="AM12" s="31"/>
      <c r="AN12" s="32"/>
    </row>
    <row r="13" spans="1:44" ht="20.25" customHeight="1">
      <c r="A13" s="31"/>
      <c r="B13" s="31"/>
      <c r="C13" s="31"/>
      <c r="D13" s="31"/>
      <c r="E13" s="31"/>
      <c r="F13" s="31"/>
      <c r="G13" s="31"/>
      <c r="H13" s="31"/>
      <c r="I13" s="31"/>
      <c r="J13" s="31"/>
      <c r="K13" s="31"/>
      <c r="L13" s="31"/>
      <c r="M13" s="31"/>
      <c r="N13" s="31"/>
      <c r="O13" s="31"/>
      <c r="P13" s="31"/>
      <c r="Q13" s="58"/>
      <c r="R13" s="31"/>
      <c r="S13" s="31"/>
      <c r="T13" s="31"/>
      <c r="U13" s="31"/>
      <c r="V13" s="31"/>
      <c r="W13" s="31"/>
      <c r="X13" s="31"/>
      <c r="Y13" s="31"/>
      <c r="Z13" s="31"/>
      <c r="AA13" s="31"/>
      <c r="AB13" s="31"/>
      <c r="AC13" s="31"/>
      <c r="AD13" s="31"/>
      <c r="AE13" s="31"/>
      <c r="AF13" s="31"/>
      <c r="AG13" s="31"/>
      <c r="AH13" s="31"/>
      <c r="AI13" s="31"/>
      <c r="AJ13" s="31"/>
      <c r="AK13" s="31"/>
      <c r="AL13" s="31"/>
      <c r="AM13" s="31"/>
      <c r="AN13" s="32"/>
    </row>
    <row r="14" spans="1:44" ht="20.25" customHeight="1">
      <c r="A14" s="31"/>
      <c r="B14" s="31"/>
      <c r="C14" s="31"/>
      <c r="D14" s="31"/>
      <c r="E14" s="31"/>
      <c r="F14" s="31"/>
      <c r="G14" s="31"/>
      <c r="H14" s="31"/>
      <c r="I14" s="31"/>
      <c r="J14" s="31"/>
      <c r="K14" s="31"/>
      <c r="L14" s="31"/>
      <c r="M14" s="31"/>
      <c r="N14" s="31"/>
      <c r="O14" s="31"/>
      <c r="P14" s="31"/>
      <c r="Q14" s="58"/>
      <c r="R14" s="31"/>
      <c r="S14" s="31"/>
      <c r="T14" s="31"/>
      <c r="U14" s="31"/>
      <c r="V14" s="31"/>
      <c r="W14" s="59"/>
      <c r="X14" s="59"/>
      <c r="Y14" s="31"/>
      <c r="Z14" s="31"/>
      <c r="AA14" s="31"/>
      <c r="AB14" s="31"/>
      <c r="AC14" s="31"/>
      <c r="AD14" s="31"/>
      <c r="AE14" s="31"/>
      <c r="AF14" s="31"/>
      <c r="AG14" s="31"/>
      <c r="AH14" s="31"/>
      <c r="AI14" s="31"/>
      <c r="AJ14" s="59"/>
      <c r="AK14" s="31"/>
      <c r="AL14" s="31"/>
      <c r="AM14" s="31"/>
      <c r="AN14" s="31"/>
    </row>
    <row r="15" spans="1:44" ht="20.25" customHeight="1">
      <c r="A15" s="32"/>
      <c r="B15" s="32"/>
      <c r="C15" s="32"/>
      <c r="D15" s="32"/>
      <c r="E15" s="31"/>
      <c r="F15" s="31"/>
      <c r="G15" s="31"/>
      <c r="H15" s="31"/>
      <c r="I15" s="31"/>
      <c r="J15" s="31"/>
      <c r="K15" s="31"/>
      <c r="L15" s="31"/>
      <c r="M15" s="31"/>
      <c r="N15" s="31"/>
      <c r="O15" s="31"/>
      <c r="P15" s="31"/>
      <c r="Q15" s="58"/>
      <c r="R15" s="32"/>
      <c r="S15" s="32"/>
      <c r="T15" s="32"/>
      <c r="U15" s="32"/>
      <c r="V15" s="32"/>
      <c r="W15" s="32"/>
      <c r="X15" s="32"/>
      <c r="Y15" s="32"/>
      <c r="Z15" s="32"/>
      <c r="AA15" s="32"/>
      <c r="AB15" s="32"/>
      <c r="AC15" s="32"/>
      <c r="AD15" s="32"/>
      <c r="AE15" s="32"/>
      <c r="AF15" s="32"/>
      <c r="AG15" s="32"/>
      <c r="AH15" s="32"/>
      <c r="AI15" s="32"/>
      <c r="AJ15" s="32"/>
      <c r="AK15" s="32"/>
      <c r="AL15" s="32"/>
      <c r="AM15" s="32"/>
      <c r="AN15" s="31"/>
    </row>
    <row r="16" spans="1:44" ht="20.25" customHeight="1">
      <c r="A16" s="32"/>
      <c r="B16" s="32"/>
      <c r="C16" s="32"/>
      <c r="D16" s="32"/>
      <c r="E16" s="31"/>
      <c r="F16" s="31"/>
      <c r="G16" s="31"/>
      <c r="H16" s="31"/>
      <c r="I16" s="31"/>
      <c r="J16" s="31"/>
      <c r="K16" s="31"/>
      <c r="L16" s="31"/>
      <c r="M16" s="31"/>
      <c r="N16" s="31"/>
      <c r="O16" s="31"/>
      <c r="P16" s="31"/>
      <c r="Q16" s="58"/>
      <c r="R16" s="32"/>
      <c r="S16" s="32"/>
      <c r="T16" s="32"/>
      <c r="U16" s="32"/>
      <c r="V16" s="32"/>
      <c r="W16" s="32"/>
      <c r="X16" s="32"/>
      <c r="Y16" s="32"/>
      <c r="Z16" s="32"/>
      <c r="AA16" s="32"/>
      <c r="AB16" s="32"/>
      <c r="AC16" s="32"/>
      <c r="AD16" s="32"/>
      <c r="AE16" s="32"/>
      <c r="AF16" s="32"/>
      <c r="AG16" s="32"/>
      <c r="AH16" s="32"/>
      <c r="AI16" s="32"/>
      <c r="AJ16" s="32"/>
      <c r="AK16" s="32"/>
      <c r="AL16" s="32"/>
      <c r="AM16" s="32"/>
      <c r="AN16" s="31"/>
    </row>
    <row r="17" spans="1:40" ht="20.25" customHeight="1">
      <c r="A17" s="31"/>
      <c r="B17" s="31"/>
      <c r="C17" s="31"/>
      <c r="D17" s="31"/>
      <c r="E17" s="31"/>
      <c r="F17" s="31"/>
      <c r="G17" s="31"/>
      <c r="H17" s="31"/>
      <c r="I17" s="31"/>
      <c r="J17" s="31"/>
      <c r="K17" s="31"/>
      <c r="L17" s="31"/>
      <c r="M17" s="31"/>
      <c r="N17" s="31"/>
      <c r="O17" s="31"/>
      <c r="P17" s="31"/>
      <c r="Q17" s="58"/>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0" ht="20.25" customHeight="1">
      <c r="A18" s="31"/>
      <c r="B18" s="31"/>
      <c r="C18" s="1"/>
      <c r="D18" s="31"/>
      <c r="E18" s="31"/>
      <c r="F18" s="31"/>
      <c r="G18" s="31"/>
      <c r="H18" s="31"/>
      <c r="I18" s="31"/>
      <c r="J18" s="31"/>
      <c r="K18" s="31"/>
      <c r="L18" s="31"/>
      <c r="M18" s="31"/>
      <c r="N18" s="31"/>
      <c r="O18" s="31"/>
      <c r="P18" s="31"/>
      <c r="Q18" s="58"/>
      <c r="R18" s="58"/>
      <c r="S18" s="58"/>
      <c r="T18" s="58"/>
      <c r="U18" s="58"/>
      <c r="V18" s="58"/>
      <c r="W18" s="31"/>
      <c r="X18" s="31"/>
      <c r="Y18" s="60"/>
      <c r="Z18" s="60"/>
      <c r="AA18" s="31"/>
      <c r="AB18" s="31"/>
      <c r="AC18" s="31"/>
      <c r="AD18" s="31"/>
      <c r="AE18" s="31"/>
      <c r="AF18" s="31"/>
      <c r="AG18" s="31"/>
      <c r="AH18" s="31"/>
      <c r="AI18" s="31"/>
      <c r="AJ18" s="31"/>
      <c r="AK18" s="31"/>
      <c r="AL18" s="31"/>
      <c r="AM18" s="1"/>
      <c r="AN18" s="31"/>
    </row>
    <row r="19" spans="1:40" ht="20.25" customHeight="1">
      <c r="A19" s="31"/>
      <c r="B19" s="31"/>
      <c r="C19" s="1"/>
      <c r="D19" s="31"/>
      <c r="E19" s="31"/>
      <c r="F19" s="31"/>
      <c r="G19" s="31"/>
      <c r="H19" s="31"/>
      <c r="I19" s="31"/>
      <c r="J19" s="31"/>
      <c r="K19" s="31"/>
      <c r="L19" s="31"/>
      <c r="M19" s="31"/>
      <c r="N19" s="31"/>
      <c r="O19" s="31"/>
      <c r="P19" s="31"/>
      <c r="Q19" s="58"/>
      <c r="R19" s="58"/>
      <c r="S19" s="58"/>
      <c r="T19" s="58"/>
      <c r="U19" s="58"/>
      <c r="V19" s="58"/>
      <c r="W19" s="31"/>
      <c r="X19" s="31"/>
      <c r="Y19" s="60"/>
      <c r="Z19" s="60"/>
      <c r="AA19" s="31"/>
      <c r="AB19" s="31"/>
      <c r="AC19" s="31"/>
      <c r="AD19" s="31"/>
      <c r="AE19" s="31"/>
      <c r="AF19" s="31"/>
      <c r="AG19" s="31"/>
      <c r="AH19" s="31"/>
      <c r="AI19" s="31"/>
      <c r="AJ19" s="31"/>
      <c r="AK19" s="31"/>
      <c r="AL19" s="31"/>
      <c r="AM19" s="1"/>
      <c r="AN19" s="31"/>
    </row>
    <row r="20" spans="1:40" ht="20.25" customHeight="1">
      <c r="A20" s="31"/>
      <c r="B20" s="31"/>
      <c r="C20" s="1"/>
      <c r="D20" s="31"/>
      <c r="E20" s="31"/>
      <c r="F20" s="31"/>
      <c r="G20" s="31"/>
      <c r="H20" s="31"/>
      <c r="I20" s="31"/>
      <c r="J20" s="31"/>
      <c r="K20" s="31"/>
      <c r="L20" s="31"/>
      <c r="M20" s="31"/>
      <c r="N20" s="31"/>
      <c r="O20" s="31"/>
      <c r="P20" s="31"/>
      <c r="Q20" s="58"/>
      <c r="R20" s="58"/>
      <c r="S20" s="58"/>
      <c r="T20" s="58"/>
      <c r="U20" s="58"/>
      <c r="V20" s="58"/>
      <c r="W20" s="31"/>
      <c r="X20" s="31"/>
      <c r="Y20" s="60"/>
      <c r="Z20" s="60"/>
      <c r="AA20" s="31"/>
      <c r="AB20" s="31"/>
      <c r="AC20" s="31"/>
      <c r="AD20" s="31"/>
      <c r="AE20" s="31"/>
      <c r="AF20" s="31"/>
      <c r="AG20" s="31"/>
      <c r="AH20" s="31"/>
      <c r="AI20" s="31"/>
      <c r="AJ20" s="31"/>
      <c r="AK20" s="31"/>
      <c r="AL20" s="31"/>
      <c r="AM20" s="1"/>
      <c r="AN20" s="31"/>
    </row>
    <row r="21" spans="1:40" ht="20.25" customHeight="1">
      <c r="A21" s="31"/>
      <c r="B21" s="31"/>
      <c r="C21" s="1"/>
      <c r="D21" s="31"/>
      <c r="E21" s="31"/>
      <c r="F21" s="31"/>
      <c r="G21" s="31"/>
      <c r="H21" s="31"/>
      <c r="I21" s="31"/>
      <c r="J21" s="31"/>
      <c r="K21" s="31"/>
      <c r="L21" s="31"/>
      <c r="M21" s="31"/>
      <c r="N21" s="31"/>
      <c r="O21" s="31"/>
      <c r="P21" s="31"/>
      <c r="Q21" s="58"/>
      <c r="R21" s="58"/>
      <c r="S21" s="58"/>
      <c r="T21" s="58"/>
      <c r="U21" s="58"/>
      <c r="V21" s="58"/>
      <c r="W21" s="31"/>
      <c r="X21" s="31"/>
      <c r="Y21" s="60"/>
      <c r="Z21" s="60"/>
      <c r="AA21" s="31"/>
      <c r="AB21" s="31"/>
      <c r="AC21" s="31"/>
      <c r="AD21" s="31"/>
      <c r="AE21" s="31"/>
      <c r="AF21" s="31"/>
      <c r="AG21" s="31"/>
      <c r="AH21" s="31"/>
      <c r="AI21" s="31"/>
      <c r="AJ21" s="31"/>
      <c r="AK21" s="31"/>
      <c r="AL21" s="31"/>
      <c r="AM21" s="1"/>
      <c r="AN21" s="31"/>
    </row>
    <row r="22" spans="1:40" ht="20.25" customHeight="1">
      <c r="A22" s="31"/>
      <c r="B22" s="31"/>
      <c r="C22" s="1"/>
      <c r="D22" s="31"/>
      <c r="E22" s="31"/>
      <c r="F22" s="31"/>
      <c r="G22" s="31"/>
      <c r="H22" s="31"/>
      <c r="I22" s="31"/>
      <c r="J22" s="31"/>
      <c r="K22" s="31"/>
      <c r="L22" s="31"/>
      <c r="M22" s="31"/>
      <c r="N22" s="31"/>
      <c r="O22" s="31"/>
      <c r="P22" s="31"/>
      <c r="Q22" s="58"/>
      <c r="R22" s="58"/>
      <c r="S22" s="58"/>
      <c r="T22" s="58"/>
      <c r="U22" s="58"/>
      <c r="V22" s="58"/>
      <c r="W22" s="31"/>
      <c r="X22" s="31"/>
      <c r="Y22" s="60"/>
      <c r="Z22" s="60"/>
      <c r="AA22" s="31"/>
      <c r="AB22" s="31"/>
      <c r="AC22" s="31"/>
      <c r="AD22" s="31"/>
      <c r="AE22" s="31"/>
      <c r="AF22" s="31"/>
      <c r="AG22" s="31"/>
      <c r="AH22" s="31"/>
      <c r="AI22" s="31"/>
      <c r="AJ22" s="31"/>
      <c r="AK22" s="31"/>
      <c r="AL22" s="31"/>
      <c r="AM22" s="1"/>
      <c r="AN22" s="31"/>
    </row>
    <row r="23" spans="1:40" ht="20.25" customHeight="1">
      <c r="A23" s="31"/>
      <c r="B23" s="31"/>
      <c r="C23" s="1"/>
      <c r="D23" s="31"/>
      <c r="E23" s="31"/>
      <c r="F23" s="31"/>
      <c r="G23" s="31"/>
      <c r="H23" s="31"/>
      <c r="I23" s="31"/>
      <c r="J23" s="31"/>
      <c r="K23" s="31"/>
      <c r="L23" s="31"/>
      <c r="M23" s="31"/>
      <c r="N23" s="31"/>
      <c r="O23" s="31"/>
      <c r="P23" s="31"/>
      <c r="Q23" s="58"/>
      <c r="R23" s="58"/>
      <c r="S23" s="58"/>
      <c r="T23" s="58"/>
      <c r="U23" s="58"/>
      <c r="V23" s="58"/>
      <c r="W23" s="31"/>
      <c r="X23" s="31"/>
      <c r="Y23" s="60"/>
      <c r="Z23" s="60"/>
      <c r="AA23" s="31"/>
      <c r="AB23" s="31"/>
      <c r="AC23" s="31"/>
      <c r="AD23" s="31"/>
      <c r="AE23" s="31"/>
      <c r="AF23" s="31"/>
      <c r="AG23" s="31"/>
      <c r="AH23" s="31"/>
      <c r="AI23" s="31"/>
      <c r="AJ23" s="31"/>
      <c r="AK23" s="31"/>
      <c r="AL23" s="31"/>
      <c r="AM23" s="1"/>
      <c r="AN23" s="31"/>
    </row>
    <row r="24" spans="1:40" ht="20.25" customHeight="1">
      <c r="A24" s="31"/>
      <c r="B24" s="31"/>
      <c r="C24" s="1"/>
      <c r="D24" s="31"/>
      <c r="E24" s="31"/>
      <c r="F24" s="31"/>
      <c r="G24" s="31"/>
      <c r="H24" s="31"/>
      <c r="I24" s="31"/>
      <c r="J24" s="31"/>
      <c r="K24" s="31"/>
      <c r="L24" s="31"/>
      <c r="M24" s="31"/>
      <c r="N24" s="31"/>
      <c r="O24" s="31"/>
      <c r="P24" s="31"/>
      <c r="Q24" s="58"/>
      <c r="R24" s="58"/>
      <c r="S24" s="58"/>
      <c r="T24" s="58"/>
      <c r="U24" s="58"/>
      <c r="V24" s="58"/>
      <c r="W24" s="31"/>
      <c r="X24" s="31"/>
      <c r="Y24" s="60"/>
      <c r="Z24" s="60"/>
      <c r="AA24" s="31"/>
      <c r="AB24" s="31"/>
      <c r="AC24" s="31"/>
      <c r="AD24" s="31"/>
      <c r="AE24" s="31"/>
      <c r="AF24" s="31"/>
      <c r="AG24" s="31"/>
      <c r="AH24" s="31"/>
      <c r="AI24" s="31"/>
      <c r="AJ24" s="31"/>
      <c r="AK24" s="31"/>
      <c r="AL24" s="31"/>
      <c r="AM24" s="1"/>
      <c r="AN24" s="31"/>
    </row>
    <row r="25" spans="1:40" ht="20.25" customHeight="1">
      <c r="A25" s="31"/>
      <c r="B25" s="31"/>
      <c r="C25" s="1"/>
      <c r="D25" s="31"/>
      <c r="E25" s="31"/>
      <c r="F25" s="31"/>
      <c r="G25" s="31"/>
      <c r="H25" s="31"/>
      <c r="I25" s="31"/>
      <c r="J25" s="31"/>
      <c r="K25" s="31"/>
      <c r="L25" s="31"/>
      <c r="M25" s="31"/>
      <c r="N25" s="31"/>
      <c r="O25" s="31"/>
      <c r="P25" s="31"/>
      <c r="Q25" s="58"/>
      <c r="R25" s="58"/>
      <c r="S25" s="58"/>
      <c r="T25" s="58"/>
      <c r="U25" s="58"/>
      <c r="V25" s="58"/>
      <c r="W25" s="31"/>
      <c r="X25" s="31"/>
      <c r="Y25" s="60"/>
      <c r="Z25" s="60"/>
      <c r="AA25" s="31"/>
      <c r="AB25" s="31"/>
      <c r="AC25" s="31"/>
      <c r="AD25" s="31"/>
      <c r="AE25" s="31"/>
      <c r="AF25" s="31"/>
      <c r="AG25" s="31"/>
      <c r="AH25" s="31"/>
      <c r="AI25" s="31"/>
      <c r="AJ25" s="31"/>
      <c r="AK25" s="31"/>
      <c r="AL25" s="31"/>
      <c r="AM25" s="1"/>
      <c r="AN25" s="31"/>
    </row>
    <row r="26" spans="1:40" ht="20.25" customHeight="1">
      <c r="A26" s="31"/>
      <c r="B26" s="31"/>
      <c r="C26" s="1"/>
      <c r="D26" s="31"/>
      <c r="E26" s="31"/>
      <c r="F26" s="31"/>
      <c r="G26" s="31"/>
      <c r="H26" s="31"/>
      <c r="I26" s="31"/>
      <c r="J26" s="31"/>
      <c r="K26" s="31"/>
      <c r="L26" s="31"/>
      <c r="M26" s="31"/>
      <c r="N26" s="31"/>
      <c r="O26" s="31"/>
      <c r="P26" s="31"/>
      <c r="Q26" s="58"/>
      <c r="R26" s="58"/>
      <c r="S26" s="58"/>
      <c r="T26" s="58"/>
      <c r="U26" s="58"/>
      <c r="V26" s="58"/>
      <c r="W26" s="31"/>
      <c r="X26" s="31"/>
      <c r="Y26" s="60"/>
      <c r="Z26" s="60"/>
      <c r="AA26" s="31"/>
      <c r="AB26" s="31"/>
      <c r="AC26" s="31"/>
      <c r="AD26" s="31"/>
      <c r="AE26" s="31"/>
      <c r="AF26" s="31"/>
      <c r="AG26" s="31"/>
      <c r="AH26" s="31"/>
      <c r="AI26" s="31"/>
      <c r="AJ26" s="31"/>
      <c r="AK26" s="31"/>
      <c r="AL26" s="31"/>
      <c r="AM26" s="1"/>
      <c r="AN26" s="31"/>
    </row>
    <row r="27" spans="1:40" ht="20.25" customHeight="1">
      <c r="A27" s="31"/>
      <c r="B27" s="31"/>
      <c r="C27" s="1"/>
      <c r="D27" s="31"/>
      <c r="E27" s="31"/>
      <c r="F27" s="31"/>
      <c r="G27" s="31"/>
      <c r="H27" s="31"/>
      <c r="I27" s="31"/>
      <c r="J27" s="31"/>
      <c r="K27" s="31"/>
      <c r="L27" s="31"/>
      <c r="M27" s="31"/>
      <c r="N27" s="31"/>
      <c r="O27" s="31"/>
      <c r="P27" s="31"/>
      <c r="Q27" s="58"/>
      <c r="R27" s="58"/>
      <c r="S27" s="58"/>
      <c r="T27" s="58"/>
      <c r="U27" s="58"/>
      <c r="V27" s="58"/>
      <c r="W27" s="31"/>
      <c r="X27" s="31"/>
      <c r="Y27" s="60"/>
      <c r="Z27" s="60"/>
      <c r="AA27" s="31"/>
      <c r="AB27" s="31"/>
      <c r="AC27" s="31"/>
      <c r="AD27" s="31"/>
      <c r="AE27" s="31"/>
      <c r="AF27" s="31"/>
      <c r="AG27" s="31"/>
      <c r="AH27" s="31"/>
      <c r="AI27" s="31"/>
      <c r="AJ27" s="31"/>
      <c r="AK27" s="31"/>
      <c r="AL27" s="31"/>
      <c r="AM27" s="1"/>
      <c r="AN27" s="31"/>
    </row>
    <row r="28" spans="1:40" ht="20.25" customHeight="1">
      <c r="A28" s="31"/>
      <c r="B28" s="31"/>
      <c r="C28" s="1"/>
      <c r="D28" s="31"/>
      <c r="E28" s="31"/>
      <c r="F28" s="31"/>
      <c r="G28" s="31"/>
      <c r="H28" s="31"/>
      <c r="I28" s="31"/>
      <c r="J28" s="31"/>
      <c r="K28" s="31"/>
      <c r="L28" s="31"/>
      <c r="M28" s="31"/>
      <c r="N28" s="31"/>
      <c r="O28" s="31"/>
      <c r="P28" s="31"/>
      <c r="Q28" s="58"/>
      <c r="R28" s="58"/>
      <c r="S28" s="58"/>
      <c r="T28" s="58"/>
      <c r="U28" s="58"/>
      <c r="V28" s="58"/>
      <c r="W28" s="31"/>
      <c r="X28" s="31"/>
      <c r="Y28" s="60"/>
      <c r="Z28" s="60"/>
      <c r="AA28" s="31"/>
      <c r="AB28" s="31"/>
      <c r="AC28" s="31"/>
      <c r="AD28" s="31"/>
      <c r="AE28" s="31"/>
      <c r="AF28" s="31"/>
      <c r="AG28" s="31"/>
      <c r="AH28" s="31"/>
      <c r="AI28" s="31"/>
      <c r="AJ28" s="31"/>
      <c r="AK28" s="31"/>
      <c r="AL28" s="31"/>
      <c r="AM28" s="1"/>
      <c r="AN28" s="31"/>
    </row>
    <row r="29" spans="1:40" ht="20.25" customHeight="1">
      <c r="A29" s="31"/>
      <c r="B29" s="31"/>
      <c r="C29" s="1"/>
      <c r="D29" s="31"/>
      <c r="E29" s="31"/>
      <c r="F29" s="31"/>
      <c r="G29" s="31"/>
      <c r="H29" s="31"/>
      <c r="I29" s="31"/>
      <c r="J29" s="31"/>
      <c r="K29" s="31"/>
      <c r="L29" s="31"/>
      <c r="M29" s="31"/>
      <c r="N29" s="31"/>
      <c r="O29" s="31"/>
      <c r="P29" s="31"/>
      <c r="Q29" s="58"/>
      <c r="R29" s="58"/>
      <c r="S29" s="58"/>
      <c r="T29" s="58"/>
      <c r="U29" s="58"/>
      <c r="V29" s="58"/>
      <c r="W29" s="31"/>
      <c r="X29" s="31"/>
      <c r="Y29" s="60"/>
      <c r="Z29" s="60"/>
      <c r="AA29" s="31"/>
      <c r="AB29" s="31"/>
      <c r="AC29" s="31"/>
      <c r="AD29" s="31"/>
      <c r="AE29" s="31"/>
      <c r="AF29" s="31"/>
      <c r="AG29" s="31"/>
      <c r="AH29" s="31"/>
      <c r="AI29" s="31"/>
      <c r="AJ29" s="31"/>
      <c r="AK29" s="31"/>
      <c r="AL29" s="31"/>
      <c r="AM29" s="1"/>
      <c r="AN29" s="31"/>
    </row>
    <row r="30" spans="1:40" ht="20.25" customHeight="1">
      <c r="A30" s="31"/>
      <c r="B30" s="31"/>
      <c r="C30" s="1"/>
      <c r="D30" s="31"/>
      <c r="E30" s="31"/>
      <c r="F30" s="31"/>
      <c r="G30" s="31"/>
      <c r="H30" s="31"/>
      <c r="I30" s="31"/>
      <c r="J30" s="31"/>
      <c r="K30" s="31"/>
      <c r="L30" s="31"/>
      <c r="M30" s="31"/>
      <c r="N30" s="31"/>
      <c r="O30" s="31"/>
      <c r="P30" s="31"/>
      <c r="Q30" s="58"/>
      <c r="R30" s="58"/>
      <c r="S30" s="58"/>
      <c r="T30" s="58"/>
      <c r="U30" s="58"/>
      <c r="V30" s="58"/>
      <c r="W30" s="31"/>
      <c r="X30" s="31"/>
      <c r="Y30" s="60"/>
      <c r="Z30" s="60"/>
      <c r="AA30" s="31"/>
      <c r="AB30" s="31"/>
      <c r="AC30" s="31"/>
      <c r="AD30" s="31"/>
      <c r="AE30" s="31"/>
      <c r="AF30" s="31"/>
      <c r="AG30" s="31"/>
      <c r="AH30" s="31"/>
      <c r="AI30" s="31"/>
      <c r="AJ30" s="31"/>
      <c r="AK30" s="31"/>
      <c r="AL30" s="31"/>
      <c r="AM30" s="1"/>
      <c r="AN30" s="31"/>
    </row>
    <row r="31" spans="1:40" ht="20.25" customHeight="1">
      <c r="A31" s="31"/>
      <c r="B31" s="31"/>
      <c r="C31" s="1"/>
      <c r="D31" s="31"/>
      <c r="E31" s="31"/>
      <c r="F31" s="31"/>
      <c r="G31" s="31"/>
      <c r="H31" s="31"/>
      <c r="I31" s="31"/>
      <c r="J31" s="31"/>
      <c r="K31" s="31"/>
      <c r="L31" s="31"/>
      <c r="M31" s="31"/>
      <c r="N31" s="31"/>
      <c r="O31" s="31"/>
      <c r="P31" s="31"/>
      <c r="Q31" s="58"/>
      <c r="R31" s="58"/>
      <c r="S31" s="58"/>
      <c r="T31" s="58"/>
      <c r="U31" s="58"/>
      <c r="V31" s="58"/>
      <c r="W31" s="31"/>
      <c r="X31" s="31"/>
      <c r="Y31" s="60"/>
      <c r="Z31" s="60"/>
      <c r="AA31" s="31"/>
      <c r="AB31" s="31"/>
      <c r="AC31" s="31"/>
      <c r="AD31" s="31"/>
      <c r="AE31" s="31"/>
      <c r="AF31" s="31"/>
      <c r="AG31" s="31"/>
      <c r="AH31" s="31"/>
      <c r="AI31" s="31"/>
      <c r="AJ31" s="31"/>
      <c r="AK31" s="31"/>
      <c r="AL31" s="31"/>
      <c r="AM31" s="1"/>
      <c r="AN31" s="31"/>
    </row>
    <row r="32" spans="1:40" ht="20.25" customHeight="1">
      <c r="A32" s="31"/>
      <c r="B32" s="31"/>
      <c r="C32" s="1"/>
      <c r="D32" s="31"/>
      <c r="E32" s="31"/>
      <c r="F32" s="31"/>
      <c r="G32" s="31"/>
      <c r="H32" s="31"/>
      <c r="I32" s="31"/>
      <c r="J32" s="31"/>
      <c r="K32" s="31"/>
      <c r="L32" s="31"/>
      <c r="M32" s="31"/>
      <c r="N32" s="31"/>
      <c r="O32" s="31"/>
      <c r="P32" s="31"/>
      <c r="Q32" s="58"/>
      <c r="R32" s="58"/>
      <c r="S32" s="58"/>
      <c r="T32" s="58"/>
      <c r="U32" s="58"/>
      <c r="V32" s="58"/>
      <c r="W32" s="31"/>
      <c r="X32" s="31"/>
      <c r="Y32" s="60"/>
      <c r="Z32" s="60"/>
      <c r="AA32" s="31"/>
      <c r="AB32" s="31"/>
      <c r="AC32" s="31"/>
      <c r="AD32" s="31"/>
      <c r="AE32" s="31"/>
      <c r="AF32" s="31"/>
      <c r="AG32" s="31"/>
      <c r="AH32" s="31"/>
      <c r="AI32" s="31"/>
      <c r="AJ32" s="31"/>
      <c r="AK32" s="31"/>
      <c r="AL32" s="31"/>
      <c r="AM32" s="1"/>
      <c r="AN32" s="31"/>
    </row>
    <row r="33" spans="1:40" ht="20.25" customHeight="1">
      <c r="A33" s="31"/>
      <c r="B33" s="31"/>
      <c r="C33" s="1"/>
      <c r="D33" s="31"/>
      <c r="E33" s="31"/>
      <c r="F33" s="31"/>
      <c r="G33" s="31"/>
      <c r="H33" s="31"/>
      <c r="I33" s="31"/>
      <c r="J33" s="31"/>
      <c r="K33" s="31"/>
      <c r="L33" s="31"/>
      <c r="M33" s="31"/>
      <c r="N33" s="31"/>
      <c r="O33" s="31"/>
      <c r="P33" s="31"/>
      <c r="Q33" s="58"/>
      <c r="R33" s="58"/>
      <c r="S33" s="58"/>
      <c r="T33" s="58"/>
      <c r="U33" s="58"/>
      <c r="V33" s="58"/>
      <c r="W33" s="31"/>
      <c r="X33" s="31"/>
      <c r="Y33" s="60"/>
      <c r="Z33" s="60"/>
      <c r="AA33" s="31"/>
      <c r="AB33" s="31"/>
      <c r="AC33" s="31"/>
      <c r="AD33" s="31"/>
      <c r="AE33" s="31"/>
      <c r="AF33" s="31"/>
      <c r="AG33" s="31"/>
      <c r="AH33" s="31"/>
      <c r="AI33" s="31"/>
      <c r="AJ33" s="31"/>
      <c r="AK33" s="31"/>
      <c r="AL33" s="31"/>
      <c r="AM33" s="1"/>
      <c r="AN33" s="31"/>
    </row>
    <row r="34" spans="1:40" ht="20.25" customHeight="1">
      <c r="A34" s="31"/>
      <c r="B34" s="31"/>
      <c r="C34" s="1"/>
      <c r="D34" s="31"/>
      <c r="E34" s="31"/>
      <c r="F34" s="31"/>
      <c r="G34" s="31"/>
      <c r="H34" s="31"/>
      <c r="I34" s="31"/>
      <c r="J34" s="31"/>
      <c r="K34" s="31"/>
      <c r="L34" s="31"/>
      <c r="M34" s="31"/>
      <c r="N34" s="31"/>
      <c r="O34" s="31"/>
      <c r="P34" s="31"/>
      <c r="Q34" s="58"/>
      <c r="R34" s="58"/>
      <c r="S34" s="58"/>
      <c r="T34" s="58"/>
      <c r="U34" s="58"/>
      <c r="V34" s="58"/>
      <c r="W34" s="31"/>
      <c r="X34" s="31"/>
      <c r="Y34" s="60"/>
      <c r="Z34" s="60"/>
      <c r="AA34" s="31"/>
      <c r="AB34" s="31"/>
      <c r="AC34" s="31"/>
      <c r="AD34" s="31"/>
      <c r="AE34" s="31"/>
      <c r="AF34" s="31"/>
      <c r="AG34" s="31"/>
      <c r="AH34" s="31"/>
      <c r="AI34" s="31"/>
      <c r="AJ34" s="31"/>
      <c r="AK34" s="31"/>
      <c r="AL34" s="31"/>
      <c r="AM34" s="1"/>
      <c r="AN34" s="31"/>
    </row>
    <row r="35" spans="1:40" ht="20.25" customHeight="1">
      <c r="A35" s="31"/>
      <c r="B35" s="31"/>
      <c r="C35" s="1"/>
      <c r="D35" s="31"/>
      <c r="E35" s="31"/>
      <c r="F35" s="31"/>
      <c r="G35" s="31"/>
      <c r="H35" s="31"/>
      <c r="I35" s="31"/>
      <c r="J35" s="31"/>
      <c r="K35" s="31"/>
      <c r="L35" s="31"/>
      <c r="M35" s="31"/>
      <c r="N35" s="31"/>
      <c r="O35" s="31"/>
      <c r="P35" s="31"/>
      <c r="Q35" s="58"/>
      <c r="R35" s="58"/>
      <c r="S35" s="58"/>
      <c r="T35" s="58"/>
      <c r="U35" s="58"/>
      <c r="V35" s="58"/>
      <c r="W35" s="31"/>
      <c r="X35" s="31"/>
      <c r="Y35" s="60"/>
      <c r="Z35" s="60"/>
      <c r="AA35" s="31"/>
      <c r="AB35" s="31"/>
      <c r="AC35" s="31"/>
      <c r="AD35" s="31"/>
      <c r="AE35" s="31"/>
      <c r="AF35" s="31"/>
      <c r="AG35" s="31"/>
      <c r="AH35" s="31"/>
      <c r="AI35" s="31"/>
      <c r="AJ35" s="31"/>
      <c r="AK35" s="31"/>
      <c r="AL35" s="31"/>
      <c r="AM35" s="1"/>
      <c r="AN35" s="31"/>
    </row>
    <row r="36" spans="1:40" ht="20.25" customHeight="1">
      <c r="A36" s="31"/>
      <c r="B36" s="31"/>
      <c r="C36" s="1"/>
      <c r="D36" s="31"/>
      <c r="E36" s="31"/>
      <c r="F36" s="31"/>
      <c r="G36" s="31"/>
      <c r="H36" s="31"/>
      <c r="I36" s="31"/>
      <c r="J36" s="31"/>
      <c r="K36" s="31"/>
      <c r="L36" s="31"/>
      <c r="M36" s="31"/>
      <c r="N36" s="31"/>
      <c r="O36" s="31"/>
      <c r="P36" s="31"/>
      <c r="Q36" s="58"/>
      <c r="R36" s="58"/>
      <c r="S36" s="58"/>
      <c r="T36" s="58"/>
      <c r="U36" s="58"/>
      <c r="V36" s="58"/>
      <c r="W36" s="31"/>
      <c r="X36" s="31"/>
      <c r="Y36" s="60"/>
      <c r="Z36" s="60"/>
      <c r="AA36" s="31"/>
      <c r="AB36" s="31"/>
      <c r="AC36" s="31"/>
      <c r="AD36" s="31"/>
      <c r="AE36" s="31"/>
      <c r="AF36" s="31"/>
      <c r="AG36" s="31"/>
      <c r="AH36" s="31"/>
      <c r="AI36" s="31"/>
      <c r="AJ36" s="31"/>
      <c r="AK36" s="31"/>
      <c r="AL36" s="31"/>
      <c r="AM36" s="1"/>
      <c r="AN36" s="31"/>
    </row>
    <row r="37" spans="1:40" ht="20.25" customHeight="1">
      <c r="A37" s="31"/>
      <c r="B37" s="31"/>
      <c r="C37" s="1"/>
      <c r="D37" s="31"/>
      <c r="E37" s="31"/>
      <c r="F37" s="31"/>
      <c r="G37" s="31"/>
      <c r="H37" s="31"/>
      <c r="I37" s="31"/>
      <c r="J37" s="31"/>
      <c r="K37" s="31"/>
      <c r="L37" s="31"/>
      <c r="M37" s="31"/>
      <c r="N37" s="31"/>
      <c r="O37" s="31"/>
      <c r="P37" s="31"/>
      <c r="Q37" s="58"/>
      <c r="R37" s="58"/>
      <c r="S37" s="58"/>
      <c r="T37" s="58"/>
      <c r="U37" s="58"/>
      <c r="V37" s="58"/>
      <c r="W37" s="31"/>
      <c r="X37" s="31"/>
      <c r="Y37" s="60"/>
      <c r="Z37" s="60"/>
      <c r="AA37" s="31"/>
      <c r="AB37" s="31"/>
      <c r="AC37" s="31"/>
      <c r="AD37" s="31"/>
      <c r="AE37" s="31"/>
      <c r="AF37" s="31"/>
      <c r="AG37" s="31"/>
      <c r="AH37" s="31"/>
      <c r="AI37" s="31"/>
      <c r="AJ37" s="31"/>
      <c r="AK37" s="31"/>
      <c r="AL37" s="31"/>
      <c r="AM37" s="1"/>
      <c r="AN37" s="31"/>
    </row>
    <row r="38" spans="1:40" ht="20.25" customHeight="1">
      <c r="A38" s="31"/>
      <c r="B38" s="31"/>
      <c r="C38" s="1"/>
      <c r="D38" s="31"/>
      <c r="E38" s="31"/>
      <c r="F38" s="31"/>
      <c r="G38" s="31"/>
      <c r="H38" s="31"/>
      <c r="I38" s="31"/>
      <c r="J38" s="31"/>
      <c r="K38" s="31"/>
      <c r="L38" s="31"/>
      <c r="M38" s="31"/>
      <c r="N38" s="31"/>
      <c r="O38" s="31"/>
      <c r="P38" s="31"/>
      <c r="Q38" s="58"/>
      <c r="R38" s="58"/>
      <c r="S38" s="58"/>
      <c r="T38" s="58"/>
      <c r="U38" s="58"/>
      <c r="V38" s="58"/>
      <c r="W38" s="31"/>
      <c r="X38" s="31"/>
      <c r="Y38" s="60"/>
      <c r="Z38" s="60"/>
      <c r="AA38" s="31"/>
      <c r="AB38" s="31"/>
      <c r="AC38" s="31"/>
      <c r="AD38" s="31"/>
      <c r="AE38" s="31"/>
      <c r="AF38" s="31"/>
      <c r="AG38" s="31"/>
      <c r="AH38" s="31"/>
      <c r="AI38" s="31"/>
      <c r="AJ38" s="31"/>
      <c r="AK38" s="31"/>
      <c r="AL38" s="31"/>
      <c r="AM38" s="1"/>
      <c r="AN38" s="31"/>
    </row>
    <row r="39" spans="1:40" ht="20.25" customHeight="1">
      <c r="A39" s="31"/>
      <c r="B39" s="31"/>
      <c r="C39" s="1"/>
      <c r="D39" s="31"/>
      <c r="E39" s="31"/>
      <c r="F39" s="31"/>
      <c r="G39" s="31"/>
      <c r="H39" s="31"/>
      <c r="I39" s="31"/>
      <c r="J39" s="31"/>
      <c r="K39" s="31"/>
      <c r="L39" s="31"/>
      <c r="M39" s="31"/>
      <c r="N39" s="31"/>
      <c r="O39" s="31"/>
      <c r="P39" s="31"/>
      <c r="Q39" s="58"/>
      <c r="R39" s="58"/>
      <c r="S39" s="58"/>
      <c r="T39" s="58"/>
      <c r="U39" s="58"/>
      <c r="V39" s="58"/>
      <c r="W39" s="31"/>
      <c r="X39" s="31"/>
      <c r="Y39" s="60"/>
      <c r="Z39" s="60"/>
      <c r="AA39" s="31"/>
      <c r="AB39" s="31"/>
      <c r="AC39" s="31"/>
      <c r="AD39" s="31"/>
      <c r="AE39" s="31"/>
      <c r="AF39" s="31"/>
      <c r="AG39" s="31"/>
      <c r="AH39" s="31"/>
      <c r="AI39" s="31"/>
      <c r="AJ39" s="31"/>
      <c r="AK39" s="31"/>
      <c r="AL39" s="31"/>
      <c r="AM39" s="1"/>
      <c r="AN39" s="31"/>
    </row>
    <row r="40" spans="1:40" ht="20.25" customHeight="1">
      <c r="A40" s="31"/>
      <c r="B40" s="31"/>
      <c r="C40" s="1"/>
      <c r="D40" s="31"/>
      <c r="E40" s="31"/>
      <c r="F40" s="31"/>
      <c r="G40" s="31"/>
      <c r="H40" s="31"/>
      <c r="I40" s="31"/>
      <c r="J40" s="31"/>
      <c r="K40" s="31"/>
      <c r="L40" s="31"/>
      <c r="M40" s="31"/>
      <c r="N40" s="31"/>
      <c r="O40" s="31"/>
      <c r="P40" s="31"/>
      <c r="Q40" s="58"/>
      <c r="R40" s="58"/>
      <c r="S40" s="58"/>
      <c r="T40" s="58"/>
      <c r="U40" s="58"/>
      <c r="V40" s="58"/>
      <c r="W40" s="31"/>
      <c r="X40" s="31"/>
      <c r="Y40" s="60"/>
      <c r="Z40" s="60"/>
      <c r="AA40" s="31"/>
      <c r="AB40" s="31"/>
      <c r="AC40" s="31"/>
      <c r="AD40" s="31"/>
      <c r="AE40" s="31"/>
      <c r="AF40" s="31"/>
      <c r="AG40" s="31"/>
      <c r="AH40" s="31"/>
      <c r="AI40" s="31"/>
      <c r="AJ40" s="31"/>
      <c r="AK40" s="31"/>
      <c r="AL40" s="31"/>
      <c r="AM40" s="1"/>
      <c r="AN40" s="31"/>
    </row>
    <row r="41" spans="1:40" ht="20.25" customHeight="1">
      <c r="A41" s="31"/>
      <c r="B41" s="31"/>
      <c r="C41" s="1"/>
      <c r="D41" s="31"/>
      <c r="E41" s="31"/>
      <c r="F41" s="31"/>
      <c r="G41" s="31"/>
      <c r="H41" s="31"/>
      <c r="I41" s="31"/>
      <c r="J41" s="31"/>
      <c r="K41" s="31"/>
      <c r="L41" s="31"/>
      <c r="M41" s="31"/>
      <c r="N41" s="31"/>
      <c r="O41" s="31"/>
      <c r="P41" s="31"/>
      <c r="Q41" s="58"/>
      <c r="R41" s="58"/>
      <c r="S41" s="58"/>
      <c r="T41" s="58"/>
      <c r="U41" s="58"/>
      <c r="V41" s="58"/>
      <c r="W41" s="31"/>
      <c r="X41" s="31"/>
      <c r="Y41" s="60"/>
      <c r="Z41" s="60"/>
      <c r="AA41" s="31"/>
      <c r="AB41" s="31"/>
      <c r="AC41" s="31"/>
      <c r="AD41" s="31"/>
      <c r="AE41" s="31"/>
      <c r="AF41" s="31"/>
      <c r="AG41" s="31"/>
      <c r="AH41" s="31"/>
      <c r="AI41" s="31"/>
      <c r="AJ41" s="31"/>
      <c r="AK41" s="31"/>
      <c r="AL41" s="31"/>
      <c r="AM41" s="1"/>
      <c r="AN41" s="31"/>
    </row>
    <row r="42" spans="1:40" ht="20.25" customHeight="1">
      <c r="A42" s="31"/>
      <c r="B42" s="31"/>
      <c r="C42" s="1"/>
      <c r="D42" s="31"/>
      <c r="E42" s="31"/>
      <c r="F42" s="31"/>
      <c r="G42" s="31"/>
      <c r="H42" s="31"/>
      <c r="I42" s="31"/>
      <c r="J42" s="31"/>
      <c r="K42" s="31"/>
      <c r="L42" s="31"/>
      <c r="M42" s="31"/>
      <c r="N42" s="31"/>
      <c r="O42" s="31"/>
      <c r="P42" s="31"/>
      <c r="Q42" s="58"/>
      <c r="R42" s="58"/>
      <c r="S42" s="58"/>
      <c r="T42" s="58"/>
      <c r="U42" s="58"/>
      <c r="V42" s="58"/>
      <c r="W42" s="31"/>
      <c r="X42" s="31"/>
      <c r="Y42" s="60"/>
      <c r="Z42" s="60"/>
      <c r="AA42" s="31"/>
      <c r="AB42" s="31"/>
      <c r="AC42" s="31"/>
      <c r="AD42" s="31"/>
      <c r="AE42" s="31"/>
      <c r="AF42" s="31"/>
      <c r="AG42" s="31"/>
      <c r="AH42" s="31"/>
      <c r="AI42" s="31"/>
      <c r="AJ42" s="31"/>
      <c r="AK42" s="31"/>
      <c r="AL42" s="31"/>
      <c r="AM42" s="1"/>
      <c r="AN42" s="31"/>
    </row>
    <row r="43" spans="1:40" ht="20.25" customHeight="1">
      <c r="A43" s="31"/>
      <c r="B43" s="31"/>
      <c r="C43" s="1"/>
      <c r="D43" s="31"/>
      <c r="E43" s="31"/>
      <c r="F43" s="31"/>
      <c r="G43" s="31"/>
      <c r="H43" s="31"/>
      <c r="I43" s="31"/>
      <c r="J43" s="31"/>
      <c r="K43" s="31"/>
      <c r="L43" s="31"/>
      <c r="M43" s="31"/>
      <c r="N43" s="31"/>
      <c r="O43" s="31"/>
      <c r="P43" s="31"/>
      <c r="Q43" s="58"/>
      <c r="R43" s="58"/>
      <c r="S43" s="58"/>
      <c r="T43" s="58"/>
      <c r="U43" s="58"/>
      <c r="V43" s="58"/>
      <c r="W43" s="31"/>
      <c r="X43" s="31"/>
      <c r="Y43" s="60"/>
      <c r="Z43" s="60"/>
      <c r="AA43" s="31"/>
      <c r="AB43" s="31"/>
      <c r="AC43" s="31"/>
      <c r="AD43" s="31"/>
      <c r="AE43" s="31"/>
      <c r="AF43" s="31"/>
      <c r="AG43" s="31"/>
      <c r="AH43" s="31"/>
      <c r="AI43" s="31"/>
      <c r="AJ43" s="31"/>
      <c r="AK43" s="31"/>
      <c r="AL43" s="31"/>
      <c r="AM43" s="1"/>
      <c r="AN43" s="31"/>
    </row>
    <row r="44" spans="1:40" ht="20.25" customHeight="1">
      <c r="A44" s="31"/>
      <c r="B44" s="31"/>
      <c r="C44" s="1"/>
      <c r="D44" s="31"/>
      <c r="E44" s="31"/>
      <c r="F44" s="31"/>
      <c r="G44" s="31"/>
      <c r="H44" s="31"/>
      <c r="I44" s="31"/>
      <c r="J44" s="31"/>
      <c r="K44" s="31"/>
      <c r="L44" s="31"/>
      <c r="M44" s="31"/>
      <c r="N44" s="31"/>
      <c r="O44" s="31"/>
      <c r="P44" s="31"/>
      <c r="Q44" s="58"/>
      <c r="R44" s="58"/>
      <c r="S44" s="58"/>
      <c r="T44" s="58"/>
      <c r="U44" s="58"/>
      <c r="V44" s="58"/>
      <c r="W44" s="31"/>
      <c r="X44" s="31"/>
      <c r="Y44" s="60"/>
      <c r="Z44" s="60"/>
      <c r="AA44" s="31"/>
      <c r="AB44" s="31"/>
      <c r="AC44" s="31"/>
      <c r="AD44" s="31"/>
      <c r="AE44" s="31"/>
      <c r="AF44" s="31"/>
      <c r="AG44" s="31"/>
      <c r="AH44" s="31"/>
      <c r="AI44" s="31"/>
      <c r="AJ44" s="31"/>
      <c r="AK44" s="31"/>
      <c r="AL44" s="31"/>
      <c r="AM44" s="1"/>
      <c r="AN44" s="31"/>
    </row>
    <row r="45" spans="1:40" ht="20.25" customHeight="1">
      <c r="A45" s="31"/>
      <c r="B45" s="31"/>
      <c r="C45" s="1"/>
      <c r="D45" s="31"/>
      <c r="E45" s="31"/>
      <c r="F45" s="31"/>
      <c r="G45" s="31"/>
      <c r="H45" s="31"/>
      <c r="I45" s="31"/>
      <c r="J45" s="31"/>
      <c r="K45" s="31"/>
      <c r="L45" s="31"/>
      <c r="M45" s="31"/>
      <c r="N45" s="31"/>
      <c r="O45" s="31"/>
      <c r="P45" s="31"/>
      <c r="Q45" s="58"/>
      <c r="R45" s="58"/>
      <c r="S45" s="58"/>
      <c r="T45" s="58"/>
      <c r="U45" s="58"/>
      <c r="V45" s="58"/>
      <c r="W45" s="31"/>
      <c r="X45" s="31"/>
      <c r="Y45" s="60"/>
      <c r="Z45" s="60"/>
      <c r="AA45" s="31"/>
      <c r="AB45" s="31"/>
      <c r="AC45" s="31"/>
      <c r="AD45" s="31"/>
      <c r="AE45" s="31"/>
      <c r="AF45" s="31"/>
      <c r="AG45" s="31"/>
      <c r="AH45" s="31"/>
      <c r="AI45" s="31"/>
      <c r="AJ45" s="31"/>
      <c r="AK45" s="31"/>
      <c r="AL45" s="31"/>
      <c r="AM45" s="1"/>
      <c r="AN45" s="31"/>
    </row>
    <row r="46" spans="1:40" ht="20.25" customHeight="1">
      <c r="A46" s="31"/>
      <c r="B46" s="31"/>
      <c r="C46" s="1"/>
      <c r="D46" s="31"/>
      <c r="E46" s="31"/>
      <c r="F46" s="31"/>
      <c r="G46" s="31"/>
      <c r="H46" s="31"/>
      <c r="I46" s="31"/>
      <c r="J46" s="31"/>
      <c r="K46" s="31"/>
      <c r="L46" s="31"/>
      <c r="M46" s="31"/>
      <c r="N46" s="31"/>
      <c r="O46" s="31"/>
      <c r="P46" s="31"/>
      <c r="Q46" s="58"/>
      <c r="R46" s="58"/>
      <c r="S46" s="58"/>
      <c r="T46" s="58"/>
      <c r="U46" s="58"/>
      <c r="V46" s="58"/>
      <c r="W46" s="31"/>
      <c r="X46" s="31"/>
      <c r="Y46" s="60"/>
      <c r="Z46" s="60"/>
      <c r="AA46" s="31"/>
      <c r="AB46" s="31"/>
      <c r="AC46" s="31"/>
      <c r="AD46" s="31"/>
      <c r="AE46" s="31"/>
      <c r="AF46" s="31"/>
      <c r="AG46" s="31"/>
      <c r="AH46" s="31"/>
      <c r="AI46" s="31"/>
      <c r="AJ46" s="31"/>
      <c r="AK46" s="31"/>
      <c r="AL46" s="31"/>
      <c r="AM46" s="1"/>
      <c r="AN46" s="31"/>
    </row>
    <row r="47" spans="1:40" ht="20.25" customHeight="1">
      <c r="A47" s="31"/>
      <c r="B47" s="31"/>
      <c r="C47" s="1"/>
      <c r="D47" s="31"/>
      <c r="E47" s="31"/>
      <c r="F47" s="31"/>
      <c r="G47" s="31"/>
      <c r="H47" s="31"/>
      <c r="I47" s="31"/>
      <c r="J47" s="31"/>
      <c r="K47" s="31"/>
      <c r="L47" s="31"/>
      <c r="M47" s="31"/>
      <c r="N47" s="31"/>
      <c r="O47" s="31"/>
      <c r="P47" s="31"/>
      <c r="Q47" s="58"/>
      <c r="R47" s="58"/>
      <c r="S47" s="58"/>
      <c r="T47" s="58"/>
      <c r="U47" s="58"/>
      <c r="V47" s="58"/>
      <c r="W47" s="31"/>
      <c r="X47" s="31"/>
      <c r="Y47" s="60"/>
      <c r="Z47" s="60"/>
      <c r="AA47" s="31"/>
      <c r="AB47" s="31"/>
      <c r="AC47" s="31"/>
      <c r="AD47" s="31"/>
      <c r="AE47" s="31"/>
      <c r="AF47" s="31"/>
      <c r="AG47" s="31"/>
      <c r="AH47" s="31"/>
      <c r="AI47" s="31"/>
      <c r="AJ47" s="31"/>
      <c r="AK47" s="31"/>
      <c r="AL47" s="31"/>
      <c r="AM47" s="1"/>
      <c r="AN47" s="31"/>
    </row>
    <row r="48" spans="1:40" ht="20.25" customHeight="1">
      <c r="A48" s="31"/>
      <c r="B48" s="31"/>
      <c r="C48" s="1"/>
      <c r="D48" s="31"/>
      <c r="E48" s="31"/>
      <c r="F48" s="31"/>
      <c r="G48" s="31"/>
      <c r="H48" s="31"/>
      <c r="I48" s="31"/>
      <c r="J48" s="31"/>
      <c r="K48" s="31"/>
      <c r="L48" s="31"/>
      <c r="M48" s="31"/>
      <c r="N48" s="31"/>
      <c r="O48" s="31"/>
      <c r="P48" s="31"/>
      <c r="Q48" s="58"/>
      <c r="R48" s="58"/>
      <c r="S48" s="58"/>
      <c r="T48" s="58"/>
      <c r="U48" s="58"/>
      <c r="V48" s="58"/>
      <c r="W48" s="31"/>
      <c r="X48" s="31"/>
      <c r="Y48" s="60"/>
      <c r="Z48" s="60"/>
      <c r="AA48" s="31"/>
      <c r="AB48" s="31"/>
      <c r="AC48" s="31"/>
      <c r="AD48" s="31"/>
      <c r="AE48" s="31"/>
      <c r="AF48" s="31"/>
      <c r="AG48" s="31"/>
      <c r="AH48" s="31"/>
      <c r="AI48" s="31"/>
      <c r="AJ48" s="31"/>
      <c r="AK48" s="31"/>
      <c r="AL48" s="31"/>
      <c r="AM48" s="1"/>
      <c r="AN48" s="31"/>
    </row>
    <row r="49" spans="1:40" ht="20.25" customHeight="1">
      <c r="A49" s="31"/>
      <c r="B49" s="31"/>
      <c r="C49" s="1"/>
      <c r="D49" s="31"/>
      <c r="E49" s="31"/>
      <c r="F49" s="31"/>
      <c r="G49" s="31"/>
      <c r="H49" s="31"/>
      <c r="I49" s="31"/>
      <c r="J49" s="31"/>
      <c r="K49" s="31"/>
      <c r="L49" s="31"/>
      <c r="M49" s="31"/>
      <c r="N49" s="31"/>
      <c r="O49" s="31"/>
      <c r="P49" s="31"/>
      <c r="Q49" s="58"/>
      <c r="R49" s="58"/>
      <c r="S49" s="58"/>
      <c r="T49" s="58"/>
      <c r="U49" s="58"/>
      <c r="V49" s="58"/>
      <c r="W49" s="31"/>
      <c r="X49" s="31"/>
      <c r="Y49" s="60"/>
      <c r="Z49" s="60"/>
      <c r="AA49" s="31"/>
      <c r="AB49" s="31"/>
      <c r="AC49" s="31"/>
      <c r="AD49" s="31"/>
      <c r="AE49" s="31"/>
      <c r="AF49" s="31"/>
      <c r="AG49" s="31"/>
      <c r="AH49" s="31"/>
      <c r="AI49" s="31"/>
      <c r="AJ49" s="31"/>
      <c r="AK49" s="31"/>
      <c r="AL49" s="31"/>
      <c r="AM49" s="1"/>
      <c r="AN49" s="31"/>
    </row>
    <row r="50" spans="1:40" ht="20.25" customHeight="1">
      <c r="A50" s="31"/>
      <c r="B50" s="31"/>
      <c r="C50" s="1"/>
      <c r="D50" s="31"/>
      <c r="E50" s="31"/>
      <c r="F50" s="31"/>
      <c r="G50" s="31"/>
      <c r="H50" s="31"/>
      <c r="I50" s="31"/>
      <c r="J50" s="31"/>
      <c r="K50" s="31"/>
      <c r="L50" s="31"/>
      <c r="M50" s="31"/>
      <c r="N50" s="31"/>
      <c r="O50" s="31"/>
      <c r="P50" s="31"/>
      <c r="Q50" s="58"/>
      <c r="R50" s="58"/>
      <c r="S50" s="58"/>
      <c r="T50" s="58"/>
      <c r="U50" s="58"/>
      <c r="V50" s="58"/>
      <c r="W50" s="31"/>
      <c r="X50" s="31"/>
      <c r="Y50" s="60"/>
      <c r="Z50" s="60"/>
      <c r="AA50" s="31"/>
      <c r="AB50" s="31"/>
      <c r="AC50" s="31"/>
      <c r="AD50" s="31"/>
      <c r="AE50" s="31"/>
      <c r="AF50" s="31"/>
      <c r="AG50" s="31"/>
      <c r="AH50" s="31"/>
      <c r="AI50" s="31"/>
      <c r="AJ50" s="31"/>
      <c r="AK50" s="31"/>
      <c r="AL50" s="31"/>
      <c r="AM50" s="1"/>
      <c r="AN50" s="31"/>
    </row>
    <row r="51" spans="1:40" ht="20.25" customHeight="1">
      <c r="A51" s="31"/>
      <c r="B51" s="31"/>
      <c r="C51" s="1"/>
      <c r="D51" s="31"/>
      <c r="E51" s="31"/>
      <c r="F51" s="31"/>
      <c r="G51" s="31"/>
      <c r="H51" s="31"/>
      <c r="I51" s="31"/>
      <c r="J51" s="31"/>
      <c r="K51" s="31"/>
      <c r="L51" s="31"/>
      <c r="M51" s="31"/>
      <c r="N51" s="31"/>
      <c r="O51" s="31"/>
      <c r="P51" s="31"/>
      <c r="Q51" s="58"/>
      <c r="R51" s="58"/>
      <c r="S51" s="58"/>
      <c r="T51" s="58"/>
      <c r="U51" s="58"/>
      <c r="V51" s="58"/>
      <c r="W51" s="31"/>
      <c r="X51" s="31"/>
      <c r="Y51" s="60"/>
      <c r="Z51" s="60"/>
      <c r="AA51" s="31"/>
      <c r="AB51" s="31"/>
      <c r="AC51" s="31"/>
      <c r="AD51" s="31"/>
      <c r="AE51" s="31"/>
      <c r="AF51" s="31"/>
      <c r="AG51" s="31"/>
      <c r="AH51" s="31"/>
      <c r="AI51" s="31"/>
      <c r="AJ51" s="31"/>
      <c r="AK51" s="31"/>
      <c r="AL51" s="31"/>
      <c r="AM51" s="1"/>
      <c r="AN51" s="31"/>
    </row>
    <row r="52" spans="1:40" ht="20.25" customHeight="1">
      <c r="A52" s="31"/>
      <c r="B52" s="31"/>
      <c r="C52" s="1"/>
      <c r="D52" s="31"/>
      <c r="E52" s="31"/>
      <c r="F52" s="31"/>
      <c r="G52" s="31"/>
      <c r="H52" s="31"/>
      <c r="I52" s="31"/>
      <c r="J52" s="31"/>
      <c r="K52" s="31"/>
      <c r="L52" s="31"/>
      <c r="M52" s="31"/>
      <c r="N52" s="31"/>
      <c r="O52" s="31"/>
      <c r="P52" s="31"/>
      <c r="Q52" s="58"/>
      <c r="R52" s="58"/>
      <c r="S52" s="58"/>
      <c r="T52" s="58"/>
      <c r="U52" s="58"/>
      <c r="V52" s="58"/>
      <c r="W52" s="31"/>
      <c r="X52" s="31"/>
      <c r="Y52" s="60"/>
      <c r="Z52" s="60"/>
      <c r="AA52" s="31"/>
      <c r="AB52" s="31"/>
      <c r="AC52" s="31"/>
      <c r="AD52" s="31"/>
      <c r="AE52" s="31"/>
      <c r="AF52" s="31"/>
      <c r="AG52" s="31"/>
      <c r="AH52" s="31"/>
      <c r="AI52" s="31"/>
      <c r="AJ52" s="31"/>
      <c r="AK52" s="31"/>
      <c r="AL52" s="31"/>
      <c r="AM52" s="1"/>
      <c r="AN52" s="31"/>
    </row>
    <row r="53" spans="1:40" ht="20.25" customHeight="1">
      <c r="A53" s="31"/>
      <c r="B53" s="31"/>
      <c r="C53" s="1"/>
      <c r="D53" s="31"/>
      <c r="E53" s="31"/>
      <c r="F53" s="31"/>
      <c r="G53" s="31"/>
      <c r="H53" s="31"/>
      <c r="I53" s="31"/>
      <c r="J53" s="31"/>
      <c r="K53" s="31"/>
      <c r="L53" s="31"/>
      <c r="M53" s="31"/>
      <c r="N53" s="31"/>
      <c r="O53" s="31"/>
      <c r="P53" s="31"/>
      <c r="Q53" s="58"/>
      <c r="R53" s="58"/>
      <c r="S53" s="58"/>
      <c r="T53" s="58"/>
      <c r="U53" s="58"/>
      <c r="V53" s="58"/>
      <c r="W53" s="31"/>
      <c r="X53" s="31"/>
      <c r="Y53" s="60"/>
      <c r="Z53" s="60"/>
      <c r="AA53" s="31"/>
      <c r="AB53" s="31"/>
      <c r="AC53" s="31"/>
      <c r="AD53" s="31"/>
      <c r="AE53" s="31"/>
      <c r="AF53" s="31"/>
      <c r="AG53" s="31"/>
      <c r="AH53" s="31"/>
      <c r="AI53" s="31"/>
      <c r="AJ53" s="31"/>
      <c r="AK53" s="31"/>
      <c r="AL53" s="31"/>
      <c r="AM53" s="1"/>
      <c r="AN53" s="31"/>
    </row>
    <row r="54" spans="1:40" ht="20.25" customHeight="1">
      <c r="A54" s="31"/>
      <c r="B54" s="31"/>
      <c r="C54" s="1"/>
      <c r="D54" s="31"/>
      <c r="E54" s="31"/>
      <c r="F54" s="31"/>
      <c r="G54" s="31"/>
      <c r="H54" s="31"/>
      <c r="I54" s="31"/>
      <c r="J54" s="31"/>
      <c r="K54" s="31"/>
      <c r="L54" s="31"/>
      <c r="M54" s="31"/>
      <c r="N54" s="31"/>
      <c r="O54" s="31"/>
      <c r="P54" s="31"/>
      <c r="Q54" s="58"/>
      <c r="R54" s="58"/>
      <c r="S54" s="58"/>
      <c r="T54" s="58"/>
      <c r="U54" s="58"/>
      <c r="V54" s="58"/>
      <c r="W54" s="31"/>
      <c r="X54" s="31"/>
      <c r="Y54" s="60"/>
      <c r="Z54" s="60"/>
      <c r="AA54" s="31"/>
      <c r="AB54" s="31"/>
      <c r="AC54" s="31"/>
      <c r="AD54" s="31"/>
      <c r="AE54" s="31"/>
      <c r="AF54" s="31"/>
      <c r="AG54" s="31"/>
      <c r="AH54" s="31"/>
      <c r="AI54" s="31"/>
      <c r="AJ54" s="31"/>
      <c r="AK54" s="31"/>
      <c r="AL54" s="31"/>
      <c r="AM54" s="1"/>
      <c r="AN54" s="31"/>
    </row>
    <row r="55" spans="1:40" ht="20.25" customHeight="1">
      <c r="A55" s="31"/>
      <c r="B55" s="31"/>
      <c r="C55" s="1"/>
      <c r="D55" s="31"/>
      <c r="E55" s="31"/>
      <c r="F55" s="31"/>
      <c r="G55" s="31"/>
      <c r="H55" s="31"/>
      <c r="I55" s="31"/>
      <c r="J55" s="31"/>
      <c r="K55" s="31"/>
      <c r="L55" s="31"/>
      <c r="M55" s="31"/>
      <c r="N55" s="31"/>
      <c r="O55" s="31"/>
      <c r="P55" s="31"/>
      <c r="Q55" s="58"/>
      <c r="R55" s="58"/>
      <c r="S55" s="58"/>
      <c r="T55" s="58"/>
      <c r="U55" s="58"/>
      <c r="V55" s="58"/>
      <c r="W55" s="31"/>
      <c r="X55" s="31"/>
      <c r="Y55" s="60"/>
      <c r="Z55" s="60"/>
      <c r="AA55" s="31"/>
      <c r="AB55" s="31"/>
      <c r="AC55" s="31"/>
      <c r="AD55" s="31"/>
      <c r="AE55" s="31"/>
      <c r="AF55" s="31"/>
      <c r="AG55" s="31"/>
      <c r="AH55" s="31"/>
      <c r="AI55" s="31"/>
      <c r="AJ55" s="31"/>
      <c r="AK55" s="31"/>
      <c r="AL55" s="31"/>
      <c r="AM55" s="1"/>
      <c r="AN55" s="31"/>
    </row>
    <row r="56" spans="1:40" ht="20.25" customHeight="1">
      <c r="A56" s="31"/>
      <c r="B56" s="31"/>
      <c r="C56" s="1"/>
      <c r="D56" s="31"/>
      <c r="E56" s="31"/>
      <c r="F56" s="31"/>
      <c r="G56" s="31"/>
      <c r="H56" s="31"/>
      <c r="I56" s="31"/>
      <c r="J56" s="31"/>
      <c r="K56" s="31"/>
      <c r="L56" s="31"/>
      <c r="M56" s="31"/>
      <c r="N56" s="31"/>
      <c r="O56" s="31"/>
      <c r="P56" s="31"/>
      <c r="Q56" s="58"/>
      <c r="R56" s="58"/>
      <c r="S56" s="58"/>
      <c r="T56" s="58"/>
      <c r="U56" s="58"/>
      <c r="V56" s="58"/>
      <c r="W56" s="31"/>
      <c r="X56" s="31"/>
      <c r="Y56" s="60"/>
      <c r="Z56" s="60"/>
      <c r="AA56" s="31"/>
      <c r="AB56" s="31"/>
      <c r="AC56" s="31"/>
      <c r="AD56" s="31"/>
      <c r="AE56" s="31"/>
      <c r="AF56" s="31"/>
      <c r="AG56" s="31"/>
      <c r="AH56" s="31"/>
      <c r="AI56" s="31"/>
      <c r="AJ56" s="31"/>
      <c r="AK56" s="31"/>
      <c r="AL56" s="31"/>
      <c r="AM56" s="1"/>
      <c r="AN56" s="31"/>
    </row>
    <row r="57" spans="1:40" ht="20.25" customHeight="1">
      <c r="A57" s="31"/>
      <c r="B57" s="31"/>
      <c r="C57" s="1"/>
      <c r="D57" s="31"/>
      <c r="E57" s="31"/>
      <c r="F57" s="31"/>
      <c r="G57" s="31"/>
      <c r="H57" s="31"/>
      <c r="I57" s="31"/>
      <c r="J57" s="31"/>
      <c r="K57" s="31"/>
      <c r="L57" s="31"/>
      <c r="M57" s="31"/>
      <c r="N57" s="31"/>
      <c r="O57" s="31"/>
      <c r="P57" s="31"/>
      <c r="Q57" s="58"/>
      <c r="R57" s="58"/>
      <c r="S57" s="58"/>
      <c r="T57" s="58"/>
      <c r="U57" s="58"/>
      <c r="V57" s="58"/>
      <c r="W57" s="31"/>
      <c r="X57" s="31"/>
      <c r="Y57" s="60"/>
      <c r="Z57" s="60"/>
      <c r="AA57" s="31"/>
      <c r="AB57" s="31"/>
      <c r="AC57" s="31"/>
      <c r="AD57" s="31"/>
      <c r="AE57" s="31"/>
      <c r="AF57" s="31"/>
      <c r="AG57" s="31"/>
      <c r="AH57" s="31"/>
      <c r="AI57" s="31"/>
      <c r="AJ57" s="31"/>
      <c r="AK57" s="31"/>
      <c r="AL57" s="31"/>
      <c r="AM57" s="1"/>
      <c r="AN57" s="31"/>
    </row>
    <row r="58" spans="1:40" ht="20.25" customHeight="1">
      <c r="A58" s="31"/>
      <c r="B58" s="31"/>
      <c r="C58" s="1"/>
      <c r="D58" s="31"/>
      <c r="E58" s="31"/>
      <c r="F58" s="31"/>
      <c r="G58" s="31"/>
      <c r="H58" s="31"/>
      <c r="I58" s="31"/>
      <c r="J58" s="31"/>
      <c r="K58" s="31"/>
      <c r="L58" s="31"/>
      <c r="M58" s="31"/>
      <c r="N58" s="31"/>
      <c r="O58" s="31"/>
      <c r="P58" s="31"/>
      <c r="Q58" s="58"/>
      <c r="R58" s="58"/>
      <c r="S58" s="58"/>
      <c r="T58" s="58"/>
      <c r="U58" s="58"/>
      <c r="V58" s="58"/>
      <c r="W58" s="31"/>
      <c r="X58" s="31"/>
      <c r="Y58" s="60"/>
      <c r="Z58" s="60"/>
      <c r="AA58" s="31"/>
      <c r="AB58" s="31"/>
      <c r="AC58" s="31"/>
      <c r="AD58" s="31"/>
      <c r="AE58" s="31"/>
      <c r="AF58" s="31"/>
      <c r="AG58" s="31"/>
      <c r="AH58" s="31"/>
      <c r="AI58" s="31"/>
      <c r="AJ58" s="31"/>
      <c r="AK58" s="31"/>
      <c r="AL58" s="31"/>
      <c r="AM58" s="1"/>
      <c r="AN58" s="31"/>
    </row>
    <row r="59" spans="1:40" ht="20.25" customHeight="1">
      <c r="A59" s="31"/>
      <c r="B59" s="31"/>
      <c r="C59" s="1"/>
      <c r="D59" s="31"/>
      <c r="E59" s="31"/>
      <c r="F59" s="31"/>
      <c r="G59" s="31"/>
      <c r="H59" s="31"/>
      <c r="I59" s="31"/>
      <c r="J59" s="31"/>
      <c r="K59" s="31"/>
      <c r="L59" s="31"/>
      <c r="M59" s="31"/>
      <c r="N59" s="31"/>
      <c r="O59" s="31"/>
      <c r="P59" s="31"/>
      <c r="Q59" s="58"/>
      <c r="R59" s="58"/>
      <c r="S59" s="58"/>
      <c r="T59" s="58"/>
      <c r="U59" s="58"/>
      <c r="V59" s="58"/>
      <c r="W59" s="31"/>
      <c r="X59" s="31"/>
      <c r="Y59" s="60"/>
      <c r="Z59" s="60"/>
      <c r="AA59" s="31"/>
      <c r="AB59" s="31"/>
      <c r="AC59" s="31"/>
      <c r="AD59" s="31"/>
      <c r="AE59" s="31"/>
      <c r="AF59" s="31"/>
      <c r="AG59" s="31"/>
      <c r="AH59" s="31"/>
      <c r="AI59" s="31"/>
      <c r="AJ59" s="31"/>
      <c r="AK59" s="31"/>
      <c r="AL59" s="31"/>
      <c r="AM59" s="1"/>
      <c r="AN59" s="31"/>
    </row>
    <row r="60" spans="1:40" ht="20.25" customHeight="1">
      <c r="A60" s="31"/>
      <c r="B60" s="31"/>
      <c r="C60" s="1"/>
      <c r="D60" s="31"/>
      <c r="E60" s="31"/>
      <c r="F60" s="31"/>
      <c r="G60" s="31"/>
      <c r="H60" s="31"/>
      <c r="I60" s="31"/>
      <c r="J60" s="31"/>
      <c r="K60" s="31"/>
      <c r="L60" s="31"/>
      <c r="M60" s="31"/>
      <c r="N60" s="31"/>
      <c r="O60" s="31"/>
      <c r="P60" s="31"/>
      <c r="Q60" s="58"/>
      <c r="R60" s="58"/>
      <c r="S60" s="58"/>
      <c r="T60" s="58"/>
      <c r="U60" s="58"/>
      <c r="V60" s="58"/>
      <c r="W60" s="31"/>
      <c r="X60" s="31"/>
      <c r="Y60" s="60"/>
      <c r="Z60" s="60"/>
      <c r="AA60" s="31"/>
      <c r="AB60" s="31"/>
      <c r="AC60" s="31"/>
      <c r="AD60" s="31"/>
      <c r="AE60" s="31"/>
      <c r="AF60" s="31"/>
      <c r="AG60" s="31"/>
      <c r="AH60" s="31"/>
      <c r="AI60" s="31"/>
      <c r="AJ60" s="31"/>
      <c r="AK60" s="31"/>
      <c r="AL60" s="31"/>
      <c r="AM60" s="1"/>
      <c r="AN60" s="31"/>
    </row>
    <row r="61" spans="1:40" ht="20.25" customHeight="1">
      <c r="A61" s="31"/>
      <c r="B61" s="31"/>
      <c r="C61" s="1"/>
      <c r="D61" s="31"/>
      <c r="E61" s="31"/>
      <c r="F61" s="31"/>
      <c r="G61" s="31"/>
      <c r="H61" s="31"/>
      <c r="I61" s="31"/>
      <c r="J61" s="31"/>
      <c r="K61" s="31"/>
      <c r="L61" s="31"/>
      <c r="M61" s="31"/>
      <c r="N61" s="31"/>
      <c r="O61" s="31"/>
      <c r="P61" s="31"/>
      <c r="Q61" s="58"/>
      <c r="R61" s="58"/>
      <c r="S61" s="58"/>
      <c r="T61" s="58"/>
      <c r="U61" s="58"/>
      <c r="V61" s="58"/>
      <c r="W61" s="31"/>
      <c r="X61" s="31"/>
      <c r="Y61" s="60"/>
      <c r="Z61" s="60"/>
      <c r="AA61" s="31"/>
      <c r="AB61" s="31"/>
      <c r="AC61" s="31"/>
      <c r="AD61" s="31"/>
      <c r="AE61" s="31"/>
      <c r="AF61" s="31"/>
      <c r="AG61" s="31"/>
      <c r="AH61" s="31"/>
      <c r="AI61" s="31"/>
      <c r="AJ61" s="31"/>
      <c r="AK61" s="31"/>
      <c r="AL61" s="31"/>
      <c r="AM61" s="1"/>
      <c r="AN61" s="31"/>
    </row>
    <row r="62" spans="1:40" ht="20.25" customHeight="1">
      <c r="A62" s="31"/>
      <c r="B62" s="31"/>
      <c r="C62" s="1"/>
      <c r="D62" s="31"/>
      <c r="E62" s="31"/>
      <c r="F62" s="31"/>
      <c r="G62" s="31"/>
      <c r="H62" s="31"/>
      <c r="I62" s="31"/>
      <c r="J62" s="31"/>
      <c r="K62" s="31"/>
      <c r="L62" s="31"/>
      <c r="M62" s="31"/>
      <c r="N62" s="31"/>
      <c r="O62" s="31"/>
      <c r="P62" s="31"/>
      <c r="Q62" s="58"/>
      <c r="R62" s="58"/>
      <c r="S62" s="58"/>
      <c r="T62" s="58"/>
      <c r="U62" s="58"/>
      <c r="V62" s="58"/>
      <c r="W62" s="31"/>
      <c r="X62" s="31"/>
      <c r="Y62" s="60"/>
      <c r="Z62" s="60"/>
      <c r="AA62" s="31"/>
      <c r="AB62" s="31"/>
      <c r="AC62" s="31"/>
      <c r="AD62" s="31"/>
      <c r="AE62" s="31"/>
      <c r="AF62" s="31"/>
      <c r="AG62" s="31"/>
      <c r="AH62" s="31"/>
      <c r="AI62" s="31"/>
      <c r="AJ62" s="31"/>
      <c r="AK62" s="31"/>
      <c r="AL62" s="31"/>
      <c r="AM62" s="1"/>
      <c r="AN62" s="31"/>
    </row>
    <row r="63" spans="1:40" ht="20.25" customHeight="1">
      <c r="A63" s="31"/>
      <c r="B63" s="31"/>
      <c r="C63" s="1"/>
      <c r="D63" s="31"/>
      <c r="E63" s="31"/>
      <c r="F63" s="31"/>
      <c r="G63" s="31"/>
      <c r="H63" s="31"/>
      <c r="I63" s="31"/>
      <c r="J63" s="31"/>
      <c r="K63" s="31"/>
      <c r="L63" s="31"/>
      <c r="M63" s="31"/>
      <c r="N63" s="31"/>
      <c r="O63" s="31"/>
      <c r="P63" s="31"/>
      <c r="Q63" s="58"/>
      <c r="R63" s="58"/>
      <c r="S63" s="58"/>
      <c r="T63" s="58"/>
      <c r="U63" s="58"/>
      <c r="V63" s="58"/>
      <c r="W63" s="31"/>
      <c r="X63" s="31"/>
      <c r="Y63" s="60"/>
      <c r="Z63" s="60"/>
      <c r="AA63" s="31"/>
      <c r="AB63" s="31"/>
      <c r="AC63" s="31"/>
      <c r="AD63" s="31"/>
      <c r="AE63" s="31"/>
      <c r="AF63" s="31"/>
      <c r="AG63" s="31"/>
      <c r="AH63" s="31"/>
      <c r="AI63" s="31"/>
      <c r="AJ63" s="31"/>
      <c r="AK63" s="31"/>
      <c r="AL63" s="31"/>
      <c r="AM63" s="1"/>
      <c r="AN63" s="31"/>
    </row>
    <row r="64" spans="1:40" ht="20.25" customHeight="1">
      <c r="A64" s="31"/>
      <c r="B64" s="31"/>
      <c r="C64" s="1"/>
      <c r="D64" s="31"/>
      <c r="E64" s="31"/>
      <c r="F64" s="31"/>
      <c r="G64" s="31"/>
      <c r="H64" s="31"/>
      <c r="I64" s="31"/>
      <c r="J64" s="31"/>
      <c r="K64" s="31"/>
      <c r="L64" s="31"/>
      <c r="M64" s="31"/>
      <c r="N64" s="31"/>
      <c r="O64" s="31"/>
      <c r="P64" s="31"/>
      <c r="Q64" s="58"/>
      <c r="R64" s="58"/>
      <c r="S64" s="58"/>
      <c r="T64" s="58"/>
      <c r="U64" s="58"/>
      <c r="V64" s="58"/>
      <c r="W64" s="31"/>
      <c r="X64" s="31"/>
      <c r="Y64" s="60"/>
      <c r="Z64" s="60"/>
      <c r="AA64" s="31"/>
      <c r="AB64" s="31"/>
      <c r="AC64" s="31"/>
      <c r="AD64" s="31"/>
      <c r="AE64" s="31"/>
      <c r="AF64" s="31"/>
      <c r="AG64" s="31"/>
      <c r="AH64" s="31"/>
      <c r="AI64" s="31"/>
      <c r="AJ64" s="31"/>
      <c r="AK64" s="31"/>
      <c r="AL64" s="31"/>
      <c r="AM64" s="1"/>
      <c r="AN64" s="31"/>
    </row>
    <row r="65" spans="1:40" ht="20.25" customHeight="1">
      <c r="A65" s="31"/>
      <c r="B65" s="31"/>
      <c r="C65" s="1"/>
      <c r="D65" s="31"/>
      <c r="E65" s="31"/>
      <c r="F65" s="31"/>
      <c r="G65" s="31"/>
      <c r="H65" s="31"/>
      <c r="I65" s="31"/>
      <c r="J65" s="31"/>
      <c r="K65" s="31"/>
      <c r="L65" s="31"/>
      <c r="M65" s="31"/>
      <c r="N65" s="31"/>
      <c r="O65" s="31"/>
      <c r="P65" s="31"/>
      <c r="Q65" s="58"/>
      <c r="R65" s="58"/>
      <c r="S65" s="58"/>
      <c r="T65" s="58"/>
      <c r="U65" s="58"/>
      <c r="V65" s="58"/>
      <c r="W65" s="31"/>
      <c r="X65" s="31"/>
      <c r="Y65" s="60"/>
      <c r="Z65" s="60"/>
      <c r="AA65" s="31"/>
      <c r="AB65" s="31"/>
      <c r="AC65" s="31"/>
      <c r="AD65" s="31"/>
      <c r="AE65" s="31"/>
      <c r="AF65" s="31"/>
      <c r="AG65" s="31"/>
      <c r="AH65" s="31"/>
      <c r="AI65" s="31"/>
      <c r="AJ65" s="31"/>
      <c r="AK65" s="31"/>
      <c r="AL65" s="31"/>
      <c r="AM65" s="1"/>
      <c r="AN65" s="31"/>
    </row>
    <row r="66" spans="1:40" ht="20.25" customHeight="1">
      <c r="A66" s="31"/>
      <c r="B66" s="31"/>
      <c r="C66" s="1"/>
      <c r="D66" s="31"/>
      <c r="E66" s="31"/>
      <c r="F66" s="31"/>
      <c r="G66" s="31"/>
      <c r="H66" s="31"/>
      <c r="I66" s="31"/>
      <c r="J66" s="31"/>
      <c r="K66" s="31"/>
      <c r="L66" s="31"/>
      <c r="M66" s="31"/>
      <c r="N66" s="31"/>
      <c r="O66" s="31"/>
      <c r="P66" s="31"/>
      <c r="Q66" s="58"/>
      <c r="R66" s="58"/>
      <c r="S66" s="58"/>
      <c r="T66" s="58"/>
      <c r="U66" s="58"/>
      <c r="V66" s="58"/>
      <c r="W66" s="31"/>
      <c r="X66" s="31"/>
      <c r="Y66" s="60"/>
      <c r="Z66" s="60"/>
      <c r="AA66" s="31"/>
      <c r="AB66" s="31"/>
      <c r="AC66" s="31"/>
      <c r="AD66" s="31"/>
      <c r="AE66" s="31"/>
      <c r="AF66" s="31"/>
      <c r="AG66" s="31"/>
      <c r="AH66" s="31"/>
      <c r="AI66" s="31"/>
      <c r="AJ66" s="31"/>
      <c r="AK66" s="31"/>
      <c r="AL66" s="31"/>
      <c r="AM66" s="1"/>
      <c r="AN66" s="31"/>
    </row>
    <row r="67" spans="1:40" ht="20.25" customHeight="1">
      <c r="A67" s="31"/>
      <c r="B67" s="31"/>
      <c r="C67" s="1"/>
      <c r="D67" s="31"/>
      <c r="E67" s="31"/>
      <c r="F67" s="31"/>
      <c r="G67" s="31"/>
      <c r="H67" s="31"/>
      <c r="I67" s="31"/>
      <c r="J67" s="31"/>
      <c r="K67" s="31"/>
      <c r="L67" s="31"/>
      <c r="M67" s="31"/>
      <c r="N67" s="31"/>
      <c r="O67" s="31"/>
      <c r="P67" s="31"/>
      <c r="Q67" s="58"/>
      <c r="R67" s="58"/>
      <c r="S67" s="58"/>
      <c r="T67" s="58"/>
      <c r="U67" s="58"/>
      <c r="V67" s="58"/>
      <c r="W67" s="31"/>
      <c r="X67" s="31"/>
      <c r="Y67" s="60"/>
      <c r="Z67" s="60"/>
      <c r="AA67" s="31"/>
      <c r="AB67" s="31"/>
      <c r="AC67" s="31"/>
      <c r="AD67" s="31"/>
      <c r="AE67" s="31"/>
      <c r="AF67" s="31"/>
      <c r="AG67" s="31"/>
      <c r="AH67" s="31"/>
      <c r="AI67" s="31"/>
      <c r="AJ67" s="31"/>
      <c r="AK67" s="31"/>
      <c r="AL67" s="31"/>
      <c r="AM67" s="1"/>
      <c r="AN67" s="31"/>
    </row>
    <row r="68" spans="1:40" ht="20.25" customHeight="1">
      <c r="A68" s="31"/>
      <c r="B68" s="31"/>
      <c r="C68" s="1"/>
      <c r="D68" s="31"/>
      <c r="E68" s="31"/>
      <c r="F68" s="31"/>
      <c r="G68" s="31"/>
      <c r="H68" s="31"/>
      <c r="I68" s="31"/>
      <c r="J68" s="31"/>
      <c r="K68" s="31"/>
      <c r="L68" s="31"/>
      <c r="M68" s="31"/>
      <c r="N68" s="31"/>
      <c r="O68" s="31"/>
      <c r="P68" s="31"/>
      <c r="Q68" s="58"/>
      <c r="R68" s="58"/>
      <c r="S68" s="58"/>
      <c r="T68" s="58"/>
      <c r="U68" s="58"/>
      <c r="V68" s="58"/>
      <c r="W68" s="31"/>
      <c r="X68" s="31"/>
      <c r="Y68" s="60"/>
      <c r="Z68" s="60"/>
      <c r="AA68" s="31"/>
      <c r="AB68" s="31"/>
      <c r="AC68" s="31"/>
      <c r="AD68" s="31"/>
      <c r="AE68" s="31"/>
      <c r="AF68" s="31"/>
      <c r="AG68" s="31"/>
      <c r="AH68" s="31"/>
      <c r="AI68" s="31"/>
      <c r="AJ68" s="31"/>
      <c r="AK68" s="31"/>
      <c r="AL68" s="31"/>
      <c r="AM68" s="1"/>
      <c r="AN68" s="31"/>
    </row>
    <row r="69" spans="1:40" ht="20.25" customHeight="1">
      <c r="A69" s="31"/>
      <c r="B69" s="31"/>
      <c r="C69" s="1"/>
      <c r="D69" s="31"/>
      <c r="E69" s="31"/>
      <c r="F69" s="31"/>
      <c r="G69" s="31"/>
      <c r="H69" s="31"/>
      <c r="I69" s="31"/>
      <c r="J69" s="31"/>
      <c r="K69" s="31"/>
      <c r="L69" s="31"/>
      <c r="M69" s="31"/>
      <c r="N69" s="31"/>
      <c r="O69" s="31"/>
      <c r="P69" s="31"/>
      <c r="Q69" s="58"/>
      <c r="R69" s="58"/>
      <c r="S69" s="58"/>
      <c r="T69" s="58"/>
      <c r="U69" s="58"/>
      <c r="V69" s="58"/>
      <c r="W69" s="31"/>
      <c r="X69" s="31"/>
      <c r="Y69" s="60"/>
      <c r="Z69" s="60"/>
      <c r="AA69" s="31"/>
      <c r="AB69" s="31"/>
      <c r="AC69" s="31"/>
      <c r="AD69" s="31"/>
      <c r="AE69" s="31"/>
      <c r="AF69" s="31"/>
      <c r="AG69" s="31"/>
      <c r="AH69" s="31"/>
      <c r="AI69" s="31"/>
      <c r="AJ69" s="31"/>
      <c r="AK69" s="31"/>
      <c r="AL69" s="31"/>
      <c r="AM69" s="1"/>
      <c r="AN69" s="31"/>
    </row>
    <row r="70" spans="1:40" ht="20.25" customHeight="1">
      <c r="A70" s="31"/>
      <c r="B70" s="31"/>
      <c r="C70" s="1"/>
      <c r="D70" s="31"/>
      <c r="E70" s="31"/>
      <c r="F70" s="31"/>
      <c r="G70" s="31"/>
      <c r="H70" s="31"/>
      <c r="I70" s="31"/>
      <c r="J70" s="31"/>
      <c r="K70" s="31"/>
      <c r="L70" s="31"/>
      <c r="M70" s="31"/>
      <c r="N70" s="31"/>
      <c r="O70" s="31"/>
      <c r="P70" s="31"/>
      <c r="Q70" s="58"/>
      <c r="R70" s="58"/>
      <c r="S70" s="58"/>
      <c r="T70" s="58"/>
      <c r="U70" s="58"/>
      <c r="V70" s="58"/>
      <c r="W70" s="31"/>
      <c r="X70" s="31"/>
      <c r="Y70" s="60"/>
      <c r="Z70" s="60"/>
      <c r="AA70" s="31"/>
      <c r="AB70" s="31"/>
      <c r="AC70" s="31"/>
      <c r="AD70" s="31"/>
      <c r="AE70" s="31"/>
      <c r="AF70" s="31"/>
      <c r="AG70" s="31"/>
      <c r="AH70" s="31"/>
      <c r="AI70" s="31"/>
      <c r="AJ70" s="31"/>
      <c r="AK70" s="31"/>
      <c r="AL70" s="31"/>
      <c r="AM70" s="1"/>
      <c r="AN70" s="31"/>
    </row>
    <row r="71" spans="1:40" ht="20.25" customHeight="1">
      <c r="A71" s="31"/>
      <c r="B71" s="31"/>
      <c r="C71" s="1"/>
      <c r="D71" s="31"/>
      <c r="E71" s="31"/>
      <c r="F71" s="31"/>
      <c r="G71" s="31"/>
      <c r="H71" s="31"/>
      <c r="I71" s="31"/>
      <c r="J71" s="31"/>
      <c r="K71" s="31"/>
      <c r="L71" s="31"/>
      <c r="M71" s="31"/>
      <c r="N71" s="31"/>
      <c r="O71" s="31"/>
      <c r="P71" s="31"/>
      <c r="Q71" s="58"/>
      <c r="R71" s="58"/>
      <c r="S71" s="58"/>
      <c r="T71" s="58"/>
      <c r="U71" s="58"/>
      <c r="V71" s="58"/>
      <c r="W71" s="31"/>
      <c r="X71" s="31"/>
      <c r="Y71" s="60"/>
      <c r="Z71" s="60"/>
      <c r="AA71" s="31"/>
      <c r="AB71" s="31"/>
      <c r="AC71" s="31"/>
      <c r="AD71" s="31"/>
      <c r="AE71" s="31"/>
      <c r="AF71" s="31"/>
      <c r="AG71" s="31"/>
      <c r="AH71" s="31"/>
      <c r="AI71" s="31"/>
      <c r="AJ71" s="31"/>
      <c r="AK71" s="31"/>
      <c r="AL71" s="31"/>
      <c r="AM71" s="1"/>
      <c r="AN71" s="31"/>
    </row>
    <row r="72" spans="1:40" ht="20.25" customHeight="1">
      <c r="A72" s="31"/>
      <c r="B72" s="31"/>
      <c r="C72" s="1"/>
      <c r="D72" s="31"/>
      <c r="E72" s="31"/>
      <c r="F72" s="31"/>
      <c r="G72" s="31"/>
      <c r="H72" s="31"/>
      <c r="I72" s="31"/>
      <c r="J72" s="31"/>
      <c r="K72" s="31"/>
      <c r="L72" s="31"/>
      <c r="M72" s="31"/>
      <c r="N72" s="31"/>
      <c r="O72" s="31"/>
      <c r="P72" s="31"/>
      <c r="Q72" s="58"/>
      <c r="R72" s="58"/>
      <c r="S72" s="58"/>
      <c r="T72" s="58"/>
      <c r="U72" s="58"/>
      <c r="V72" s="58"/>
      <c r="W72" s="31"/>
      <c r="X72" s="31"/>
      <c r="Y72" s="60"/>
      <c r="Z72" s="60"/>
      <c r="AA72" s="31"/>
      <c r="AB72" s="31"/>
      <c r="AC72" s="31"/>
      <c r="AD72" s="31"/>
      <c r="AE72" s="31"/>
      <c r="AF72" s="31"/>
      <c r="AG72" s="31"/>
      <c r="AH72" s="31"/>
      <c r="AI72" s="31"/>
      <c r="AJ72" s="31"/>
      <c r="AK72" s="31"/>
      <c r="AL72" s="31"/>
      <c r="AM72" s="1"/>
      <c r="AN72" s="31"/>
    </row>
    <row r="73" spans="1:40" ht="20.25" customHeight="1">
      <c r="A73" s="31"/>
      <c r="B73" s="31"/>
      <c r="C73" s="1"/>
      <c r="D73" s="31"/>
      <c r="E73" s="31"/>
      <c r="F73" s="31"/>
      <c r="G73" s="31"/>
      <c r="H73" s="31"/>
      <c r="I73" s="31"/>
      <c r="J73" s="31"/>
      <c r="K73" s="31"/>
      <c r="L73" s="31"/>
      <c r="M73" s="31"/>
      <c r="N73" s="31"/>
      <c r="O73" s="31"/>
      <c r="P73" s="31"/>
      <c r="Q73" s="58"/>
      <c r="R73" s="58"/>
      <c r="S73" s="58"/>
      <c r="T73" s="58"/>
      <c r="U73" s="58"/>
      <c r="V73" s="58"/>
      <c r="W73" s="31"/>
      <c r="X73" s="31"/>
      <c r="Y73" s="60"/>
      <c r="Z73" s="60"/>
      <c r="AA73" s="31"/>
      <c r="AB73" s="31"/>
      <c r="AC73" s="31"/>
      <c r="AD73" s="31"/>
      <c r="AE73" s="31"/>
      <c r="AF73" s="31"/>
      <c r="AG73" s="31"/>
      <c r="AH73" s="31"/>
      <c r="AI73" s="31"/>
      <c r="AJ73" s="31"/>
      <c r="AK73" s="31"/>
      <c r="AL73" s="31"/>
      <c r="AM73" s="1"/>
      <c r="AN73" s="31"/>
    </row>
    <row r="74" spans="1:40" ht="20.25" customHeight="1">
      <c r="A74" s="31"/>
      <c r="B74" s="31"/>
      <c r="C74" s="1"/>
      <c r="D74" s="31"/>
      <c r="E74" s="31"/>
      <c r="F74" s="31"/>
      <c r="G74" s="31"/>
      <c r="H74" s="31"/>
      <c r="I74" s="31"/>
      <c r="J74" s="31"/>
      <c r="K74" s="31"/>
      <c r="L74" s="31"/>
      <c r="M74" s="31"/>
      <c r="N74" s="31"/>
      <c r="O74" s="31"/>
      <c r="P74" s="31"/>
      <c r="Q74" s="58"/>
      <c r="R74" s="58"/>
      <c r="S74" s="58"/>
      <c r="T74" s="58"/>
      <c r="U74" s="58"/>
      <c r="V74" s="58"/>
      <c r="W74" s="31"/>
      <c r="X74" s="31"/>
      <c r="Y74" s="60"/>
      <c r="Z74" s="60"/>
      <c r="AA74" s="31"/>
      <c r="AB74" s="31"/>
      <c r="AC74" s="31"/>
      <c r="AD74" s="31"/>
      <c r="AE74" s="31"/>
      <c r="AF74" s="31"/>
      <c r="AG74" s="31"/>
      <c r="AH74" s="31"/>
      <c r="AI74" s="31"/>
      <c r="AJ74" s="31"/>
      <c r="AK74" s="31"/>
      <c r="AL74" s="31"/>
      <c r="AM74" s="1"/>
      <c r="AN74" s="31"/>
    </row>
    <row r="75" spans="1:40" ht="20.25" customHeight="1">
      <c r="A75" s="31"/>
      <c r="B75" s="31"/>
      <c r="C75" s="1"/>
      <c r="D75" s="31"/>
      <c r="E75" s="31"/>
      <c r="F75" s="31"/>
      <c r="G75" s="31"/>
      <c r="H75" s="31"/>
      <c r="I75" s="31"/>
      <c r="J75" s="31"/>
      <c r="K75" s="31"/>
      <c r="L75" s="31"/>
      <c r="M75" s="31"/>
      <c r="N75" s="31"/>
      <c r="O75" s="31"/>
      <c r="P75" s="31"/>
      <c r="Q75" s="58"/>
      <c r="R75" s="58"/>
      <c r="S75" s="58"/>
      <c r="T75" s="58"/>
      <c r="U75" s="58"/>
      <c r="V75" s="58"/>
      <c r="W75" s="31"/>
      <c r="X75" s="31"/>
      <c r="Y75" s="60"/>
      <c r="Z75" s="60"/>
      <c r="AA75" s="31"/>
      <c r="AB75" s="31"/>
      <c r="AC75" s="31"/>
      <c r="AD75" s="31"/>
      <c r="AE75" s="31"/>
      <c r="AF75" s="31"/>
      <c r="AG75" s="31"/>
      <c r="AH75" s="31"/>
      <c r="AI75" s="31"/>
      <c r="AJ75" s="31"/>
      <c r="AK75" s="31"/>
      <c r="AL75" s="31"/>
      <c r="AM75" s="1"/>
      <c r="AN75" s="31"/>
    </row>
    <row r="76" spans="1:40" ht="20.25" customHeight="1">
      <c r="A76" s="31"/>
      <c r="B76" s="31"/>
      <c r="C76" s="1"/>
      <c r="D76" s="31"/>
      <c r="E76" s="31"/>
      <c r="F76" s="31"/>
      <c r="G76" s="31"/>
      <c r="H76" s="31"/>
      <c r="I76" s="31"/>
      <c r="J76" s="31"/>
      <c r="K76" s="31"/>
      <c r="L76" s="31"/>
      <c r="M76" s="31"/>
      <c r="N76" s="31"/>
      <c r="O76" s="31"/>
      <c r="P76" s="31"/>
      <c r="Q76" s="58"/>
      <c r="R76" s="58"/>
      <c r="S76" s="58"/>
      <c r="T76" s="58"/>
      <c r="U76" s="58"/>
      <c r="V76" s="58"/>
      <c r="W76" s="31"/>
      <c r="X76" s="31"/>
      <c r="Y76" s="60"/>
      <c r="Z76" s="60"/>
      <c r="AA76" s="31"/>
      <c r="AB76" s="31"/>
      <c r="AC76" s="31"/>
      <c r="AD76" s="31"/>
      <c r="AE76" s="31"/>
      <c r="AF76" s="31"/>
      <c r="AG76" s="31"/>
      <c r="AH76" s="31"/>
      <c r="AI76" s="31"/>
      <c r="AJ76" s="31"/>
      <c r="AK76" s="31"/>
      <c r="AL76" s="31"/>
      <c r="AM76" s="1"/>
      <c r="AN76" s="31"/>
    </row>
    <row r="77" spans="1:40" ht="20.25" customHeight="1">
      <c r="A77" s="31"/>
      <c r="B77" s="31"/>
      <c r="C77" s="1"/>
      <c r="D77" s="31"/>
      <c r="E77" s="31"/>
      <c r="F77" s="31"/>
      <c r="G77" s="31"/>
      <c r="H77" s="31"/>
      <c r="I77" s="31"/>
      <c r="J77" s="31"/>
      <c r="K77" s="31"/>
      <c r="L77" s="31"/>
      <c r="M77" s="31"/>
      <c r="N77" s="31"/>
      <c r="O77" s="31"/>
      <c r="P77" s="31"/>
      <c r="Q77" s="58"/>
      <c r="R77" s="58"/>
      <c r="S77" s="58"/>
      <c r="T77" s="58"/>
      <c r="U77" s="58"/>
      <c r="V77" s="58"/>
      <c r="W77" s="31"/>
      <c r="X77" s="31"/>
      <c r="Y77" s="60"/>
      <c r="Z77" s="60"/>
      <c r="AA77" s="31"/>
      <c r="AB77" s="31"/>
      <c r="AC77" s="31"/>
      <c r="AD77" s="31"/>
      <c r="AE77" s="31"/>
      <c r="AF77" s="31"/>
      <c r="AG77" s="31"/>
      <c r="AH77" s="31"/>
      <c r="AI77" s="31"/>
      <c r="AJ77" s="31"/>
      <c r="AK77" s="31"/>
      <c r="AL77" s="31"/>
      <c r="AM77" s="1"/>
      <c r="AN77" s="31"/>
    </row>
    <row r="78" spans="1:40" ht="20.25" customHeight="1">
      <c r="A78" s="31"/>
      <c r="B78" s="31"/>
      <c r="C78" s="1"/>
      <c r="D78" s="31"/>
      <c r="E78" s="31"/>
      <c r="F78" s="31"/>
      <c r="G78" s="31"/>
      <c r="H78" s="31"/>
      <c r="I78" s="31"/>
      <c r="J78" s="31"/>
      <c r="K78" s="31"/>
      <c r="L78" s="31"/>
      <c r="M78" s="31"/>
      <c r="N78" s="31"/>
      <c r="O78" s="31"/>
      <c r="P78" s="31"/>
      <c r="Q78" s="58"/>
      <c r="R78" s="58"/>
      <c r="S78" s="58"/>
      <c r="T78" s="58"/>
      <c r="U78" s="58"/>
      <c r="V78" s="58"/>
      <c r="W78" s="31"/>
      <c r="X78" s="31"/>
      <c r="Y78" s="60"/>
      <c r="Z78" s="60"/>
      <c r="AA78" s="31"/>
      <c r="AB78" s="31"/>
      <c r="AC78" s="31"/>
      <c r="AD78" s="31"/>
      <c r="AE78" s="31"/>
      <c r="AF78" s="31"/>
      <c r="AG78" s="31"/>
      <c r="AH78" s="31"/>
      <c r="AI78" s="31"/>
      <c r="AJ78" s="31"/>
      <c r="AK78" s="31"/>
      <c r="AL78" s="31"/>
      <c r="AM78" s="1"/>
      <c r="AN78" s="31"/>
    </row>
    <row r="79" spans="1:40" ht="20.25" customHeight="1">
      <c r="A79" s="31"/>
      <c r="B79" s="31"/>
      <c r="C79" s="1"/>
      <c r="D79" s="31"/>
      <c r="E79" s="31"/>
      <c r="F79" s="31"/>
      <c r="G79" s="31"/>
      <c r="H79" s="31"/>
      <c r="I79" s="31"/>
      <c r="J79" s="31"/>
      <c r="K79" s="31"/>
      <c r="L79" s="31"/>
      <c r="M79" s="31"/>
      <c r="N79" s="31"/>
      <c r="O79" s="31"/>
      <c r="P79" s="31"/>
      <c r="Q79" s="58"/>
      <c r="R79" s="58"/>
      <c r="S79" s="58"/>
      <c r="T79" s="58"/>
      <c r="U79" s="58"/>
      <c r="V79" s="58"/>
      <c r="W79" s="31"/>
      <c r="X79" s="31"/>
      <c r="Y79" s="60"/>
      <c r="Z79" s="60"/>
      <c r="AA79" s="31"/>
      <c r="AB79" s="31"/>
      <c r="AC79" s="31"/>
      <c r="AD79" s="31"/>
      <c r="AE79" s="31"/>
      <c r="AF79" s="31"/>
      <c r="AG79" s="31"/>
      <c r="AH79" s="31"/>
      <c r="AI79" s="31"/>
      <c r="AJ79" s="31"/>
      <c r="AK79" s="31"/>
      <c r="AL79" s="31"/>
      <c r="AM79" s="1"/>
      <c r="AN79" s="31"/>
    </row>
    <row r="80" spans="1:40" ht="20.25" customHeight="1">
      <c r="A80" s="31"/>
      <c r="B80" s="31"/>
      <c r="C80" s="1"/>
      <c r="D80" s="31"/>
      <c r="E80" s="31"/>
      <c r="F80" s="31"/>
      <c r="G80" s="31"/>
      <c r="H80" s="31"/>
      <c r="I80" s="31"/>
      <c r="J80" s="31"/>
      <c r="K80" s="31"/>
      <c r="L80" s="31"/>
      <c r="M80" s="31"/>
      <c r="N80" s="31"/>
      <c r="O80" s="31"/>
      <c r="P80" s="31"/>
      <c r="Q80" s="58"/>
      <c r="R80" s="58"/>
      <c r="S80" s="58"/>
      <c r="T80" s="58"/>
      <c r="U80" s="58"/>
      <c r="V80" s="58"/>
      <c r="W80" s="31"/>
      <c r="X80" s="31"/>
      <c r="Y80" s="60"/>
      <c r="Z80" s="60"/>
      <c r="AA80" s="31"/>
      <c r="AB80" s="31"/>
      <c r="AC80" s="31"/>
      <c r="AD80" s="31"/>
      <c r="AE80" s="31"/>
      <c r="AF80" s="31"/>
      <c r="AG80" s="31"/>
      <c r="AH80" s="31"/>
      <c r="AI80" s="31"/>
      <c r="AJ80" s="31"/>
      <c r="AK80" s="31"/>
      <c r="AL80" s="31"/>
      <c r="AM80" s="1"/>
      <c r="AN80" s="31"/>
    </row>
    <row r="81" spans="1:40" ht="20.25" customHeight="1">
      <c r="A81" s="31"/>
      <c r="B81" s="31"/>
      <c r="C81" s="1"/>
      <c r="D81" s="31"/>
      <c r="E81" s="31"/>
      <c r="F81" s="31"/>
      <c r="G81" s="31"/>
      <c r="H81" s="31"/>
      <c r="I81" s="31"/>
      <c r="J81" s="31"/>
      <c r="K81" s="31"/>
      <c r="L81" s="31"/>
      <c r="M81" s="31"/>
      <c r="N81" s="31"/>
      <c r="O81" s="31"/>
      <c r="P81" s="31"/>
      <c r="Q81" s="58"/>
      <c r="R81" s="58"/>
      <c r="S81" s="58"/>
      <c r="T81" s="58"/>
      <c r="U81" s="58"/>
      <c r="V81" s="58"/>
      <c r="W81" s="31"/>
      <c r="X81" s="31"/>
      <c r="Y81" s="60"/>
      <c r="Z81" s="60"/>
      <c r="AA81" s="31"/>
      <c r="AB81" s="31"/>
      <c r="AC81" s="31"/>
      <c r="AD81" s="31"/>
      <c r="AE81" s="31"/>
      <c r="AF81" s="31"/>
      <c r="AG81" s="31"/>
      <c r="AH81" s="31"/>
      <c r="AI81" s="31"/>
      <c r="AJ81" s="31"/>
      <c r="AK81" s="31"/>
      <c r="AL81" s="31"/>
      <c r="AM81" s="1"/>
      <c r="AN81" s="31"/>
    </row>
    <row r="82" spans="1:40" ht="20.25" customHeight="1">
      <c r="A82" s="31"/>
      <c r="B82" s="31"/>
      <c r="C82" s="1"/>
      <c r="D82" s="31"/>
      <c r="E82" s="31"/>
      <c r="F82" s="31"/>
      <c r="G82" s="31"/>
      <c r="H82" s="31"/>
      <c r="I82" s="31"/>
      <c r="J82" s="31"/>
      <c r="K82" s="31"/>
      <c r="L82" s="31"/>
      <c r="M82" s="31"/>
      <c r="N82" s="31"/>
      <c r="O82" s="31"/>
      <c r="P82" s="31"/>
      <c r="Q82" s="58"/>
      <c r="R82" s="58"/>
      <c r="S82" s="58"/>
      <c r="T82" s="58"/>
      <c r="U82" s="58"/>
      <c r="V82" s="58"/>
      <c r="W82" s="31"/>
      <c r="X82" s="31"/>
      <c r="Y82" s="60"/>
      <c r="Z82" s="60"/>
      <c r="AA82" s="31"/>
      <c r="AB82" s="31"/>
      <c r="AC82" s="31"/>
      <c r="AD82" s="31"/>
      <c r="AE82" s="31"/>
      <c r="AF82" s="31"/>
      <c r="AG82" s="31"/>
      <c r="AH82" s="31"/>
      <c r="AI82" s="31"/>
      <c r="AJ82" s="31"/>
      <c r="AK82" s="31"/>
      <c r="AL82" s="31"/>
      <c r="AM82" s="1"/>
      <c r="AN82" s="31"/>
    </row>
    <row r="83" spans="1:40" ht="20.25" customHeight="1">
      <c r="A83" s="31"/>
      <c r="B83" s="31"/>
      <c r="C83" s="1"/>
      <c r="D83" s="31"/>
      <c r="E83" s="31"/>
      <c r="F83" s="31"/>
      <c r="G83" s="31"/>
      <c r="H83" s="31"/>
      <c r="I83" s="31"/>
      <c r="J83" s="31"/>
      <c r="K83" s="31"/>
      <c r="L83" s="31"/>
      <c r="M83" s="31"/>
      <c r="N83" s="31"/>
      <c r="O83" s="31"/>
      <c r="P83" s="31"/>
      <c r="Q83" s="58"/>
      <c r="R83" s="58"/>
      <c r="S83" s="58"/>
      <c r="T83" s="58"/>
      <c r="U83" s="58"/>
      <c r="V83" s="58"/>
      <c r="W83" s="31"/>
      <c r="X83" s="31"/>
      <c r="Y83" s="60"/>
      <c r="Z83" s="60"/>
      <c r="AA83" s="31"/>
      <c r="AB83" s="31"/>
      <c r="AC83" s="31"/>
      <c r="AD83" s="31"/>
      <c r="AE83" s="31"/>
      <c r="AF83" s="31"/>
      <c r="AG83" s="31"/>
      <c r="AH83" s="31"/>
      <c r="AI83" s="31"/>
      <c r="AJ83" s="31"/>
      <c r="AK83" s="31"/>
      <c r="AL83" s="31"/>
      <c r="AM83" s="1"/>
      <c r="AN83" s="31"/>
    </row>
    <row r="84" spans="1:40" ht="20.25" customHeight="1">
      <c r="A84" s="31"/>
      <c r="B84" s="31"/>
      <c r="C84" s="1"/>
      <c r="D84" s="31"/>
      <c r="E84" s="31"/>
      <c r="F84" s="31"/>
      <c r="G84" s="31"/>
      <c r="H84" s="31"/>
      <c r="I84" s="31"/>
      <c r="J84" s="31"/>
      <c r="K84" s="31"/>
      <c r="L84" s="31"/>
      <c r="M84" s="31"/>
      <c r="N84" s="31"/>
      <c r="O84" s="31"/>
      <c r="P84" s="31"/>
      <c r="Q84" s="58"/>
      <c r="R84" s="58"/>
      <c r="S84" s="58"/>
      <c r="T84" s="58"/>
      <c r="U84" s="58"/>
      <c r="V84" s="58"/>
      <c r="W84" s="31"/>
      <c r="X84" s="31"/>
      <c r="Y84" s="60"/>
      <c r="Z84" s="60"/>
      <c r="AA84" s="31"/>
      <c r="AB84" s="31"/>
      <c r="AC84" s="31"/>
      <c r="AD84" s="31"/>
      <c r="AE84" s="31"/>
      <c r="AF84" s="31"/>
      <c r="AG84" s="31"/>
      <c r="AH84" s="31"/>
      <c r="AI84" s="31"/>
      <c r="AJ84" s="31"/>
      <c r="AK84" s="31"/>
      <c r="AL84" s="31"/>
      <c r="AM84" s="1"/>
      <c r="AN84" s="31"/>
    </row>
    <row r="85" spans="1:40" ht="20.25" customHeight="1">
      <c r="A85" s="31"/>
      <c r="B85" s="31"/>
      <c r="C85" s="1"/>
      <c r="D85" s="31"/>
      <c r="E85" s="31"/>
      <c r="F85" s="31"/>
      <c r="G85" s="31"/>
      <c r="H85" s="31"/>
      <c r="I85" s="31"/>
      <c r="J85" s="31"/>
      <c r="K85" s="31"/>
      <c r="L85" s="31"/>
      <c r="M85" s="31"/>
      <c r="N85" s="31"/>
      <c r="O85" s="31"/>
      <c r="P85" s="31"/>
      <c r="Q85" s="58"/>
      <c r="R85" s="58"/>
      <c r="S85" s="58"/>
      <c r="T85" s="58"/>
      <c r="U85" s="58"/>
      <c r="V85" s="58"/>
      <c r="W85" s="31"/>
      <c r="X85" s="31"/>
      <c r="Y85" s="60"/>
      <c r="Z85" s="60"/>
      <c r="AA85" s="31"/>
      <c r="AB85" s="31"/>
      <c r="AC85" s="31"/>
      <c r="AD85" s="31"/>
      <c r="AE85" s="31"/>
      <c r="AF85" s="31"/>
      <c r="AG85" s="31"/>
      <c r="AH85" s="31"/>
      <c r="AI85" s="31"/>
      <c r="AJ85" s="31"/>
      <c r="AK85" s="31"/>
      <c r="AL85" s="31"/>
      <c r="AM85" s="1"/>
      <c r="AN85" s="31"/>
    </row>
    <row r="86" spans="1:40" ht="20.25" customHeight="1">
      <c r="A86" s="31"/>
      <c r="B86" s="31"/>
      <c r="C86" s="1"/>
      <c r="D86" s="31"/>
      <c r="E86" s="31"/>
      <c r="F86" s="31"/>
      <c r="G86" s="31"/>
      <c r="H86" s="31"/>
      <c r="I86" s="31"/>
      <c r="J86" s="31"/>
      <c r="K86" s="31"/>
      <c r="L86" s="31"/>
      <c r="M86" s="31"/>
      <c r="N86" s="31"/>
      <c r="O86" s="31"/>
      <c r="P86" s="31"/>
      <c r="Q86" s="58"/>
      <c r="R86" s="58"/>
      <c r="S86" s="58"/>
      <c r="T86" s="58"/>
      <c r="U86" s="58"/>
      <c r="V86" s="58"/>
      <c r="W86" s="31"/>
      <c r="X86" s="31"/>
      <c r="Y86" s="60"/>
      <c r="Z86" s="60"/>
      <c r="AA86" s="31"/>
      <c r="AB86" s="31"/>
      <c r="AC86" s="31"/>
      <c r="AD86" s="31"/>
      <c r="AE86" s="31"/>
      <c r="AF86" s="31"/>
      <c r="AG86" s="31"/>
      <c r="AH86" s="31"/>
      <c r="AI86" s="31"/>
      <c r="AJ86" s="31"/>
      <c r="AK86" s="31"/>
      <c r="AL86" s="31"/>
      <c r="AM86" s="1"/>
      <c r="AN86" s="31"/>
    </row>
    <row r="87" spans="1:40" ht="20.25" customHeight="1">
      <c r="A87" s="31"/>
      <c r="B87" s="31"/>
      <c r="C87" s="1"/>
      <c r="D87" s="31"/>
      <c r="E87" s="31"/>
      <c r="F87" s="31"/>
      <c r="G87" s="31"/>
      <c r="H87" s="31"/>
      <c r="I87" s="31"/>
      <c r="J87" s="31"/>
      <c r="K87" s="31"/>
      <c r="L87" s="31"/>
      <c r="M87" s="31"/>
      <c r="N87" s="31"/>
      <c r="O87" s="31"/>
      <c r="P87" s="31"/>
      <c r="Q87" s="58"/>
      <c r="R87" s="58"/>
      <c r="S87" s="58"/>
      <c r="T87" s="58"/>
      <c r="U87" s="58"/>
      <c r="V87" s="58"/>
      <c r="W87" s="31"/>
      <c r="X87" s="31"/>
      <c r="Y87" s="60"/>
      <c r="Z87" s="60"/>
      <c r="AA87" s="31"/>
      <c r="AB87" s="31"/>
      <c r="AC87" s="31"/>
      <c r="AD87" s="31"/>
      <c r="AE87" s="31"/>
      <c r="AF87" s="31"/>
      <c r="AG87" s="31"/>
      <c r="AH87" s="31"/>
      <c r="AI87" s="31"/>
      <c r="AJ87" s="31"/>
      <c r="AK87" s="31"/>
      <c r="AL87" s="31"/>
      <c r="AM87" s="1"/>
      <c r="AN87" s="31"/>
    </row>
    <row r="88" spans="1:40" ht="20.25" customHeight="1">
      <c r="A88" s="31"/>
      <c r="B88" s="31"/>
      <c r="C88" s="1"/>
      <c r="D88" s="31"/>
      <c r="E88" s="31"/>
      <c r="F88" s="31"/>
      <c r="G88" s="31"/>
      <c r="H88" s="31"/>
      <c r="I88" s="31"/>
      <c r="J88" s="31"/>
      <c r="K88" s="31"/>
      <c r="L88" s="31"/>
      <c r="M88" s="31"/>
      <c r="N88" s="31"/>
      <c r="O88" s="31"/>
      <c r="P88" s="31"/>
      <c r="Q88" s="58"/>
      <c r="R88" s="58"/>
      <c r="S88" s="58"/>
      <c r="T88" s="58"/>
      <c r="U88" s="58"/>
      <c r="V88" s="58"/>
      <c r="W88" s="31"/>
      <c r="X88" s="31"/>
      <c r="Y88" s="60"/>
      <c r="Z88" s="60"/>
      <c r="AA88" s="31"/>
      <c r="AB88" s="31"/>
      <c r="AC88" s="31"/>
      <c r="AD88" s="31"/>
      <c r="AE88" s="31"/>
      <c r="AF88" s="31"/>
      <c r="AG88" s="31"/>
      <c r="AH88" s="31"/>
      <c r="AI88" s="31"/>
      <c r="AJ88" s="31"/>
      <c r="AK88" s="31"/>
      <c r="AL88" s="31"/>
      <c r="AM88" s="1"/>
      <c r="AN88" s="31"/>
    </row>
    <row r="89" spans="1:40" ht="20.25" customHeight="1">
      <c r="A89" s="31"/>
      <c r="B89" s="31"/>
      <c r="C89" s="1"/>
      <c r="D89" s="31"/>
      <c r="E89" s="31"/>
      <c r="F89" s="31"/>
      <c r="G89" s="31"/>
      <c r="H89" s="31"/>
      <c r="I89" s="31"/>
      <c r="J89" s="31"/>
      <c r="K89" s="31"/>
      <c r="L89" s="31"/>
      <c r="M89" s="31"/>
      <c r="N89" s="31"/>
      <c r="O89" s="31"/>
      <c r="P89" s="31"/>
      <c r="Q89" s="58"/>
      <c r="R89" s="58"/>
      <c r="S89" s="58"/>
      <c r="T89" s="58"/>
      <c r="U89" s="58"/>
      <c r="V89" s="58"/>
      <c r="W89" s="31"/>
      <c r="X89" s="31"/>
      <c r="Y89" s="60"/>
      <c r="Z89" s="60"/>
      <c r="AA89" s="31"/>
      <c r="AB89" s="31"/>
      <c r="AC89" s="31"/>
      <c r="AD89" s="31"/>
      <c r="AE89" s="31"/>
      <c r="AF89" s="31"/>
      <c r="AG89" s="31"/>
      <c r="AH89" s="31"/>
      <c r="AI89" s="31"/>
      <c r="AJ89" s="31"/>
      <c r="AK89" s="31"/>
      <c r="AL89" s="31"/>
      <c r="AM89" s="1"/>
      <c r="AN89" s="31"/>
    </row>
    <row r="90" spans="1:40" ht="20.25" customHeight="1">
      <c r="A90" s="31"/>
      <c r="B90" s="31"/>
      <c r="C90" s="1"/>
      <c r="D90" s="31"/>
      <c r="E90" s="31"/>
      <c r="F90" s="31"/>
      <c r="G90" s="31"/>
      <c r="H90" s="31"/>
      <c r="I90" s="31"/>
      <c r="J90" s="31"/>
      <c r="K90" s="31"/>
      <c r="L90" s="31"/>
      <c r="M90" s="31"/>
      <c r="N90" s="31"/>
      <c r="O90" s="31"/>
      <c r="P90" s="31"/>
      <c r="Q90" s="58"/>
      <c r="R90" s="58"/>
      <c r="S90" s="58"/>
      <c r="T90" s="58"/>
      <c r="U90" s="58"/>
      <c r="V90" s="58"/>
      <c r="W90" s="31"/>
      <c r="X90" s="31"/>
      <c r="Y90" s="60"/>
      <c r="Z90" s="60"/>
      <c r="AA90" s="31"/>
      <c r="AB90" s="31"/>
      <c r="AC90" s="31"/>
      <c r="AD90" s="31"/>
      <c r="AE90" s="31"/>
      <c r="AF90" s="31"/>
      <c r="AG90" s="31"/>
      <c r="AH90" s="31"/>
      <c r="AI90" s="31"/>
      <c r="AJ90" s="31"/>
      <c r="AK90" s="31"/>
      <c r="AL90" s="31"/>
      <c r="AM90" s="1"/>
      <c r="AN90" s="31"/>
    </row>
    <row r="91" spans="1:40" ht="20.25" customHeight="1">
      <c r="A91" s="31"/>
      <c r="B91" s="31"/>
      <c r="C91" s="1"/>
      <c r="D91" s="31"/>
      <c r="E91" s="31"/>
      <c r="F91" s="31"/>
      <c r="G91" s="31"/>
      <c r="H91" s="31"/>
      <c r="I91" s="31"/>
      <c r="J91" s="31"/>
      <c r="K91" s="31"/>
      <c r="L91" s="31"/>
      <c r="M91" s="31"/>
      <c r="N91" s="31"/>
      <c r="O91" s="31"/>
      <c r="P91" s="31"/>
      <c r="Q91" s="58"/>
      <c r="R91" s="58"/>
      <c r="S91" s="58"/>
      <c r="T91" s="58"/>
      <c r="U91" s="58"/>
      <c r="V91" s="58"/>
      <c r="W91" s="31"/>
      <c r="X91" s="31"/>
      <c r="Y91" s="60"/>
      <c r="Z91" s="60"/>
      <c r="AA91" s="31"/>
      <c r="AB91" s="31"/>
      <c r="AC91" s="31"/>
      <c r="AD91" s="31"/>
      <c r="AE91" s="31"/>
      <c r="AF91" s="31"/>
      <c r="AG91" s="31"/>
      <c r="AH91" s="31"/>
      <c r="AI91" s="31"/>
      <c r="AJ91" s="31"/>
      <c r="AK91" s="31"/>
      <c r="AL91" s="31"/>
      <c r="AM91" s="1"/>
      <c r="AN91" s="31"/>
    </row>
    <row r="92" spans="1:40" ht="20.25" customHeight="1">
      <c r="A92" s="31"/>
      <c r="B92" s="31"/>
      <c r="C92" s="1"/>
      <c r="D92" s="31"/>
      <c r="E92" s="31"/>
      <c r="F92" s="31"/>
      <c r="G92" s="31"/>
      <c r="H92" s="31"/>
      <c r="I92" s="31"/>
      <c r="J92" s="31"/>
      <c r="K92" s="31"/>
      <c r="L92" s="31"/>
      <c r="M92" s="31"/>
      <c r="N92" s="31"/>
      <c r="O92" s="31"/>
      <c r="P92" s="31"/>
      <c r="Q92" s="58"/>
      <c r="R92" s="58"/>
      <c r="S92" s="58"/>
      <c r="T92" s="58"/>
      <c r="U92" s="58"/>
      <c r="V92" s="58"/>
      <c r="W92" s="31"/>
      <c r="X92" s="31"/>
      <c r="Y92" s="60"/>
      <c r="Z92" s="60"/>
      <c r="AA92" s="31"/>
      <c r="AB92" s="31"/>
      <c r="AC92" s="31"/>
      <c r="AD92" s="31"/>
      <c r="AE92" s="31"/>
      <c r="AF92" s="31"/>
      <c r="AG92" s="31"/>
      <c r="AH92" s="31"/>
      <c r="AI92" s="31"/>
      <c r="AJ92" s="31"/>
      <c r="AK92" s="31"/>
      <c r="AL92" s="31"/>
      <c r="AM92" s="1"/>
      <c r="AN92" s="31"/>
    </row>
    <row r="93" spans="1:40" ht="20.25" customHeight="1">
      <c r="A93" s="31"/>
      <c r="B93" s="31"/>
      <c r="C93" s="1"/>
      <c r="D93" s="31"/>
      <c r="E93" s="31"/>
      <c r="F93" s="31"/>
      <c r="G93" s="31"/>
      <c r="H93" s="31"/>
      <c r="I93" s="31"/>
      <c r="J93" s="31"/>
      <c r="K93" s="31"/>
      <c r="L93" s="31"/>
      <c r="M93" s="31"/>
      <c r="N93" s="31"/>
      <c r="O93" s="31"/>
      <c r="P93" s="31"/>
      <c r="Q93" s="58"/>
      <c r="R93" s="58"/>
      <c r="S93" s="58"/>
      <c r="T93" s="58"/>
      <c r="U93" s="58"/>
      <c r="V93" s="58"/>
      <c r="W93" s="31"/>
      <c r="X93" s="31"/>
      <c r="Y93" s="60"/>
      <c r="Z93" s="60"/>
      <c r="AA93" s="31"/>
      <c r="AB93" s="31"/>
      <c r="AC93" s="31"/>
      <c r="AD93" s="31"/>
      <c r="AE93" s="31"/>
      <c r="AF93" s="31"/>
      <c r="AG93" s="31"/>
      <c r="AH93" s="31"/>
      <c r="AI93" s="31"/>
      <c r="AJ93" s="31"/>
      <c r="AK93" s="31"/>
      <c r="AL93" s="31"/>
      <c r="AM93" s="1"/>
      <c r="AN93" s="31"/>
    </row>
    <row r="94" spans="1:40" ht="20.25" customHeight="1">
      <c r="A94" s="31"/>
      <c r="B94" s="31"/>
      <c r="C94" s="1"/>
      <c r="D94" s="31"/>
      <c r="E94" s="31"/>
      <c r="F94" s="31"/>
      <c r="G94" s="31"/>
      <c r="H94" s="31"/>
      <c r="I94" s="31"/>
      <c r="J94" s="31"/>
      <c r="K94" s="31"/>
      <c r="L94" s="31"/>
      <c r="M94" s="31"/>
      <c r="N94" s="31"/>
      <c r="O94" s="31"/>
      <c r="P94" s="31"/>
      <c r="Q94" s="58"/>
      <c r="R94" s="58"/>
      <c r="S94" s="58"/>
      <c r="T94" s="58"/>
      <c r="U94" s="58"/>
      <c r="V94" s="58"/>
      <c r="W94" s="31"/>
      <c r="X94" s="31"/>
      <c r="Y94" s="60"/>
      <c r="Z94" s="60"/>
      <c r="AA94" s="31"/>
      <c r="AB94" s="31"/>
      <c r="AC94" s="31"/>
      <c r="AD94" s="31"/>
      <c r="AE94" s="31"/>
      <c r="AF94" s="31"/>
      <c r="AG94" s="31"/>
      <c r="AH94" s="31"/>
      <c r="AI94" s="31"/>
      <c r="AJ94" s="31"/>
      <c r="AK94" s="31"/>
      <c r="AL94" s="31"/>
      <c r="AM94" s="1"/>
      <c r="AN94" s="31"/>
    </row>
    <row r="95" spans="1:40" ht="20.25" customHeight="1">
      <c r="A95" s="31"/>
      <c r="B95" s="31"/>
      <c r="C95" s="1"/>
      <c r="D95" s="31"/>
      <c r="E95" s="31"/>
      <c r="F95" s="31"/>
      <c r="G95" s="31"/>
      <c r="H95" s="31"/>
      <c r="I95" s="31"/>
      <c r="J95" s="31"/>
      <c r="K95" s="31"/>
      <c r="L95" s="31"/>
      <c r="M95" s="31"/>
      <c r="N95" s="31"/>
      <c r="O95" s="31"/>
      <c r="P95" s="31"/>
      <c r="Q95" s="58"/>
      <c r="R95" s="58"/>
      <c r="S95" s="58"/>
      <c r="T95" s="58"/>
      <c r="U95" s="58"/>
      <c r="V95" s="58"/>
      <c r="W95" s="31"/>
      <c r="X95" s="31"/>
      <c r="Y95" s="60"/>
      <c r="Z95" s="60"/>
      <c r="AA95" s="31"/>
      <c r="AB95" s="31"/>
      <c r="AC95" s="31"/>
      <c r="AD95" s="31"/>
      <c r="AE95" s="31"/>
      <c r="AF95" s="31"/>
      <c r="AG95" s="31"/>
      <c r="AH95" s="31"/>
      <c r="AI95" s="31"/>
      <c r="AJ95" s="31"/>
      <c r="AK95" s="31"/>
      <c r="AL95" s="31"/>
      <c r="AM95" s="1"/>
      <c r="AN95" s="31"/>
    </row>
    <row r="96" spans="1:40" ht="20.25" customHeight="1">
      <c r="A96" s="31"/>
      <c r="B96" s="31"/>
      <c r="C96" s="1"/>
      <c r="D96" s="31"/>
      <c r="E96" s="31"/>
      <c r="F96" s="31"/>
      <c r="G96" s="31"/>
      <c r="H96" s="31"/>
      <c r="I96" s="31"/>
      <c r="J96" s="31"/>
      <c r="K96" s="31"/>
      <c r="L96" s="31"/>
      <c r="M96" s="31"/>
      <c r="N96" s="31"/>
      <c r="O96" s="31"/>
      <c r="P96" s="31"/>
      <c r="Q96" s="58"/>
      <c r="R96" s="58"/>
      <c r="S96" s="58"/>
      <c r="T96" s="58"/>
      <c r="U96" s="58"/>
      <c r="V96" s="58"/>
      <c r="W96" s="31"/>
      <c r="X96" s="31"/>
      <c r="Y96" s="60"/>
      <c r="Z96" s="60"/>
      <c r="AA96" s="31"/>
      <c r="AB96" s="31"/>
      <c r="AC96" s="31"/>
      <c r="AD96" s="31"/>
      <c r="AE96" s="31"/>
      <c r="AF96" s="31"/>
      <c r="AG96" s="31"/>
      <c r="AH96" s="31"/>
      <c r="AI96" s="31"/>
      <c r="AJ96" s="31"/>
      <c r="AK96" s="31"/>
      <c r="AL96" s="31"/>
      <c r="AM96" s="1"/>
      <c r="AN96" s="31"/>
    </row>
  </sheetData>
  <autoFilter ref="AG4:AH21" xr:uid="{00000000-0009-0000-0000-000003000000}"/>
  <mergeCells count="21">
    <mergeCell ref="A1:AM1"/>
    <mergeCell ref="A2:AM2"/>
    <mergeCell ref="D3:Q3"/>
    <mergeCell ref="R3:U3"/>
    <mergeCell ref="AK3:AL3"/>
    <mergeCell ref="V3:V4"/>
    <mergeCell ref="W3:W4"/>
    <mergeCell ref="X3:X4"/>
    <mergeCell ref="Y3:Y4"/>
    <mergeCell ref="Z3:Z4"/>
    <mergeCell ref="AA3:AA4"/>
    <mergeCell ref="A7:Q7"/>
    <mergeCell ref="A9:B9"/>
    <mergeCell ref="U9:Y9"/>
    <mergeCell ref="AK9:AM9"/>
    <mergeCell ref="A3:A4"/>
    <mergeCell ref="B3:B4"/>
    <mergeCell ref="C3:C4"/>
    <mergeCell ref="AJ3:AJ4"/>
    <mergeCell ref="AB3:AI3"/>
    <mergeCell ref="AM3:AM4"/>
  </mergeCells>
  <conditionalFormatting sqref="J5:J6 M5:N6">
    <cfRule type="cellIs" dxfId="24" priority="1" stopIfTrue="1" operator="equal">
      <formula>"ER"</formula>
    </cfRule>
  </conditionalFormatting>
  <printOptions horizontalCentered="1"/>
  <pageMargins left="0" right="0" top="0.23622047244094499" bottom="0" header="0" footer="0"/>
  <pageSetup paperSize="9" scale="28" fitToHeight="0" orientation="landscape"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5623"/>
    <pageSetUpPr fitToPage="1"/>
  </sheetPr>
  <dimension ref="A1:AS197"/>
  <sheetViews>
    <sheetView zoomScale="40" zoomScaleNormal="40" zoomScaleSheetLayoutView="40" workbookViewId="0">
      <pane xSplit="2" ySplit="4" topLeftCell="C5" activePane="bottomRight" state="frozen"/>
      <selection pane="topRight" activeCell="C1" sqref="C1"/>
      <selection pane="bottomLeft" activeCell="A5" sqref="A5"/>
      <selection pane="bottomRight" activeCell="A7" sqref="A7:XFD46"/>
    </sheetView>
  </sheetViews>
  <sheetFormatPr defaultColWidth="16.81640625" defaultRowHeight="15" customHeight="1" outlineLevelCol="1"/>
  <cols>
    <col min="1" max="1" width="5.1796875" customWidth="1"/>
    <col min="2" max="2" width="31.453125" customWidth="1"/>
    <col min="3" max="3" width="25" customWidth="1"/>
    <col min="4" max="5" width="6.26953125" customWidth="1" outlineLevel="1"/>
    <col min="6" max="7" width="9.26953125" hidden="1" customWidth="1" outlineLevel="1"/>
    <col min="8" max="8" width="6.26953125" customWidth="1" outlineLevel="1"/>
    <col min="9" max="10" width="6.26953125" hidden="1" customWidth="1" outlineLevel="1"/>
    <col min="11" max="11" width="9.26953125" hidden="1" customWidth="1" outlineLevel="1"/>
    <col min="12" max="13" width="9.26953125" customWidth="1" outlineLevel="1"/>
    <col min="14" max="14" width="5.7265625" customWidth="1" outlineLevel="1"/>
    <col min="15" max="15" width="6.26953125" hidden="1" customWidth="1" outlineLevel="1"/>
    <col min="16" max="16" width="7.453125" customWidth="1" outlineLevel="1"/>
    <col min="17" max="17" width="8.453125" customWidth="1" outlineLevel="1"/>
    <col min="18" max="18" width="16.81640625" style="355" customWidth="1" outlineLevel="1"/>
    <col min="19" max="19" width="15.7265625" style="355" customWidth="1" outlineLevel="1"/>
    <col min="20" max="20" width="14.1796875" style="355" hidden="1" customWidth="1" outlineLevel="1"/>
    <col min="21" max="21" width="19.7265625" style="355" customWidth="1" outlineLevel="1"/>
    <col min="22" max="22" width="18.453125" customWidth="1" outlineLevel="1"/>
    <col min="23" max="23" width="19.7265625" customWidth="1" outlineLevel="1"/>
    <col min="24" max="24" width="16.81640625" customWidth="1" outlineLevel="1"/>
    <col min="25" max="25" width="20" customWidth="1" outlineLevel="1"/>
    <col min="26" max="26" width="15.7265625" customWidth="1" outlineLevel="1"/>
    <col min="27" max="27" width="17.7265625" customWidth="1" outlineLevel="1"/>
    <col min="28" max="28" width="15.26953125" customWidth="1" outlineLevel="1"/>
    <col min="29" max="30" width="11.26953125" hidden="1" customWidth="1" outlineLevel="1"/>
    <col min="31" max="31" width="15.7265625" customWidth="1" outlineLevel="1"/>
    <col min="32" max="32" width="15" customWidth="1" outlineLevel="1"/>
    <col min="33" max="33" width="14.1796875" customWidth="1" outlineLevel="1"/>
    <col min="34" max="34" width="16" customWidth="1" outlineLevel="1"/>
    <col min="35" max="35" width="18" customWidth="1" outlineLevel="1"/>
    <col min="36" max="36" width="19" customWidth="1"/>
    <col min="37" max="37" width="14.81640625" hidden="1" customWidth="1"/>
    <col min="38" max="38" width="12.7265625" hidden="1" customWidth="1"/>
    <col min="39" max="39" width="57.453125" customWidth="1"/>
    <col min="40" max="40" width="32.453125" customWidth="1"/>
    <col min="41" max="43" width="11" customWidth="1"/>
    <col min="44" max="44" width="46" customWidth="1"/>
    <col min="45" max="45" width="20.26953125" customWidth="1"/>
  </cols>
  <sheetData>
    <row r="1" spans="1:45" ht="20.25" customHeight="1">
      <c r="A1" s="686" t="s">
        <v>0</v>
      </c>
      <c r="B1" s="687"/>
      <c r="C1" s="687"/>
      <c r="D1" s="687"/>
      <c r="E1" s="687"/>
      <c r="F1" s="687"/>
      <c r="G1" s="687"/>
      <c r="H1" s="687"/>
      <c r="I1" s="687"/>
      <c r="J1" s="687"/>
      <c r="K1" s="687"/>
      <c r="L1" s="687"/>
      <c r="M1" s="687"/>
      <c r="N1" s="687"/>
      <c r="O1" s="687"/>
      <c r="P1" s="687"/>
      <c r="Q1" s="687"/>
      <c r="R1" s="687"/>
      <c r="S1" s="687"/>
      <c r="T1" s="687"/>
      <c r="U1" s="687"/>
      <c r="V1" s="687"/>
      <c r="W1" s="687"/>
      <c r="X1" s="687"/>
      <c r="Y1" s="687"/>
      <c r="Z1" s="687"/>
      <c r="AA1" s="687"/>
      <c r="AB1" s="687"/>
      <c r="AC1" s="687"/>
      <c r="AD1" s="687"/>
      <c r="AE1" s="687"/>
      <c r="AF1" s="687"/>
      <c r="AG1" s="687"/>
      <c r="AH1" s="687"/>
      <c r="AI1" s="687"/>
      <c r="AJ1" s="687"/>
      <c r="AK1" s="687"/>
      <c r="AL1" s="687"/>
      <c r="AM1" s="688"/>
      <c r="AN1" s="77"/>
      <c r="AO1" s="78"/>
      <c r="AP1" s="78"/>
      <c r="AQ1" s="78"/>
      <c r="AR1" s="78"/>
      <c r="AS1" s="79"/>
    </row>
    <row r="2" spans="1:45" ht="20.25" customHeight="1">
      <c r="A2" s="689" t="s">
        <v>571</v>
      </c>
      <c r="B2" s="634"/>
      <c r="C2" s="634"/>
      <c r="D2" s="634"/>
      <c r="E2" s="634"/>
      <c r="F2" s="634"/>
      <c r="G2" s="634"/>
      <c r="H2" s="634"/>
      <c r="I2" s="634"/>
      <c r="J2" s="634"/>
      <c r="K2" s="634"/>
      <c r="L2" s="634"/>
      <c r="M2" s="634"/>
      <c r="N2" s="634"/>
      <c r="O2" s="634"/>
      <c r="P2" s="634"/>
      <c r="Q2" s="634"/>
      <c r="R2" s="634"/>
      <c r="S2" s="634"/>
      <c r="T2" s="634"/>
      <c r="U2" s="634"/>
      <c r="V2" s="634"/>
      <c r="W2" s="634"/>
      <c r="X2" s="634"/>
      <c r="Y2" s="634"/>
      <c r="Z2" s="634"/>
      <c r="AA2" s="634"/>
      <c r="AB2" s="634"/>
      <c r="AC2" s="634"/>
      <c r="AD2" s="634"/>
      <c r="AE2" s="634"/>
      <c r="AF2" s="634"/>
      <c r="AG2" s="634"/>
      <c r="AH2" s="634"/>
      <c r="AI2" s="634"/>
      <c r="AJ2" s="634"/>
      <c r="AK2" s="634"/>
      <c r="AL2" s="634"/>
      <c r="AM2" s="635"/>
      <c r="AN2" s="77"/>
      <c r="AO2" s="78"/>
      <c r="AP2" s="78"/>
      <c r="AQ2" s="78"/>
      <c r="AR2" s="78"/>
      <c r="AS2" s="79"/>
    </row>
    <row r="3" spans="1:45" ht="44.25" customHeight="1">
      <c r="A3" s="34" t="s">
        <v>39</v>
      </c>
      <c r="B3" s="35" t="s">
        <v>40</v>
      </c>
      <c r="C3" s="35" t="s">
        <v>41</v>
      </c>
      <c r="D3" s="690" t="s">
        <v>42</v>
      </c>
      <c r="E3" s="637"/>
      <c r="F3" s="637"/>
      <c r="G3" s="637"/>
      <c r="H3" s="637"/>
      <c r="I3" s="637"/>
      <c r="J3" s="637"/>
      <c r="K3" s="637"/>
      <c r="L3" s="637"/>
      <c r="M3" s="637"/>
      <c r="N3" s="637"/>
      <c r="O3" s="637"/>
      <c r="P3" s="637"/>
      <c r="Q3" s="628"/>
      <c r="R3" s="691" t="s">
        <v>43</v>
      </c>
      <c r="S3" s="692"/>
      <c r="T3" s="692"/>
      <c r="U3" s="693"/>
      <c r="V3" s="35" t="s">
        <v>44</v>
      </c>
      <c r="W3" s="35" t="s">
        <v>45</v>
      </c>
      <c r="X3" s="35" t="s">
        <v>46</v>
      </c>
      <c r="Y3" s="36" t="s">
        <v>47</v>
      </c>
      <c r="Z3" s="36" t="s">
        <v>48</v>
      </c>
      <c r="AA3" s="37" t="s">
        <v>49</v>
      </c>
      <c r="AB3" s="690" t="s">
        <v>6</v>
      </c>
      <c r="AC3" s="637"/>
      <c r="AD3" s="637"/>
      <c r="AE3" s="637"/>
      <c r="AF3" s="637"/>
      <c r="AG3" s="637"/>
      <c r="AH3" s="637"/>
      <c r="AI3" s="628"/>
      <c r="AJ3" s="37" t="s">
        <v>50</v>
      </c>
      <c r="AK3" s="690" t="s">
        <v>51</v>
      </c>
      <c r="AL3" s="628"/>
      <c r="AM3" s="39" t="s">
        <v>52</v>
      </c>
      <c r="AN3" s="80"/>
      <c r="AO3" s="81"/>
      <c r="AP3" s="81"/>
      <c r="AQ3" s="81"/>
      <c r="AR3" s="81"/>
      <c r="AS3" s="82"/>
    </row>
    <row r="4" spans="1:45" ht="240.75" customHeight="1">
      <c r="A4" s="34"/>
      <c r="B4" s="35"/>
      <c r="C4" s="35"/>
      <c r="D4" s="41" t="s">
        <v>53</v>
      </c>
      <c r="E4" s="42" t="s">
        <v>54</v>
      </c>
      <c r="F4" s="43" t="s">
        <v>55</v>
      </c>
      <c r="G4" s="43" t="s">
        <v>56</v>
      </c>
      <c r="H4" s="42" t="s">
        <v>57</v>
      </c>
      <c r="I4" s="43" t="s">
        <v>58</v>
      </c>
      <c r="J4" s="43" t="s">
        <v>59</v>
      </c>
      <c r="K4" s="41" t="s">
        <v>60</v>
      </c>
      <c r="L4" s="42" t="s">
        <v>61</v>
      </c>
      <c r="M4" s="41" t="s">
        <v>62</v>
      </c>
      <c r="N4" s="41" t="s">
        <v>63</v>
      </c>
      <c r="O4" s="41" t="s">
        <v>64</v>
      </c>
      <c r="P4" s="43" t="s">
        <v>65</v>
      </c>
      <c r="Q4" s="44" t="s">
        <v>66</v>
      </c>
      <c r="R4" s="547" t="s">
        <v>67</v>
      </c>
      <c r="S4" s="547" t="s">
        <v>68</v>
      </c>
      <c r="T4" s="548" t="s">
        <v>69</v>
      </c>
      <c r="U4" s="549" t="s">
        <v>70</v>
      </c>
      <c r="V4" s="35"/>
      <c r="W4" s="35"/>
      <c r="X4" s="35"/>
      <c r="Y4" s="36"/>
      <c r="Z4" s="36"/>
      <c r="AA4" s="37"/>
      <c r="AB4" s="37" t="s">
        <v>71</v>
      </c>
      <c r="AC4" s="35" t="s">
        <v>72</v>
      </c>
      <c r="AD4" s="37" t="s">
        <v>11</v>
      </c>
      <c r="AE4" s="37" t="s">
        <v>12</v>
      </c>
      <c r="AF4" s="35" t="s">
        <v>125</v>
      </c>
      <c r="AG4" s="37" t="s">
        <v>74</v>
      </c>
      <c r="AH4" s="37" t="s">
        <v>126</v>
      </c>
      <c r="AI4" s="37" t="s">
        <v>32</v>
      </c>
      <c r="AJ4" s="37"/>
      <c r="AK4" s="37" t="s">
        <v>76</v>
      </c>
      <c r="AL4" s="37" t="s">
        <v>77</v>
      </c>
      <c r="AM4" s="39"/>
      <c r="AN4" s="83"/>
      <c r="AO4" s="84"/>
      <c r="AP4" s="84"/>
      <c r="AQ4" s="84"/>
      <c r="AR4" s="84"/>
      <c r="AS4" s="85"/>
    </row>
    <row r="5" spans="1:45" s="378" customFormat="1" ht="62.25" customHeight="1">
      <c r="A5" s="370">
        <v>1</v>
      </c>
      <c r="B5" s="371" t="s">
        <v>127</v>
      </c>
      <c r="C5" s="371" t="s">
        <v>128</v>
      </c>
      <c r="D5" s="371">
        <v>30</v>
      </c>
      <c r="E5" s="449">
        <v>0</v>
      </c>
      <c r="F5" s="371">
        <f t="shared" ref="F5:F6" si="0">IF((E5/3)&gt;=1,TRUNC(E5/3,0),0)</f>
        <v>0</v>
      </c>
      <c r="G5" s="371">
        <f t="shared" ref="G5:G6" si="1">E5-F5*3</f>
        <v>0</v>
      </c>
      <c r="H5" s="449">
        <v>0</v>
      </c>
      <c r="I5" s="371">
        <f t="shared" ref="I5:I6" si="2">IF(H5&lt;1,H5,H5-1)</f>
        <v>0</v>
      </c>
      <c r="J5" s="371">
        <f t="shared" ref="J5:J6" si="3">H5-I5</f>
        <v>0</v>
      </c>
      <c r="K5" s="371">
        <v>0</v>
      </c>
      <c r="L5" s="449">
        <v>0.5</v>
      </c>
      <c r="M5" s="371">
        <v>0</v>
      </c>
      <c r="N5" s="371">
        <v>0</v>
      </c>
      <c r="O5" s="371">
        <v>0</v>
      </c>
      <c r="P5" s="372">
        <f t="shared" ref="P5:P6" si="4">L5+M5+N5+O5</f>
        <v>0.5</v>
      </c>
      <c r="Q5" s="373">
        <f t="shared" ref="Q5:Q6" si="5">(F5*0.5)+(I5*0.5)+M5+(N5*2)</f>
        <v>0</v>
      </c>
      <c r="R5" s="550">
        <f>100000+100000+50000</f>
        <v>250000</v>
      </c>
      <c r="S5" s="550">
        <f>10000+10000+10000+10000+10000+10000+10000+10000+10000+10000+10000</f>
        <v>110000</v>
      </c>
      <c r="T5" s="550">
        <v>10000</v>
      </c>
      <c r="U5" s="550">
        <f t="shared" ref="U5:U6" si="6">R5-(S5+T5)</f>
        <v>130000</v>
      </c>
      <c r="V5" s="374">
        <v>100000</v>
      </c>
      <c r="W5" s="374">
        <f t="shared" ref="W5:W6" si="7">V5</f>
        <v>100000</v>
      </c>
      <c r="X5" s="374">
        <v>0</v>
      </c>
      <c r="Y5" s="374">
        <f t="shared" ref="Y5:Y6" si="8">W5-AB5</f>
        <v>100000</v>
      </c>
      <c r="Z5" s="374">
        <f t="shared" ref="Z5:Z6" si="9">V5/D5</f>
        <v>3333.3333333333335</v>
      </c>
      <c r="AA5" s="374">
        <v>15000</v>
      </c>
      <c r="AB5" s="374">
        <f t="shared" ref="AB5:AB6" si="10">Q5*Z5</f>
        <v>0</v>
      </c>
      <c r="AC5" s="374"/>
      <c r="AD5" s="374">
        <f t="shared" ref="AD5:AD6" si="11">(AC5)*Z5</f>
        <v>0</v>
      </c>
      <c r="AE5" s="374">
        <f t="shared" ref="AE5:AE6" si="12">T5</f>
        <v>10000</v>
      </c>
      <c r="AF5" s="375">
        <f>10000+10000+500</f>
        <v>20500</v>
      </c>
      <c r="AG5" s="374">
        <f>(AA5*12%)</f>
        <v>1800</v>
      </c>
      <c r="AH5" s="374">
        <v>0</v>
      </c>
      <c r="AI5" s="374">
        <f t="shared" ref="AI5:AI6" si="13">SUM(AB5,AD5:AH5)</f>
        <v>32300</v>
      </c>
      <c r="AJ5" s="374">
        <f t="shared" ref="AJ5:AJ6" si="14">ROUND(SUM(W5:X5)-AI5,0)</f>
        <v>67700</v>
      </c>
      <c r="AK5" s="374">
        <f>(AA5*13.01%)</f>
        <v>1951.5</v>
      </c>
      <c r="AL5" s="374">
        <v>0</v>
      </c>
      <c r="AM5" s="488" t="s">
        <v>598</v>
      </c>
      <c r="AN5" s="376" t="s">
        <v>129</v>
      </c>
      <c r="AO5" s="377"/>
      <c r="AP5" s="377"/>
      <c r="AQ5" s="377"/>
      <c r="AR5" s="377"/>
      <c r="AS5" s="377"/>
    </row>
    <row r="6" spans="1:45" s="378" customFormat="1" ht="66" customHeight="1">
      <c r="A6" s="370">
        <v>2</v>
      </c>
      <c r="B6" s="371" t="s">
        <v>130</v>
      </c>
      <c r="C6" s="371" t="s">
        <v>131</v>
      </c>
      <c r="D6" s="371">
        <v>30</v>
      </c>
      <c r="E6" s="449">
        <v>0</v>
      </c>
      <c r="F6" s="371">
        <f t="shared" si="0"/>
        <v>0</v>
      </c>
      <c r="G6" s="371">
        <f t="shared" si="1"/>
        <v>0</v>
      </c>
      <c r="H6" s="449">
        <v>0</v>
      </c>
      <c r="I6" s="371">
        <f t="shared" si="2"/>
        <v>0</v>
      </c>
      <c r="J6" s="371">
        <f t="shared" si="3"/>
        <v>0</v>
      </c>
      <c r="K6" s="371">
        <v>0</v>
      </c>
      <c r="L6" s="449">
        <v>0</v>
      </c>
      <c r="M6" s="371">
        <v>0</v>
      </c>
      <c r="N6" s="371">
        <v>0</v>
      </c>
      <c r="O6" s="371">
        <v>0</v>
      </c>
      <c r="P6" s="372">
        <f t="shared" si="4"/>
        <v>0</v>
      </c>
      <c r="Q6" s="373">
        <f t="shared" si="5"/>
        <v>0</v>
      </c>
      <c r="R6" s="374"/>
      <c r="S6" s="374"/>
      <c r="T6" s="374"/>
      <c r="U6" s="374">
        <f t="shared" si="6"/>
        <v>0</v>
      </c>
      <c r="V6" s="374">
        <v>25000</v>
      </c>
      <c r="W6" s="374">
        <f t="shared" si="7"/>
        <v>25000</v>
      </c>
      <c r="X6" s="374">
        <v>0</v>
      </c>
      <c r="Y6" s="374">
        <f t="shared" si="8"/>
        <v>25000</v>
      </c>
      <c r="Z6" s="374">
        <f t="shared" si="9"/>
        <v>833.33333333333337</v>
      </c>
      <c r="AA6" s="374">
        <f t="shared" ref="AA6" si="15">W6*45%</f>
        <v>11250</v>
      </c>
      <c r="AB6" s="374">
        <f t="shared" si="10"/>
        <v>0</v>
      </c>
      <c r="AC6" s="374"/>
      <c r="AD6" s="374">
        <f t="shared" si="11"/>
        <v>0</v>
      </c>
      <c r="AE6" s="374">
        <f t="shared" si="12"/>
        <v>0</v>
      </c>
      <c r="AF6" s="379">
        <v>500</v>
      </c>
      <c r="AG6" s="374">
        <v>0</v>
      </c>
      <c r="AH6" s="374">
        <v>0</v>
      </c>
      <c r="AI6" s="374">
        <f t="shared" si="13"/>
        <v>500</v>
      </c>
      <c r="AJ6" s="374">
        <f t="shared" si="14"/>
        <v>24500</v>
      </c>
      <c r="AK6" s="374">
        <v>0</v>
      </c>
      <c r="AL6" s="374">
        <v>0</v>
      </c>
      <c r="AM6" s="380"/>
      <c r="AN6" s="381"/>
      <c r="AO6" s="377"/>
      <c r="AP6" s="377"/>
      <c r="AQ6" s="377"/>
      <c r="AR6" s="377"/>
      <c r="AS6" s="377"/>
    </row>
    <row r="7" spans="1:45" s="378" customFormat="1" ht="66" customHeight="1" thickBot="1">
      <c r="A7" s="679"/>
      <c r="B7" s="680"/>
      <c r="C7" s="680"/>
      <c r="D7" s="680"/>
      <c r="E7" s="680"/>
      <c r="F7" s="680"/>
      <c r="G7" s="680"/>
      <c r="H7" s="680"/>
      <c r="I7" s="680"/>
      <c r="J7" s="680"/>
      <c r="K7" s="680"/>
      <c r="L7" s="680"/>
      <c r="M7" s="680"/>
      <c r="N7" s="680"/>
      <c r="O7" s="680"/>
      <c r="P7" s="680"/>
      <c r="Q7" s="681"/>
      <c r="R7" s="506">
        <f>SUM(R5:R6)</f>
        <v>250000</v>
      </c>
      <c r="S7" s="506">
        <f>SUM(S5:S6)</f>
        <v>110000</v>
      </c>
      <c r="T7" s="506">
        <f>SUM(T5:T6)</f>
        <v>10000</v>
      </c>
      <c r="U7" s="506">
        <f>SUM(U5:U6)</f>
        <v>130000</v>
      </c>
      <c r="V7" s="506">
        <f>SUM(V5:V6)</f>
        <v>125000</v>
      </c>
      <c r="W7" s="506">
        <f>SUM(W5:W6)</f>
        <v>125000</v>
      </c>
      <c r="X7" s="506">
        <f>SUM(X5:X6)</f>
        <v>0</v>
      </c>
      <c r="Y7" s="506">
        <f>SUM(Y5:Y6)</f>
        <v>125000</v>
      </c>
      <c r="Z7" s="506">
        <f>SUM(Z5:Z6)</f>
        <v>4166.666666666667</v>
      </c>
      <c r="AA7" s="506">
        <f>SUM(AA5:AA6)</f>
        <v>26250</v>
      </c>
      <c r="AB7" s="506">
        <f>SUM(AB5:AB6)</f>
        <v>0</v>
      </c>
      <c r="AC7" s="506">
        <f>SUM(AC5:AC6)</f>
        <v>0</v>
      </c>
      <c r="AD7" s="506">
        <f>SUM(AD5:AD6)</f>
        <v>0</v>
      </c>
      <c r="AE7" s="506">
        <f>SUM(AE5:AE6)</f>
        <v>10000</v>
      </c>
      <c r="AF7" s="506">
        <f>SUM(AF5:AF6)</f>
        <v>21000</v>
      </c>
      <c r="AG7" s="506">
        <f>SUM(AG5:AG6)</f>
        <v>1800</v>
      </c>
      <c r="AH7" s="506">
        <f>SUM(AH5:AH6)</f>
        <v>0</v>
      </c>
      <c r="AI7" s="506">
        <f>SUM(AI5:AI6)</f>
        <v>32800</v>
      </c>
      <c r="AJ7" s="506">
        <f>SUM(AJ5:AJ6)</f>
        <v>92200</v>
      </c>
      <c r="AK7" s="506">
        <f>SUM(AK5:AK6)</f>
        <v>1951.5</v>
      </c>
      <c r="AL7" s="506">
        <f>SUM(AL5:AL6)</f>
        <v>0</v>
      </c>
      <c r="AM7" s="507"/>
      <c r="AN7" s="389"/>
      <c r="AO7" s="390"/>
      <c r="AP7" s="390"/>
      <c r="AQ7" s="390"/>
      <c r="AR7" s="390"/>
      <c r="AS7" s="391"/>
    </row>
    <row r="8" spans="1:45" s="378" customFormat="1" ht="41" customHeight="1" thickBot="1">
      <c r="A8" s="694" t="s">
        <v>599</v>
      </c>
      <c r="B8" s="695"/>
      <c r="C8" s="695"/>
      <c r="D8" s="695"/>
      <c r="E8" s="695"/>
      <c r="F8" s="695"/>
      <c r="G8" s="695"/>
      <c r="H8" s="695"/>
      <c r="I8" s="695"/>
      <c r="J8" s="695"/>
      <c r="K8" s="695"/>
      <c r="L8" s="695"/>
      <c r="M8" s="695"/>
      <c r="N8" s="695"/>
      <c r="O8" s="695"/>
      <c r="P8" s="695"/>
      <c r="Q8" s="695"/>
      <c r="R8" s="695"/>
      <c r="S8" s="695"/>
      <c r="T8" s="695"/>
      <c r="U8" s="695"/>
      <c r="V8" s="695"/>
      <c r="W8" s="695"/>
      <c r="X8" s="695"/>
      <c r="Y8" s="695"/>
      <c r="Z8" s="695"/>
      <c r="AA8" s="695"/>
      <c r="AB8" s="695"/>
      <c r="AC8" s="695"/>
      <c r="AD8" s="695"/>
      <c r="AE8" s="695"/>
      <c r="AF8" s="695"/>
      <c r="AG8" s="695"/>
      <c r="AH8" s="695"/>
      <c r="AI8" s="695"/>
      <c r="AJ8" s="695"/>
      <c r="AK8" s="695"/>
      <c r="AL8" s="695"/>
      <c r="AM8" s="696"/>
      <c r="AN8" s="389"/>
      <c r="AO8" s="504"/>
      <c r="AP8" s="504"/>
      <c r="AQ8" s="504"/>
      <c r="AR8" s="504"/>
      <c r="AS8" s="505"/>
    </row>
    <row r="9" spans="1:45" ht="135" customHeight="1" thickBot="1">
      <c r="A9" s="682" t="s">
        <v>34</v>
      </c>
      <c r="B9" s="683"/>
      <c r="C9" s="67"/>
      <c r="D9" s="67"/>
      <c r="E9" s="67"/>
      <c r="F9" s="67"/>
      <c r="G9" s="67"/>
      <c r="H9" s="67"/>
      <c r="I9" s="67"/>
      <c r="J9" s="67"/>
      <c r="K9" s="67"/>
      <c r="L9" s="67"/>
      <c r="M9" s="67"/>
      <c r="N9" s="67"/>
      <c r="O9" s="67"/>
      <c r="P9" s="67"/>
      <c r="Q9" s="67"/>
      <c r="R9" s="551"/>
      <c r="S9" s="551"/>
      <c r="T9" s="551"/>
      <c r="U9" s="551"/>
      <c r="V9" s="67"/>
      <c r="W9" s="67" t="s">
        <v>112</v>
      </c>
      <c r="X9" s="67"/>
      <c r="Y9" s="67"/>
      <c r="Z9" s="67"/>
      <c r="AA9" s="67"/>
      <c r="AB9" s="67"/>
      <c r="AC9" s="67"/>
      <c r="AD9" s="67"/>
      <c r="AE9" s="67"/>
      <c r="AF9" s="67"/>
      <c r="AG9" s="67"/>
      <c r="AH9" s="67"/>
      <c r="AI9" s="67"/>
      <c r="AJ9" s="67"/>
      <c r="AK9" s="67"/>
      <c r="AL9" s="684" t="s">
        <v>156</v>
      </c>
      <c r="AM9" s="685"/>
      <c r="AN9" s="93"/>
      <c r="AO9" s="94"/>
      <c r="AP9" s="94"/>
      <c r="AQ9" s="94"/>
      <c r="AR9" s="94"/>
      <c r="AS9" s="95"/>
    </row>
    <row r="10" spans="1:45" ht="20.25" customHeight="1">
      <c r="A10" s="96"/>
      <c r="B10" s="96"/>
      <c r="C10" s="97"/>
      <c r="D10" s="96"/>
      <c r="E10" s="96"/>
      <c r="F10" s="96"/>
      <c r="G10" s="96"/>
      <c r="H10" s="96"/>
      <c r="I10" s="96"/>
      <c r="J10" s="96"/>
      <c r="K10" s="96"/>
      <c r="L10" s="96"/>
      <c r="M10" s="96"/>
      <c r="N10" s="96"/>
      <c r="O10" s="96"/>
      <c r="P10" s="96"/>
      <c r="Q10" s="98"/>
      <c r="R10" s="552"/>
      <c r="S10" s="552"/>
      <c r="T10" s="552"/>
      <c r="U10" s="552"/>
      <c r="V10" s="69"/>
      <c r="W10" s="96"/>
      <c r="X10" s="96"/>
      <c r="Y10" s="99"/>
      <c r="Z10" s="99"/>
      <c r="AA10" s="96"/>
      <c r="AB10" s="96"/>
      <c r="AC10" s="96"/>
      <c r="AD10" s="96"/>
      <c r="AE10" s="96"/>
      <c r="AF10" s="96"/>
      <c r="AG10" s="96"/>
      <c r="AH10" s="96"/>
      <c r="AI10" s="96"/>
      <c r="AJ10" s="96"/>
      <c r="AK10" s="96"/>
      <c r="AL10" s="96"/>
      <c r="AM10" s="97"/>
      <c r="AN10" s="100"/>
      <c r="AO10" s="96"/>
      <c r="AP10" s="96"/>
      <c r="AQ10" s="96"/>
      <c r="AR10" s="96"/>
      <c r="AS10" s="99"/>
    </row>
    <row r="11" spans="1:45" ht="20.25" customHeight="1">
      <c r="A11" s="78"/>
      <c r="B11" s="78"/>
      <c r="C11" s="81"/>
      <c r="D11" s="78"/>
      <c r="E11" s="78"/>
      <c r="F11" s="78"/>
      <c r="G11" s="78"/>
      <c r="H11" s="78"/>
      <c r="I11" s="78"/>
      <c r="J11" s="78"/>
      <c r="K11" s="78"/>
      <c r="L11" s="78"/>
      <c r="M11" s="78"/>
      <c r="N11" s="78"/>
      <c r="O11" s="78"/>
      <c r="P11" s="78"/>
      <c r="Q11" s="78"/>
      <c r="R11" s="553"/>
      <c r="S11" s="553"/>
      <c r="T11" s="553"/>
      <c r="U11" s="553"/>
      <c r="V11" s="70"/>
      <c r="W11" s="78"/>
      <c r="X11" s="78"/>
      <c r="Y11" s="79"/>
      <c r="Z11" s="79"/>
      <c r="AA11" s="78"/>
      <c r="AB11" s="78"/>
      <c r="AC11" s="78"/>
      <c r="AD11" s="78"/>
      <c r="AE11" s="78"/>
      <c r="AF11" s="78"/>
      <c r="AG11" s="78"/>
      <c r="AH11" s="78"/>
      <c r="AI11" s="78"/>
      <c r="AJ11" s="78"/>
      <c r="AK11" s="78"/>
      <c r="AL11" s="78"/>
      <c r="AM11" s="81"/>
      <c r="AN11" s="101"/>
      <c r="AO11" s="78"/>
      <c r="AP11" s="78"/>
      <c r="AQ11" s="78"/>
      <c r="AR11" s="78"/>
      <c r="AS11" s="79"/>
    </row>
    <row r="12" spans="1:45" ht="20.25" customHeight="1">
      <c r="A12" s="78"/>
      <c r="B12" s="78"/>
      <c r="C12" s="81"/>
      <c r="D12" s="78"/>
      <c r="E12" s="78"/>
      <c r="F12" s="78"/>
      <c r="G12" s="78"/>
      <c r="H12" s="78"/>
      <c r="I12" s="78"/>
      <c r="J12" s="78"/>
      <c r="K12" s="78"/>
      <c r="L12" s="78"/>
      <c r="M12" s="78"/>
      <c r="N12" s="78"/>
      <c r="O12" s="78"/>
      <c r="P12" s="78"/>
      <c r="Q12" s="78"/>
      <c r="R12" s="553"/>
      <c r="S12" s="553"/>
      <c r="T12" s="553"/>
      <c r="U12" s="553"/>
      <c r="V12" s="70"/>
      <c r="W12" s="78"/>
      <c r="X12" s="78"/>
      <c r="Y12" s="79"/>
      <c r="Z12" s="79"/>
      <c r="AA12" s="78"/>
      <c r="AB12" s="78"/>
      <c r="AC12" s="78"/>
      <c r="AD12" s="78"/>
      <c r="AE12" s="78"/>
      <c r="AF12" s="78"/>
      <c r="AG12" s="78"/>
      <c r="AH12" s="78"/>
      <c r="AI12" s="78"/>
      <c r="AJ12" s="78"/>
      <c r="AK12" s="78"/>
      <c r="AL12" s="78"/>
      <c r="AM12" s="81"/>
      <c r="AN12" s="101"/>
      <c r="AO12" s="78"/>
      <c r="AP12" s="78"/>
      <c r="AQ12" s="78"/>
      <c r="AR12" s="78"/>
      <c r="AS12" s="79"/>
    </row>
    <row r="13" spans="1:45" ht="20.25" customHeight="1">
      <c r="A13" s="78"/>
      <c r="B13" s="78"/>
      <c r="C13" s="81"/>
      <c r="D13" s="78"/>
      <c r="E13" s="78"/>
      <c r="F13" s="78"/>
      <c r="G13" s="78"/>
      <c r="H13" s="78"/>
      <c r="I13" s="78"/>
      <c r="J13" s="78"/>
      <c r="K13" s="78"/>
      <c r="L13" s="78"/>
      <c r="M13" s="78"/>
      <c r="N13" s="78"/>
      <c r="O13" s="78"/>
      <c r="P13" s="78"/>
      <c r="Q13" s="78"/>
      <c r="R13" s="553"/>
      <c r="S13" s="553"/>
      <c r="T13" s="553"/>
      <c r="U13" s="553"/>
      <c r="V13" s="70"/>
      <c r="W13" s="78"/>
      <c r="X13" s="78"/>
      <c r="Y13" s="79"/>
      <c r="Z13" s="79"/>
      <c r="AA13" s="78"/>
      <c r="AB13" s="78"/>
      <c r="AC13" s="78"/>
      <c r="AD13" s="78"/>
      <c r="AE13" s="78"/>
      <c r="AF13" s="78"/>
      <c r="AG13" s="78"/>
      <c r="AH13" s="78"/>
      <c r="AI13" s="78"/>
      <c r="AJ13" s="78"/>
      <c r="AK13" s="78"/>
      <c r="AL13" s="78"/>
      <c r="AM13" s="81"/>
      <c r="AN13" s="101"/>
      <c r="AO13" s="78"/>
      <c r="AP13" s="78"/>
      <c r="AQ13" s="78"/>
      <c r="AR13" s="78"/>
      <c r="AS13" s="79"/>
    </row>
    <row r="14" spans="1:45" ht="20.25" customHeight="1">
      <c r="A14" s="78"/>
      <c r="B14" s="78"/>
      <c r="C14" s="81"/>
      <c r="D14" s="102"/>
      <c r="E14" s="102"/>
      <c r="F14" s="102"/>
      <c r="G14" s="102"/>
      <c r="H14" s="102"/>
      <c r="I14" s="102"/>
      <c r="J14" s="102"/>
      <c r="K14" s="102"/>
      <c r="L14" s="102"/>
      <c r="M14" s="102"/>
      <c r="N14" s="102"/>
      <c r="O14" s="102"/>
      <c r="P14" s="102"/>
      <c r="Q14" s="102"/>
      <c r="R14" s="553"/>
      <c r="S14" s="553"/>
      <c r="T14" s="553"/>
      <c r="U14" s="553"/>
      <c r="V14" s="70"/>
      <c r="W14" s="78"/>
      <c r="X14" s="78"/>
      <c r="Y14" s="79"/>
      <c r="Z14" s="79"/>
      <c r="AA14" s="78"/>
      <c r="AB14" s="78"/>
      <c r="AC14" s="78"/>
      <c r="AD14" s="78"/>
      <c r="AE14" s="78"/>
      <c r="AF14" s="78"/>
      <c r="AG14" s="78"/>
      <c r="AH14" s="78"/>
      <c r="AI14" s="78"/>
      <c r="AJ14" s="78"/>
      <c r="AK14" s="78"/>
      <c r="AL14" s="78"/>
      <c r="AM14" s="81"/>
      <c r="AN14" s="101"/>
      <c r="AO14" s="78"/>
      <c r="AP14" s="78"/>
      <c r="AQ14" s="78"/>
      <c r="AR14" s="78"/>
      <c r="AS14" s="79"/>
    </row>
    <row r="15" spans="1:45" ht="20.25" customHeight="1">
      <c r="A15" s="78"/>
      <c r="B15" s="78"/>
      <c r="C15" s="81"/>
      <c r="D15" s="78"/>
      <c r="E15" s="78"/>
      <c r="F15" s="78"/>
      <c r="G15" s="78">
        <f>43-15</f>
        <v>28</v>
      </c>
      <c r="H15" s="78"/>
      <c r="I15" s="78"/>
      <c r="J15" s="78"/>
      <c r="K15" s="78"/>
      <c r="L15" s="78"/>
      <c r="M15" s="78"/>
      <c r="N15" s="78"/>
      <c r="O15" s="78"/>
      <c r="P15" s="78"/>
      <c r="Q15" s="78"/>
      <c r="R15" s="553"/>
      <c r="S15" s="553"/>
      <c r="T15" s="553"/>
      <c r="U15" s="553"/>
      <c r="V15" s="70"/>
      <c r="W15" s="78"/>
      <c r="X15" s="78"/>
      <c r="Y15" s="79"/>
      <c r="Z15" s="79"/>
      <c r="AA15" s="78"/>
      <c r="AB15" s="78"/>
      <c r="AC15" s="78"/>
      <c r="AD15" s="78"/>
      <c r="AE15" s="78"/>
      <c r="AF15" s="78"/>
      <c r="AG15" s="78"/>
      <c r="AH15" s="78"/>
      <c r="AI15" s="78"/>
      <c r="AJ15" s="78"/>
      <c r="AK15" s="78"/>
      <c r="AL15" s="78"/>
      <c r="AM15" s="81"/>
      <c r="AN15" s="101"/>
      <c r="AO15" s="78"/>
      <c r="AP15" s="78"/>
      <c r="AQ15" s="78"/>
      <c r="AR15" s="78"/>
      <c r="AS15" s="79"/>
    </row>
    <row r="16" spans="1:45" ht="20.25" customHeight="1">
      <c r="A16" s="78"/>
      <c r="B16" s="78"/>
      <c r="C16" s="81"/>
      <c r="D16" s="78"/>
      <c r="E16" s="78"/>
      <c r="F16" s="78"/>
      <c r="G16" s="78"/>
      <c r="H16" s="78"/>
      <c r="I16" s="78"/>
      <c r="J16" s="78"/>
      <c r="K16" s="78"/>
      <c r="L16" s="78"/>
      <c r="M16" s="78"/>
      <c r="N16" s="78"/>
      <c r="O16" s="78"/>
      <c r="P16" s="78"/>
      <c r="Q16" s="78"/>
      <c r="R16" s="553"/>
      <c r="S16" s="553"/>
      <c r="T16" s="553"/>
      <c r="U16" s="553"/>
      <c r="V16" s="70"/>
      <c r="W16" s="78"/>
      <c r="X16" s="78"/>
      <c r="Y16" s="79"/>
      <c r="Z16" s="79"/>
      <c r="AA16" s="78"/>
      <c r="AB16" s="78"/>
      <c r="AC16" s="78"/>
      <c r="AD16" s="78"/>
      <c r="AE16" s="78"/>
      <c r="AF16" s="78"/>
      <c r="AG16" s="78"/>
      <c r="AH16" s="78"/>
      <c r="AI16" s="78"/>
      <c r="AJ16" s="78"/>
      <c r="AK16" s="78"/>
      <c r="AL16" s="78"/>
      <c r="AM16" s="81"/>
      <c r="AN16" s="101"/>
      <c r="AO16" s="78"/>
      <c r="AP16" s="78"/>
      <c r="AQ16" s="78"/>
      <c r="AR16" s="78"/>
      <c r="AS16" s="79"/>
    </row>
    <row r="17" spans="1:45" ht="20.25" customHeight="1">
      <c r="A17" s="78"/>
      <c r="B17" s="78"/>
      <c r="C17" s="81"/>
      <c r="D17" s="78"/>
      <c r="E17" s="78"/>
      <c r="F17" s="78"/>
      <c r="G17" s="78"/>
      <c r="H17" s="78"/>
      <c r="I17" s="78"/>
      <c r="J17" s="78"/>
      <c r="K17" s="78"/>
      <c r="L17" s="78"/>
      <c r="M17" s="78"/>
      <c r="N17" s="78"/>
      <c r="O17" s="78"/>
      <c r="P17" s="78"/>
      <c r="Q17" s="78"/>
      <c r="R17" s="553"/>
      <c r="S17" s="553"/>
      <c r="T17" s="553"/>
      <c r="U17" s="553"/>
      <c r="V17" s="70"/>
      <c r="W17" s="78"/>
      <c r="X17" s="78"/>
      <c r="Y17" s="79"/>
      <c r="Z17" s="79"/>
      <c r="AA17" s="78"/>
      <c r="AB17" s="78"/>
      <c r="AC17" s="78"/>
      <c r="AD17" s="78"/>
      <c r="AE17" s="78"/>
      <c r="AF17" s="78"/>
      <c r="AG17" s="78"/>
      <c r="AH17" s="78"/>
      <c r="AI17" s="78"/>
      <c r="AJ17" s="78"/>
      <c r="AK17" s="78"/>
      <c r="AL17" s="78"/>
      <c r="AM17" s="81"/>
      <c r="AN17" s="101"/>
      <c r="AO17" s="78"/>
      <c r="AP17" s="78"/>
      <c r="AQ17" s="78"/>
      <c r="AR17" s="78"/>
      <c r="AS17" s="79"/>
    </row>
    <row r="18" spans="1:45" ht="20.25" customHeight="1">
      <c r="A18" s="78"/>
      <c r="B18" s="78"/>
      <c r="C18" s="81"/>
      <c r="D18" s="78"/>
      <c r="E18" s="78"/>
      <c r="F18" s="78"/>
      <c r="G18" s="78"/>
      <c r="H18" s="78"/>
      <c r="I18" s="78"/>
      <c r="J18" s="78"/>
      <c r="K18" s="78"/>
      <c r="L18" s="78"/>
      <c r="M18" s="78"/>
      <c r="N18" s="78"/>
      <c r="O18" s="78"/>
      <c r="P18" s="78"/>
      <c r="Q18" s="78"/>
      <c r="R18" s="553"/>
      <c r="S18" s="553"/>
      <c r="T18" s="553"/>
      <c r="U18" s="553"/>
      <c r="V18" s="70"/>
      <c r="W18" s="78"/>
      <c r="X18" s="78"/>
      <c r="Y18" s="79"/>
      <c r="Z18" s="79"/>
      <c r="AA18" s="78"/>
      <c r="AB18" s="78"/>
      <c r="AC18" s="78"/>
      <c r="AD18" s="78"/>
      <c r="AE18" s="78"/>
      <c r="AF18" s="78"/>
      <c r="AG18" s="78"/>
      <c r="AH18" s="78"/>
      <c r="AI18" s="78"/>
      <c r="AJ18" s="78"/>
      <c r="AK18" s="78"/>
      <c r="AL18" s="78"/>
      <c r="AM18" s="81"/>
      <c r="AN18" s="101"/>
      <c r="AO18" s="78"/>
      <c r="AP18" s="78"/>
      <c r="AQ18" s="78"/>
      <c r="AR18" s="78"/>
      <c r="AS18" s="79"/>
    </row>
    <row r="19" spans="1:45" ht="20.25" customHeight="1">
      <c r="A19" s="78"/>
      <c r="B19" s="78"/>
      <c r="C19" s="81"/>
      <c r="D19" s="102"/>
      <c r="E19" s="102"/>
      <c r="F19" s="102"/>
      <c r="G19" s="102"/>
      <c r="H19" s="102"/>
      <c r="I19" s="102"/>
      <c r="J19" s="102"/>
      <c r="K19" s="102"/>
      <c r="L19" s="102"/>
      <c r="M19" s="102"/>
      <c r="N19" s="102"/>
      <c r="O19" s="102"/>
      <c r="P19" s="102"/>
      <c r="Q19" s="102"/>
      <c r="R19" s="553"/>
      <c r="S19" s="553"/>
      <c r="T19" s="553"/>
      <c r="U19" s="553"/>
      <c r="V19" s="70"/>
      <c r="W19" s="78"/>
      <c r="X19" s="78"/>
      <c r="Y19" s="79"/>
      <c r="Z19" s="79"/>
      <c r="AA19" s="78"/>
      <c r="AB19" s="78"/>
      <c r="AC19" s="78"/>
      <c r="AD19" s="78"/>
      <c r="AE19" s="78"/>
      <c r="AF19" s="78"/>
      <c r="AG19" s="78"/>
      <c r="AH19" s="78"/>
      <c r="AI19" s="78"/>
      <c r="AJ19" s="78"/>
      <c r="AK19" s="78"/>
      <c r="AL19" s="78"/>
      <c r="AM19" s="81"/>
      <c r="AN19" s="101"/>
      <c r="AO19" s="78"/>
      <c r="AP19" s="78"/>
      <c r="AQ19" s="78"/>
      <c r="AR19" s="78"/>
      <c r="AS19" s="79"/>
    </row>
    <row r="20" spans="1:45" ht="20.25" customHeight="1">
      <c r="A20" s="78"/>
      <c r="B20" s="78"/>
      <c r="C20" s="81"/>
      <c r="D20" s="102"/>
      <c r="E20" s="102"/>
      <c r="F20" s="102"/>
      <c r="G20" s="102"/>
      <c r="H20" s="102"/>
      <c r="I20" s="102"/>
      <c r="J20" s="102"/>
      <c r="K20" s="102"/>
      <c r="L20" s="102"/>
      <c r="M20" s="102"/>
      <c r="N20" s="102"/>
      <c r="O20" s="102"/>
      <c r="P20" s="102"/>
      <c r="Q20" s="102"/>
      <c r="R20" s="553"/>
      <c r="S20" s="553"/>
      <c r="T20" s="553"/>
      <c r="U20" s="553"/>
      <c r="V20" s="70"/>
      <c r="W20" s="78"/>
      <c r="X20" s="78"/>
      <c r="Y20" s="79"/>
      <c r="Z20" s="79"/>
      <c r="AA20" s="78"/>
      <c r="AB20" s="78"/>
      <c r="AC20" s="78"/>
      <c r="AD20" s="78"/>
      <c r="AE20" s="78"/>
      <c r="AF20" s="78"/>
      <c r="AG20" s="78"/>
      <c r="AH20" s="78"/>
      <c r="AI20" s="78"/>
      <c r="AJ20" s="78"/>
      <c r="AK20" s="78"/>
      <c r="AL20" s="78"/>
      <c r="AM20" s="81"/>
      <c r="AN20" s="101"/>
      <c r="AO20" s="78"/>
      <c r="AP20" s="78"/>
      <c r="AQ20" s="78"/>
      <c r="AR20" s="78"/>
      <c r="AS20" s="79"/>
    </row>
    <row r="21" spans="1:45" ht="20.25" customHeight="1">
      <c r="A21" s="78"/>
      <c r="B21" s="78"/>
      <c r="C21" s="81"/>
      <c r="D21" s="78"/>
      <c r="E21" s="78"/>
      <c r="F21" s="78"/>
      <c r="G21" s="78"/>
      <c r="H21" s="78"/>
      <c r="I21" s="78"/>
      <c r="J21" s="78"/>
      <c r="K21" s="78"/>
      <c r="L21" s="78"/>
      <c r="M21" s="78"/>
      <c r="N21" s="78"/>
      <c r="O21" s="78"/>
      <c r="P21" s="78"/>
      <c r="Q21" s="78"/>
      <c r="R21" s="553"/>
      <c r="S21" s="553"/>
      <c r="T21" s="553"/>
      <c r="U21" s="553"/>
      <c r="V21" s="70"/>
      <c r="W21" s="78"/>
      <c r="X21" s="78"/>
      <c r="Y21" s="79"/>
      <c r="Z21" s="79"/>
      <c r="AA21" s="78"/>
      <c r="AB21" s="78"/>
      <c r="AC21" s="78"/>
      <c r="AD21" s="78"/>
      <c r="AE21" s="78"/>
      <c r="AF21" s="78"/>
      <c r="AG21" s="78"/>
      <c r="AH21" s="78"/>
      <c r="AI21" s="78"/>
      <c r="AJ21" s="78"/>
      <c r="AK21" s="78"/>
      <c r="AL21" s="78"/>
      <c r="AM21" s="81"/>
      <c r="AN21" s="101"/>
      <c r="AO21" s="78"/>
      <c r="AP21" s="78"/>
      <c r="AQ21" s="78"/>
      <c r="AR21" s="78"/>
      <c r="AS21" s="79"/>
    </row>
    <row r="22" spans="1:45" ht="20.25" customHeight="1">
      <c r="A22" s="78"/>
      <c r="B22" s="78"/>
      <c r="C22" s="81"/>
      <c r="D22" s="78"/>
      <c r="E22" s="78"/>
      <c r="F22" s="78"/>
      <c r="G22" s="78"/>
      <c r="H22" s="78"/>
      <c r="I22" s="78"/>
      <c r="J22" s="78"/>
      <c r="K22" s="78"/>
      <c r="L22" s="78"/>
      <c r="M22" s="78"/>
      <c r="N22" s="78"/>
      <c r="O22" s="78"/>
      <c r="P22" s="78"/>
      <c r="Q22" s="103"/>
      <c r="R22" s="553"/>
      <c r="S22" s="553"/>
      <c r="T22" s="553"/>
      <c r="U22" s="553"/>
      <c r="V22" s="70"/>
      <c r="W22" s="78"/>
      <c r="X22" s="78"/>
      <c r="Y22" s="79"/>
      <c r="Z22" s="79"/>
      <c r="AA22" s="78"/>
      <c r="AB22" s="78"/>
      <c r="AC22" s="78"/>
      <c r="AD22" s="78"/>
      <c r="AE22" s="78"/>
      <c r="AF22" s="78"/>
      <c r="AG22" s="78"/>
      <c r="AH22" s="78"/>
      <c r="AI22" s="78"/>
      <c r="AJ22" s="78"/>
      <c r="AK22" s="78"/>
      <c r="AL22" s="78"/>
      <c r="AM22" s="81"/>
      <c r="AN22" s="101"/>
      <c r="AO22" s="78"/>
      <c r="AP22" s="78"/>
      <c r="AQ22" s="78"/>
      <c r="AR22" s="78"/>
      <c r="AS22" s="79"/>
    </row>
    <row r="23" spans="1:45" ht="20.25" customHeight="1">
      <c r="A23" s="78"/>
      <c r="B23" s="78"/>
      <c r="C23" s="81"/>
      <c r="D23" s="78"/>
      <c r="E23" s="78"/>
      <c r="F23" s="78"/>
      <c r="G23" s="78"/>
      <c r="H23" s="78"/>
      <c r="I23" s="78"/>
      <c r="J23" s="78"/>
      <c r="K23" s="78"/>
      <c r="L23" s="78"/>
      <c r="M23" s="78"/>
      <c r="N23" s="78"/>
      <c r="O23" s="78"/>
      <c r="P23" s="78"/>
      <c r="Q23" s="103"/>
      <c r="R23" s="553"/>
      <c r="S23" s="553"/>
      <c r="T23" s="553"/>
      <c r="U23" s="553"/>
      <c r="V23" s="70"/>
      <c r="W23" s="78"/>
      <c r="X23" s="78"/>
      <c r="Y23" s="79"/>
      <c r="Z23" s="79"/>
      <c r="AA23" s="78"/>
      <c r="AB23" s="78"/>
      <c r="AC23" s="78"/>
      <c r="AD23" s="78"/>
      <c r="AE23" s="78"/>
      <c r="AF23" s="78"/>
      <c r="AG23" s="78"/>
      <c r="AH23" s="78"/>
      <c r="AI23" s="78"/>
      <c r="AJ23" s="78"/>
      <c r="AK23" s="78"/>
      <c r="AL23" s="78"/>
      <c r="AM23" s="81"/>
      <c r="AN23" s="101"/>
      <c r="AO23" s="78"/>
      <c r="AP23" s="78"/>
      <c r="AQ23" s="78"/>
      <c r="AR23" s="78"/>
      <c r="AS23" s="79"/>
    </row>
    <row r="24" spans="1:45" ht="20.25" customHeight="1">
      <c r="A24" s="78"/>
      <c r="B24" s="78"/>
      <c r="C24" s="81"/>
      <c r="D24" s="78"/>
      <c r="E24" s="78"/>
      <c r="F24" s="78"/>
      <c r="G24" s="78"/>
      <c r="H24" s="78"/>
      <c r="I24" s="78"/>
      <c r="J24" s="78"/>
      <c r="K24" s="78"/>
      <c r="L24" s="78"/>
      <c r="M24" s="78"/>
      <c r="N24" s="78"/>
      <c r="O24" s="78"/>
      <c r="P24" s="78"/>
      <c r="Q24" s="103"/>
      <c r="R24" s="553"/>
      <c r="S24" s="553"/>
      <c r="T24" s="553"/>
      <c r="U24" s="553"/>
      <c r="V24" s="70"/>
      <c r="W24" s="78"/>
      <c r="X24" s="78"/>
      <c r="Y24" s="79"/>
      <c r="Z24" s="79"/>
      <c r="AA24" s="78"/>
      <c r="AB24" s="78"/>
      <c r="AC24" s="78"/>
      <c r="AD24" s="78"/>
      <c r="AE24" s="78"/>
      <c r="AF24" s="78"/>
      <c r="AG24" s="78"/>
      <c r="AH24" s="78"/>
      <c r="AI24" s="78"/>
      <c r="AJ24" s="78"/>
      <c r="AK24" s="78"/>
      <c r="AL24" s="78"/>
      <c r="AM24" s="81"/>
      <c r="AN24" s="101"/>
      <c r="AO24" s="78"/>
      <c r="AP24" s="78"/>
      <c r="AQ24" s="78"/>
      <c r="AR24" s="78"/>
      <c r="AS24" s="79"/>
    </row>
    <row r="25" spans="1:45" ht="20.25" customHeight="1">
      <c r="A25" s="78"/>
      <c r="B25" s="78"/>
      <c r="C25" s="81"/>
      <c r="D25" s="78"/>
      <c r="E25" s="78"/>
      <c r="F25" s="78"/>
      <c r="G25" s="78"/>
      <c r="H25" s="78"/>
      <c r="I25" s="78"/>
      <c r="J25" s="78"/>
      <c r="K25" s="78"/>
      <c r="L25" s="78"/>
      <c r="M25" s="78"/>
      <c r="N25" s="78"/>
      <c r="O25" s="78"/>
      <c r="P25" s="78"/>
      <c r="Q25" s="103"/>
      <c r="R25" s="553"/>
      <c r="S25" s="553"/>
      <c r="T25" s="553"/>
      <c r="U25" s="553"/>
      <c r="V25" s="70"/>
      <c r="W25" s="78"/>
      <c r="X25" s="78"/>
      <c r="Y25" s="79"/>
      <c r="Z25" s="79"/>
      <c r="AA25" s="78"/>
      <c r="AB25" s="78"/>
      <c r="AC25" s="78"/>
      <c r="AD25" s="78"/>
      <c r="AE25" s="78"/>
      <c r="AF25" s="78"/>
      <c r="AG25" s="78"/>
      <c r="AH25" s="78"/>
      <c r="AI25" s="78"/>
      <c r="AJ25" s="78"/>
      <c r="AK25" s="78"/>
      <c r="AL25" s="78"/>
      <c r="AM25" s="81"/>
      <c r="AN25" s="101"/>
      <c r="AO25" s="78"/>
      <c r="AP25" s="78"/>
      <c r="AQ25" s="78"/>
      <c r="AR25" s="78"/>
      <c r="AS25" s="79"/>
    </row>
    <row r="26" spans="1:45" ht="20.25" customHeight="1">
      <c r="A26" s="78"/>
      <c r="B26" s="78"/>
      <c r="C26" s="81"/>
      <c r="D26" s="78"/>
      <c r="E26" s="78"/>
      <c r="F26" s="78"/>
      <c r="G26" s="78"/>
      <c r="H26" s="78"/>
      <c r="I26" s="78"/>
      <c r="J26" s="78"/>
      <c r="K26" s="78"/>
      <c r="L26" s="78"/>
      <c r="M26" s="78"/>
      <c r="N26" s="78"/>
      <c r="O26" s="78"/>
      <c r="P26" s="78"/>
      <c r="Q26" s="103"/>
      <c r="R26" s="553"/>
      <c r="S26" s="553"/>
      <c r="T26" s="553"/>
      <c r="U26" s="553"/>
      <c r="V26" s="70"/>
      <c r="W26" s="78"/>
      <c r="X26" s="78"/>
      <c r="Y26" s="79"/>
      <c r="Z26" s="79"/>
      <c r="AA26" s="78"/>
      <c r="AB26" s="78"/>
      <c r="AC26" s="78"/>
      <c r="AD26" s="78"/>
      <c r="AE26" s="78"/>
      <c r="AF26" s="78"/>
      <c r="AG26" s="78"/>
      <c r="AH26" s="78"/>
      <c r="AI26" s="78"/>
      <c r="AJ26" s="78"/>
      <c r="AK26" s="78"/>
      <c r="AL26" s="78"/>
      <c r="AM26" s="81"/>
      <c r="AN26" s="101"/>
      <c r="AO26" s="78"/>
      <c r="AP26" s="78"/>
      <c r="AQ26" s="78"/>
      <c r="AR26" s="78"/>
      <c r="AS26" s="79"/>
    </row>
    <row r="27" spans="1:45" ht="20.25" customHeight="1">
      <c r="A27" s="78"/>
      <c r="B27" s="78"/>
      <c r="C27" s="81"/>
      <c r="D27" s="78"/>
      <c r="E27" s="78"/>
      <c r="F27" s="78"/>
      <c r="G27" s="78"/>
      <c r="H27" s="78"/>
      <c r="I27" s="78"/>
      <c r="J27" s="78"/>
      <c r="K27" s="78"/>
      <c r="L27" s="78"/>
      <c r="M27" s="78"/>
      <c r="N27" s="78"/>
      <c r="O27" s="78"/>
      <c r="P27" s="78"/>
      <c r="Q27" s="103"/>
      <c r="R27" s="553"/>
      <c r="S27" s="553"/>
      <c r="T27" s="553"/>
      <c r="U27" s="553"/>
      <c r="V27" s="70"/>
      <c r="W27" s="78"/>
      <c r="X27" s="78"/>
      <c r="Y27" s="79"/>
      <c r="Z27" s="79"/>
      <c r="AA27" s="78"/>
      <c r="AB27" s="78"/>
      <c r="AC27" s="78"/>
      <c r="AD27" s="78"/>
      <c r="AE27" s="78"/>
      <c r="AF27" s="78"/>
      <c r="AG27" s="78"/>
      <c r="AH27" s="78"/>
      <c r="AI27" s="78"/>
      <c r="AJ27" s="78"/>
      <c r="AK27" s="78"/>
      <c r="AL27" s="78"/>
      <c r="AM27" s="81"/>
      <c r="AN27" s="101"/>
      <c r="AO27" s="78"/>
      <c r="AP27" s="78"/>
      <c r="AQ27" s="78"/>
      <c r="AR27" s="78"/>
      <c r="AS27" s="79"/>
    </row>
    <row r="28" spans="1:45" ht="20.25" customHeight="1">
      <c r="A28" s="78"/>
      <c r="B28" s="78"/>
      <c r="C28" s="81"/>
      <c r="D28" s="78"/>
      <c r="E28" s="78"/>
      <c r="F28" s="78"/>
      <c r="G28" s="78"/>
      <c r="H28" s="78"/>
      <c r="I28" s="78"/>
      <c r="J28" s="78"/>
      <c r="K28" s="78"/>
      <c r="L28" s="78"/>
      <c r="M28" s="78"/>
      <c r="N28" s="78"/>
      <c r="O28" s="78"/>
      <c r="P28" s="78"/>
      <c r="Q28" s="103"/>
      <c r="R28" s="553"/>
      <c r="S28" s="553"/>
      <c r="T28" s="553"/>
      <c r="U28" s="553"/>
      <c r="V28" s="70"/>
      <c r="W28" s="78"/>
      <c r="X28" s="78"/>
      <c r="Y28" s="79"/>
      <c r="Z28" s="79"/>
      <c r="AA28" s="78"/>
      <c r="AB28" s="78"/>
      <c r="AC28" s="78"/>
      <c r="AD28" s="78"/>
      <c r="AE28" s="78"/>
      <c r="AF28" s="78"/>
      <c r="AG28" s="78"/>
      <c r="AH28" s="78"/>
      <c r="AI28" s="78"/>
      <c r="AJ28" s="78"/>
      <c r="AK28" s="78"/>
      <c r="AL28" s="78"/>
      <c r="AM28" s="81"/>
      <c r="AN28" s="101"/>
      <c r="AO28" s="78"/>
      <c r="AP28" s="78"/>
      <c r="AQ28" s="78"/>
      <c r="AR28" s="78"/>
      <c r="AS28" s="79"/>
    </row>
    <row r="29" spans="1:45" ht="20.25" customHeight="1">
      <c r="A29" s="78"/>
      <c r="B29" s="78"/>
      <c r="C29" s="81"/>
      <c r="D29" s="78"/>
      <c r="E29" s="78"/>
      <c r="F29" s="78"/>
      <c r="G29" s="78"/>
      <c r="H29" s="78"/>
      <c r="I29" s="78"/>
      <c r="J29" s="78"/>
      <c r="K29" s="78"/>
      <c r="L29" s="78"/>
      <c r="M29" s="78"/>
      <c r="N29" s="78"/>
      <c r="O29" s="78"/>
      <c r="P29" s="78"/>
      <c r="Q29" s="103"/>
      <c r="R29" s="553"/>
      <c r="S29" s="553"/>
      <c r="T29" s="553"/>
      <c r="U29" s="553"/>
      <c r="V29" s="70"/>
      <c r="W29" s="78"/>
      <c r="X29" s="78"/>
      <c r="Y29" s="79"/>
      <c r="Z29" s="79"/>
      <c r="AA29" s="78"/>
      <c r="AB29" s="78"/>
      <c r="AC29" s="78"/>
      <c r="AD29" s="78"/>
      <c r="AE29" s="78"/>
      <c r="AF29" s="78"/>
      <c r="AG29" s="78"/>
      <c r="AH29" s="78"/>
      <c r="AI29" s="78"/>
      <c r="AJ29" s="78"/>
      <c r="AK29" s="78"/>
      <c r="AL29" s="78"/>
      <c r="AM29" s="81"/>
      <c r="AN29" s="101"/>
      <c r="AO29" s="78"/>
      <c r="AP29" s="78"/>
      <c r="AQ29" s="78"/>
      <c r="AR29" s="78"/>
      <c r="AS29" s="79"/>
    </row>
    <row r="30" spans="1:45" ht="20.25" customHeight="1">
      <c r="A30" s="78"/>
      <c r="B30" s="78"/>
      <c r="C30" s="81"/>
      <c r="D30" s="78"/>
      <c r="E30" s="78"/>
      <c r="F30" s="78"/>
      <c r="G30" s="78"/>
      <c r="H30" s="78"/>
      <c r="I30" s="78"/>
      <c r="J30" s="78"/>
      <c r="K30" s="78"/>
      <c r="L30" s="78"/>
      <c r="M30" s="78"/>
      <c r="N30" s="78"/>
      <c r="O30" s="78"/>
      <c r="P30" s="78"/>
      <c r="Q30" s="103"/>
      <c r="R30" s="553"/>
      <c r="S30" s="553"/>
      <c r="T30" s="553"/>
      <c r="U30" s="553"/>
      <c r="V30" s="70"/>
      <c r="W30" s="78"/>
      <c r="X30" s="78"/>
      <c r="Y30" s="79"/>
      <c r="Z30" s="79"/>
      <c r="AA30" s="78"/>
      <c r="AB30" s="78"/>
      <c r="AC30" s="78"/>
      <c r="AD30" s="78"/>
      <c r="AE30" s="78"/>
      <c r="AF30" s="78"/>
      <c r="AG30" s="78"/>
      <c r="AH30" s="78"/>
      <c r="AI30" s="78"/>
      <c r="AJ30" s="78"/>
      <c r="AK30" s="78"/>
      <c r="AL30" s="78"/>
      <c r="AM30" s="81"/>
      <c r="AN30" s="101"/>
      <c r="AO30" s="78"/>
      <c r="AP30" s="78"/>
      <c r="AQ30" s="78"/>
      <c r="AR30" s="78"/>
      <c r="AS30" s="79"/>
    </row>
    <row r="31" spans="1:45" ht="20.25" customHeight="1">
      <c r="A31" s="78"/>
      <c r="B31" s="78"/>
      <c r="C31" s="81"/>
      <c r="D31" s="78"/>
      <c r="E31" s="78"/>
      <c r="F31" s="78"/>
      <c r="G31" s="78"/>
      <c r="H31" s="78"/>
      <c r="I31" s="78"/>
      <c r="J31" s="78"/>
      <c r="K31" s="78"/>
      <c r="L31" s="78"/>
      <c r="M31" s="78"/>
      <c r="N31" s="78"/>
      <c r="O31" s="78"/>
      <c r="P31" s="78"/>
      <c r="Q31" s="103"/>
      <c r="R31" s="553"/>
      <c r="S31" s="553"/>
      <c r="T31" s="553"/>
      <c r="U31" s="553"/>
      <c r="V31" s="70"/>
      <c r="W31" s="78"/>
      <c r="X31" s="78"/>
      <c r="Y31" s="79"/>
      <c r="Z31" s="79"/>
      <c r="AA31" s="78"/>
      <c r="AB31" s="78"/>
      <c r="AC31" s="78"/>
      <c r="AD31" s="78"/>
      <c r="AE31" s="78"/>
      <c r="AF31" s="78"/>
      <c r="AG31" s="78"/>
      <c r="AH31" s="78"/>
      <c r="AI31" s="78"/>
      <c r="AJ31" s="78"/>
      <c r="AK31" s="78"/>
      <c r="AL31" s="78"/>
      <c r="AM31" s="81"/>
      <c r="AN31" s="101"/>
      <c r="AO31" s="78"/>
      <c r="AP31" s="78"/>
      <c r="AQ31" s="78"/>
      <c r="AR31" s="78"/>
      <c r="AS31" s="79"/>
    </row>
    <row r="32" spans="1:45" ht="20.25" customHeight="1">
      <c r="A32" s="78"/>
      <c r="B32" s="78"/>
      <c r="C32" s="81"/>
      <c r="D32" s="78"/>
      <c r="E32" s="78"/>
      <c r="F32" s="78"/>
      <c r="G32" s="78"/>
      <c r="H32" s="78"/>
      <c r="I32" s="78"/>
      <c r="J32" s="78"/>
      <c r="K32" s="78"/>
      <c r="L32" s="78"/>
      <c r="M32" s="78"/>
      <c r="N32" s="78"/>
      <c r="O32" s="78"/>
      <c r="P32" s="78"/>
      <c r="Q32" s="103"/>
      <c r="R32" s="553"/>
      <c r="S32" s="553"/>
      <c r="T32" s="553"/>
      <c r="U32" s="553"/>
      <c r="V32" s="70"/>
      <c r="W32" s="78"/>
      <c r="X32" s="78"/>
      <c r="Y32" s="79"/>
      <c r="Z32" s="79"/>
      <c r="AA32" s="78"/>
      <c r="AB32" s="78"/>
      <c r="AC32" s="78"/>
      <c r="AD32" s="78"/>
      <c r="AE32" s="78"/>
      <c r="AF32" s="78"/>
      <c r="AG32" s="78"/>
      <c r="AH32" s="78"/>
      <c r="AI32" s="78"/>
      <c r="AJ32" s="78"/>
      <c r="AK32" s="78"/>
      <c r="AL32" s="78"/>
      <c r="AM32" s="81"/>
      <c r="AN32" s="101"/>
      <c r="AO32" s="78"/>
      <c r="AP32" s="78"/>
      <c r="AQ32" s="78"/>
      <c r="AR32" s="78"/>
      <c r="AS32" s="79"/>
    </row>
    <row r="33" spans="1:45" ht="20.25" customHeight="1">
      <c r="A33" s="78"/>
      <c r="B33" s="78"/>
      <c r="C33" s="81"/>
      <c r="D33" s="78"/>
      <c r="E33" s="78"/>
      <c r="F33" s="78"/>
      <c r="G33" s="78"/>
      <c r="H33" s="78"/>
      <c r="I33" s="78"/>
      <c r="J33" s="78"/>
      <c r="K33" s="78"/>
      <c r="L33" s="78"/>
      <c r="M33" s="78"/>
      <c r="N33" s="78"/>
      <c r="O33" s="78"/>
      <c r="P33" s="78"/>
      <c r="Q33" s="103"/>
      <c r="R33" s="553"/>
      <c r="S33" s="553"/>
      <c r="T33" s="553"/>
      <c r="U33" s="553"/>
      <c r="V33" s="70"/>
      <c r="W33" s="78"/>
      <c r="X33" s="78"/>
      <c r="Y33" s="79"/>
      <c r="Z33" s="79"/>
      <c r="AA33" s="78"/>
      <c r="AB33" s="78"/>
      <c r="AC33" s="78"/>
      <c r="AD33" s="78"/>
      <c r="AE33" s="78"/>
      <c r="AF33" s="78"/>
      <c r="AG33" s="78"/>
      <c r="AH33" s="78"/>
      <c r="AI33" s="78"/>
      <c r="AJ33" s="78"/>
      <c r="AK33" s="78"/>
      <c r="AL33" s="78"/>
      <c r="AM33" s="81"/>
      <c r="AN33" s="101"/>
      <c r="AO33" s="78"/>
      <c r="AP33" s="78"/>
      <c r="AQ33" s="78"/>
      <c r="AR33" s="78"/>
      <c r="AS33" s="79"/>
    </row>
    <row r="34" spans="1:45" ht="20.25" customHeight="1">
      <c r="A34" s="78"/>
      <c r="B34" s="78"/>
      <c r="C34" s="81"/>
      <c r="D34" s="78"/>
      <c r="E34" s="78"/>
      <c r="F34" s="78"/>
      <c r="G34" s="78"/>
      <c r="H34" s="78"/>
      <c r="I34" s="78"/>
      <c r="J34" s="78"/>
      <c r="K34" s="78"/>
      <c r="L34" s="78"/>
      <c r="M34" s="78"/>
      <c r="N34" s="78"/>
      <c r="O34" s="78"/>
      <c r="P34" s="78"/>
      <c r="Q34" s="103"/>
      <c r="R34" s="553"/>
      <c r="S34" s="553"/>
      <c r="T34" s="553"/>
      <c r="U34" s="553"/>
      <c r="V34" s="70"/>
      <c r="W34" s="78"/>
      <c r="X34" s="78"/>
      <c r="Y34" s="79"/>
      <c r="Z34" s="79"/>
      <c r="AA34" s="78"/>
      <c r="AB34" s="78"/>
      <c r="AC34" s="78"/>
      <c r="AD34" s="78"/>
      <c r="AE34" s="78"/>
      <c r="AF34" s="78"/>
      <c r="AG34" s="78"/>
      <c r="AH34" s="78"/>
      <c r="AI34" s="78"/>
      <c r="AJ34" s="78"/>
      <c r="AK34" s="78"/>
      <c r="AL34" s="78"/>
      <c r="AM34" s="81"/>
      <c r="AN34" s="101"/>
      <c r="AO34" s="78"/>
      <c r="AP34" s="78"/>
      <c r="AQ34" s="78"/>
      <c r="AR34" s="78"/>
      <c r="AS34" s="79"/>
    </row>
    <row r="35" spans="1:45" ht="20.25" customHeight="1">
      <c r="A35" s="78"/>
      <c r="B35" s="78"/>
      <c r="C35" s="81"/>
      <c r="D35" s="78"/>
      <c r="E35" s="78"/>
      <c r="F35" s="78"/>
      <c r="G35" s="78"/>
      <c r="H35" s="78"/>
      <c r="I35" s="78"/>
      <c r="J35" s="78"/>
      <c r="K35" s="78"/>
      <c r="L35" s="78"/>
      <c r="M35" s="78"/>
      <c r="N35" s="78"/>
      <c r="O35" s="78"/>
      <c r="P35" s="78"/>
      <c r="Q35" s="103"/>
      <c r="R35" s="553"/>
      <c r="S35" s="553"/>
      <c r="T35" s="553"/>
      <c r="U35" s="553"/>
      <c r="V35" s="70"/>
      <c r="W35" s="78"/>
      <c r="X35" s="78"/>
      <c r="Y35" s="79"/>
      <c r="Z35" s="79"/>
      <c r="AA35" s="78"/>
      <c r="AB35" s="78"/>
      <c r="AC35" s="78"/>
      <c r="AD35" s="78"/>
      <c r="AE35" s="78"/>
      <c r="AF35" s="78"/>
      <c r="AG35" s="78"/>
      <c r="AH35" s="78"/>
      <c r="AI35" s="78"/>
      <c r="AJ35" s="78"/>
      <c r="AK35" s="78"/>
      <c r="AL35" s="78"/>
      <c r="AM35" s="81"/>
      <c r="AN35" s="101"/>
      <c r="AO35" s="78"/>
      <c r="AP35" s="78"/>
      <c r="AQ35" s="78"/>
      <c r="AR35" s="78"/>
      <c r="AS35" s="79"/>
    </row>
    <row r="36" spans="1:45" ht="20.25" customHeight="1">
      <c r="A36" s="78"/>
      <c r="B36" s="78"/>
      <c r="C36" s="81"/>
      <c r="D36" s="78"/>
      <c r="E36" s="78"/>
      <c r="F36" s="78"/>
      <c r="G36" s="78"/>
      <c r="H36" s="78"/>
      <c r="I36" s="78"/>
      <c r="J36" s="78"/>
      <c r="K36" s="78"/>
      <c r="L36" s="78"/>
      <c r="M36" s="78"/>
      <c r="N36" s="78"/>
      <c r="O36" s="78"/>
      <c r="P36" s="78"/>
      <c r="Q36" s="103"/>
      <c r="R36" s="553"/>
      <c r="S36" s="553"/>
      <c r="T36" s="553"/>
      <c r="U36" s="553"/>
      <c r="V36" s="70"/>
      <c r="W36" s="78"/>
      <c r="X36" s="78"/>
      <c r="Y36" s="79"/>
      <c r="Z36" s="79"/>
      <c r="AA36" s="78"/>
      <c r="AB36" s="78"/>
      <c r="AC36" s="78"/>
      <c r="AD36" s="78"/>
      <c r="AE36" s="78"/>
      <c r="AF36" s="78"/>
      <c r="AG36" s="78"/>
      <c r="AH36" s="78"/>
      <c r="AI36" s="78"/>
      <c r="AJ36" s="78"/>
      <c r="AK36" s="78"/>
      <c r="AL36" s="78"/>
      <c r="AM36" s="81"/>
      <c r="AN36" s="101"/>
      <c r="AO36" s="78"/>
      <c r="AP36" s="78"/>
      <c r="AQ36" s="78"/>
      <c r="AR36" s="78"/>
      <c r="AS36" s="79"/>
    </row>
    <row r="37" spans="1:45" ht="20.25" customHeight="1">
      <c r="A37" s="78"/>
      <c r="B37" s="78"/>
      <c r="C37" s="81"/>
      <c r="D37" s="78"/>
      <c r="E37" s="78"/>
      <c r="F37" s="78"/>
      <c r="G37" s="78"/>
      <c r="H37" s="78"/>
      <c r="I37" s="78"/>
      <c r="J37" s="78"/>
      <c r="K37" s="78"/>
      <c r="L37" s="78"/>
      <c r="M37" s="78"/>
      <c r="N37" s="78"/>
      <c r="O37" s="78"/>
      <c r="P37" s="78"/>
      <c r="Q37" s="103"/>
      <c r="R37" s="553"/>
      <c r="S37" s="553"/>
      <c r="T37" s="553"/>
      <c r="U37" s="553"/>
      <c r="V37" s="70"/>
      <c r="W37" s="78"/>
      <c r="X37" s="78"/>
      <c r="Y37" s="79"/>
      <c r="Z37" s="79"/>
      <c r="AA37" s="78"/>
      <c r="AB37" s="78"/>
      <c r="AC37" s="78"/>
      <c r="AD37" s="78"/>
      <c r="AE37" s="78"/>
      <c r="AF37" s="78"/>
      <c r="AG37" s="78"/>
      <c r="AH37" s="78"/>
      <c r="AI37" s="78"/>
      <c r="AJ37" s="78"/>
      <c r="AK37" s="78"/>
      <c r="AL37" s="78"/>
      <c r="AM37" s="81"/>
      <c r="AN37" s="101"/>
      <c r="AO37" s="78"/>
      <c r="AP37" s="78"/>
      <c r="AQ37" s="78"/>
      <c r="AR37" s="78"/>
      <c r="AS37" s="79"/>
    </row>
    <row r="38" spans="1:45" ht="20.25" customHeight="1">
      <c r="A38" s="78"/>
      <c r="B38" s="78"/>
      <c r="C38" s="81"/>
      <c r="D38" s="78"/>
      <c r="E38" s="78"/>
      <c r="F38" s="78"/>
      <c r="G38" s="78"/>
      <c r="H38" s="78"/>
      <c r="I38" s="78"/>
      <c r="J38" s="78"/>
      <c r="K38" s="78"/>
      <c r="L38" s="78"/>
      <c r="M38" s="78"/>
      <c r="N38" s="78"/>
      <c r="O38" s="78"/>
      <c r="P38" s="78"/>
      <c r="Q38" s="103"/>
      <c r="R38" s="553"/>
      <c r="S38" s="553"/>
      <c r="T38" s="553"/>
      <c r="U38" s="553"/>
      <c r="V38" s="70"/>
      <c r="W38" s="78"/>
      <c r="X38" s="78"/>
      <c r="Y38" s="79"/>
      <c r="Z38" s="79"/>
      <c r="AA38" s="78"/>
      <c r="AB38" s="78"/>
      <c r="AC38" s="78"/>
      <c r="AD38" s="78"/>
      <c r="AE38" s="78"/>
      <c r="AF38" s="78"/>
      <c r="AG38" s="78"/>
      <c r="AH38" s="78"/>
      <c r="AI38" s="78"/>
      <c r="AJ38" s="78"/>
      <c r="AK38" s="78"/>
      <c r="AL38" s="78"/>
      <c r="AM38" s="81"/>
      <c r="AN38" s="101"/>
      <c r="AO38" s="78"/>
      <c r="AP38" s="78"/>
      <c r="AQ38" s="78"/>
      <c r="AR38" s="78"/>
      <c r="AS38" s="79"/>
    </row>
    <row r="39" spans="1:45" ht="20.25" customHeight="1">
      <c r="A39" s="78"/>
      <c r="B39" s="78"/>
      <c r="C39" s="81"/>
      <c r="D39" s="78"/>
      <c r="E39" s="78"/>
      <c r="F39" s="78"/>
      <c r="G39" s="78"/>
      <c r="H39" s="78"/>
      <c r="I39" s="78"/>
      <c r="J39" s="78"/>
      <c r="K39" s="78"/>
      <c r="L39" s="78"/>
      <c r="M39" s="78"/>
      <c r="N39" s="78"/>
      <c r="O39" s="78"/>
      <c r="P39" s="78"/>
      <c r="Q39" s="103"/>
      <c r="R39" s="553"/>
      <c r="S39" s="553"/>
      <c r="T39" s="553"/>
      <c r="U39" s="553"/>
      <c r="V39" s="70"/>
      <c r="W39" s="78"/>
      <c r="X39" s="78"/>
      <c r="Y39" s="79"/>
      <c r="Z39" s="79"/>
      <c r="AA39" s="78"/>
      <c r="AB39" s="78"/>
      <c r="AC39" s="78"/>
      <c r="AD39" s="78"/>
      <c r="AE39" s="78"/>
      <c r="AF39" s="78"/>
      <c r="AG39" s="78"/>
      <c r="AH39" s="78"/>
      <c r="AI39" s="78"/>
      <c r="AJ39" s="78"/>
      <c r="AK39" s="78"/>
      <c r="AL39" s="78"/>
      <c r="AM39" s="81"/>
      <c r="AN39" s="101"/>
      <c r="AO39" s="78"/>
      <c r="AP39" s="78"/>
      <c r="AQ39" s="78"/>
      <c r="AR39" s="78"/>
      <c r="AS39" s="79"/>
    </row>
    <row r="40" spans="1:45" ht="20.25" customHeight="1">
      <c r="A40" s="78"/>
      <c r="B40" s="78"/>
      <c r="C40" s="81"/>
      <c r="D40" s="78"/>
      <c r="E40" s="78"/>
      <c r="F40" s="78"/>
      <c r="G40" s="78"/>
      <c r="H40" s="78"/>
      <c r="I40" s="78"/>
      <c r="J40" s="78"/>
      <c r="K40" s="78"/>
      <c r="L40" s="78"/>
      <c r="M40" s="78"/>
      <c r="N40" s="78"/>
      <c r="O40" s="78"/>
      <c r="P40" s="78"/>
      <c r="Q40" s="103"/>
      <c r="R40" s="553"/>
      <c r="S40" s="553"/>
      <c r="T40" s="553"/>
      <c r="U40" s="553"/>
      <c r="V40" s="70"/>
      <c r="W40" s="78"/>
      <c r="X40" s="78"/>
      <c r="Y40" s="79"/>
      <c r="Z40" s="79"/>
      <c r="AA40" s="78"/>
      <c r="AB40" s="78"/>
      <c r="AC40" s="78"/>
      <c r="AD40" s="78"/>
      <c r="AE40" s="78"/>
      <c r="AF40" s="78"/>
      <c r="AG40" s="78"/>
      <c r="AH40" s="78"/>
      <c r="AI40" s="78"/>
      <c r="AJ40" s="78"/>
      <c r="AK40" s="78"/>
      <c r="AL40" s="78"/>
      <c r="AM40" s="81"/>
      <c r="AN40" s="101"/>
      <c r="AO40" s="78"/>
      <c r="AP40" s="78"/>
      <c r="AQ40" s="78"/>
      <c r="AR40" s="78"/>
      <c r="AS40" s="79"/>
    </row>
    <row r="41" spans="1:45" ht="20.25" customHeight="1">
      <c r="A41" s="78"/>
      <c r="B41" s="78"/>
      <c r="C41" s="81"/>
      <c r="D41" s="78"/>
      <c r="E41" s="78"/>
      <c r="F41" s="78"/>
      <c r="G41" s="78"/>
      <c r="H41" s="78"/>
      <c r="I41" s="78"/>
      <c r="J41" s="78"/>
      <c r="K41" s="78"/>
      <c r="L41" s="78"/>
      <c r="M41" s="78"/>
      <c r="N41" s="78"/>
      <c r="O41" s="78"/>
      <c r="P41" s="78"/>
      <c r="Q41" s="103"/>
      <c r="R41" s="553"/>
      <c r="S41" s="553"/>
      <c r="T41" s="553"/>
      <c r="U41" s="553"/>
      <c r="V41" s="70"/>
      <c r="W41" s="78"/>
      <c r="X41" s="78"/>
      <c r="Y41" s="79"/>
      <c r="Z41" s="79"/>
      <c r="AA41" s="78"/>
      <c r="AB41" s="78"/>
      <c r="AC41" s="78"/>
      <c r="AD41" s="78"/>
      <c r="AE41" s="78"/>
      <c r="AF41" s="78"/>
      <c r="AG41" s="78"/>
      <c r="AH41" s="78"/>
      <c r="AI41" s="78"/>
      <c r="AJ41" s="78"/>
      <c r="AK41" s="78"/>
      <c r="AL41" s="78"/>
      <c r="AM41" s="81"/>
      <c r="AN41" s="101"/>
      <c r="AO41" s="78"/>
      <c r="AP41" s="78"/>
      <c r="AQ41" s="78"/>
      <c r="AR41" s="78"/>
      <c r="AS41" s="79"/>
    </row>
    <row r="42" spans="1:45" ht="20.25" customHeight="1">
      <c r="A42" s="78"/>
      <c r="B42" s="78"/>
      <c r="C42" s="81"/>
      <c r="D42" s="78"/>
      <c r="E42" s="78"/>
      <c r="F42" s="78"/>
      <c r="G42" s="78"/>
      <c r="H42" s="78"/>
      <c r="I42" s="78"/>
      <c r="J42" s="78"/>
      <c r="K42" s="78"/>
      <c r="L42" s="78"/>
      <c r="M42" s="78"/>
      <c r="N42" s="78"/>
      <c r="O42" s="78"/>
      <c r="P42" s="78"/>
      <c r="Q42" s="103"/>
      <c r="R42" s="553"/>
      <c r="S42" s="553"/>
      <c r="T42" s="553"/>
      <c r="U42" s="553"/>
      <c r="V42" s="70"/>
      <c r="W42" s="78"/>
      <c r="X42" s="78"/>
      <c r="Y42" s="79"/>
      <c r="Z42" s="79"/>
      <c r="AA42" s="78"/>
      <c r="AB42" s="78"/>
      <c r="AC42" s="78"/>
      <c r="AD42" s="78"/>
      <c r="AE42" s="78"/>
      <c r="AF42" s="78"/>
      <c r="AG42" s="78"/>
      <c r="AH42" s="78"/>
      <c r="AI42" s="78"/>
      <c r="AJ42" s="78"/>
      <c r="AK42" s="78"/>
      <c r="AL42" s="78"/>
      <c r="AM42" s="81"/>
      <c r="AN42" s="101"/>
      <c r="AO42" s="78"/>
      <c r="AP42" s="78"/>
      <c r="AQ42" s="78"/>
      <c r="AR42" s="78"/>
      <c r="AS42" s="79"/>
    </row>
    <row r="43" spans="1:45" ht="20.25" customHeight="1">
      <c r="A43" s="78"/>
      <c r="B43" s="78"/>
      <c r="C43" s="81"/>
      <c r="D43" s="78"/>
      <c r="E43" s="78"/>
      <c r="F43" s="78"/>
      <c r="G43" s="78"/>
      <c r="H43" s="78"/>
      <c r="I43" s="78"/>
      <c r="J43" s="78"/>
      <c r="K43" s="78"/>
      <c r="L43" s="78"/>
      <c r="M43" s="78"/>
      <c r="N43" s="78"/>
      <c r="O43" s="78"/>
      <c r="P43" s="78"/>
      <c r="Q43" s="103"/>
      <c r="R43" s="553"/>
      <c r="S43" s="553"/>
      <c r="T43" s="553"/>
      <c r="U43" s="553"/>
      <c r="V43" s="70"/>
      <c r="W43" s="78"/>
      <c r="X43" s="78"/>
      <c r="Y43" s="79"/>
      <c r="Z43" s="79"/>
      <c r="AA43" s="78"/>
      <c r="AB43" s="78"/>
      <c r="AC43" s="78"/>
      <c r="AD43" s="78"/>
      <c r="AE43" s="78"/>
      <c r="AF43" s="78"/>
      <c r="AG43" s="78"/>
      <c r="AH43" s="78"/>
      <c r="AI43" s="78"/>
      <c r="AJ43" s="78"/>
      <c r="AK43" s="78"/>
      <c r="AL43" s="78"/>
      <c r="AM43" s="81"/>
      <c r="AN43" s="101"/>
      <c r="AO43" s="78"/>
      <c r="AP43" s="78"/>
      <c r="AQ43" s="78"/>
      <c r="AR43" s="78"/>
      <c r="AS43" s="79"/>
    </row>
    <row r="44" spans="1:45" ht="20.25" customHeight="1">
      <c r="A44" s="78"/>
      <c r="B44" s="78"/>
      <c r="C44" s="81"/>
      <c r="D44" s="78"/>
      <c r="E44" s="78"/>
      <c r="F44" s="78"/>
      <c r="G44" s="78"/>
      <c r="H44" s="78"/>
      <c r="I44" s="78"/>
      <c r="J44" s="78"/>
      <c r="K44" s="78"/>
      <c r="L44" s="78"/>
      <c r="M44" s="78"/>
      <c r="N44" s="78"/>
      <c r="O44" s="78"/>
      <c r="P44" s="78"/>
      <c r="Q44" s="103"/>
      <c r="R44" s="553"/>
      <c r="S44" s="553"/>
      <c r="T44" s="553"/>
      <c r="U44" s="553"/>
      <c r="V44" s="70"/>
      <c r="W44" s="78"/>
      <c r="X44" s="78"/>
      <c r="Y44" s="79"/>
      <c r="Z44" s="79"/>
      <c r="AA44" s="78"/>
      <c r="AB44" s="78"/>
      <c r="AC44" s="78"/>
      <c r="AD44" s="78"/>
      <c r="AE44" s="78"/>
      <c r="AF44" s="78"/>
      <c r="AG44" s="78"/>
      <c r="AH44" s="78"/>
      <c r="AI44" s="78"/>
      <c r="AJ44" s="78"/>
      <c r="AK44" s="78"/>
      <c r="AL44" s="78"/>
      <c r="AM44" s="81"/>
      <c r="AN44" s="101"/>
      <c r="AO44" s="78"/>
      <c r="AP44" s="78"/>
      <c r="AQ44" s="78"/>
      <c r="AR44" s="78"/>
      <c r="AS44" s="79"/>
    </row>
    <row r="45" spans="1:45" ht="20.25" customHeight="1">
      <c r="A45" s="78"/>
      <c r="B45" s="78"/>
      <c r="C45" s="81"/>
      <c r="D45" s="78"/>
      <c r="E45" s="78"/>
      <c r="F45" s="78"/>
      <c r="G45" s="78"/>
      <c r="H45" s="78"/>
      <c r="I45" s="78"/>
      <c r="J45" s="78"/>
      <c r="K45" s="78"/>
      <c r="L45" s="78"/>
      <c r="M45" s="78"/>
      <c r="N45" s="78"/>
      <c r="O45" s="78"/>
      <c r="P45" s="78"/>
      <c r="Q45" s="103"/>
      <c r="R45" s="553"/>
      <c r="S45" s="553"/>
      <c r="T45" s="553"/>
      <c r="U45" s="553"/>
      <c r="V45" s="70"/>
      <c r="W45" s="78"/>
      <c r="X45" s="78"/>
      <c r="Y45" s="79"/>
      <c r="Z45" s="79"/>
      <c r="AA45" s="78"/>
      <c r="AB45" s="78"/>
      <c r="AC45" s="78"/>
      <c r="AD45" s="78"/>
      <c r="AE45" s="78"/>
      <c r="AF45" s="78"/>
      <c r="AG45" s="78"/>
      <c r="AH45" s="78"/>
      <c r="AI45" s="78"/>
      <c r="AJ45" s="78"/>
      <c r="AK45" s="78"/>
      <c r="AL45" s="78"/>
      <c r="AM45" s="81"/>
      <c r="AN45" s="101"/>
      <c r="AO45" s="78"/>
      <c r="AP45" s="78"/>
      <c r="AQ45" s="78"/>
      <c r="AR45" s="78"/>
      <c r="AS45" s="79"/>
    </row>
    <row r="46" spans="1:45" ht="20.25" customHeight="1">
      <c r="A46" s="78"/>
      <c r="B46" s="78"/>
      <c r="C46" s="81"/>
      <c r="D46" s="78"/>
      <c r="E46" s="78"/>
      <c r="F46" s="78"/>
      <c r="G46" s="78"/>
      <c r="H46" s="78"/>
      <c r="I46" s="78"/>
      <c r="J46" s="78"/>
      <c r="K46" s="78"/>
      <c r="L46" s="78"/>
      <c r="M46" s="78"/>
      <c r="N46" s="78"/>
      <c r="O46" s="78"/>
      <c r="P46" s="78"/>
      <c r="Q46" s="103"/>
      <c r="R46" s="553"/>
      <c r="S46" s="553"/>
      <c r="T46" s="553"/>
      <c r="U46" s="553"/>
      <c r="V46" s="70"/>
      <c r="W46" s="78"/>
      <c r="X46" s="78"/>
      <c r="Y46" s="79"/>
      <c r="Z46" s="79"/>
      <c r="AA46" s="78"/>
      <c r="AB46" s="78"/>
      <c r="AC46" s="78"/>
      <c r="AD46" s="78"/>
      <c r="AE46" s="78"/>
      <c r="AF46" s="78"/>
      <c r="AG46" s="78"/>
      <c r="AH46" s="78"/>
      <c r="AI46" s="78"/>
      <c r="AJ46" s="78"/>
      <c r="AK46" s="78"/>
      <c r="AL46" s="78"/>
      <c r="AM46" s="81"/>
      <c r="AN46" s="101"/>
      <c r="AO46" s="78"/>
      <c r="AP46" s="78"/>
      <c r="AQ46" s="78"/>
      <c r="AR46" s="78"/>
      <c r="AS46" s="79"/>
    </row>
    <row r="47" spans="1:45" ht="20.25" customHeight="1">
      <c r="A47" s="78"/>
      <c r="B47" s="78"/>
      <c r="C47" s="81"/>
      <c r="D47" s="78"/>
      <c r="E47" s="78"/>
      <c r="F47" s="78"/>
      <c r="G47" s="78"/>
      <c r="H47" s="78"/>
      <c r="I47" s="78"/>
      <c r="J47" s="78"/>
      <c r="K47" s="78"/>
      <c r="L47" s="78"/>
      <c r="M47" s="78"/>
      <c r="N47" s="78"/>
      <c r="O47" s="78"/>
      <c r="P47" s="78"/>
      <c r="Q47" s="103"/>
      <c r="R47" s="553"/>
      <c r="S47" s="553"/>
      <c r="T47" s="553"/>
      <c r="U47" s="553"/>
      <c r="V47" s="70"/>
      <c r="W47" s="78"/>
      <c r="X47" s="78"/>
      <c r="Y47" s="79"/>
      <c r="Z47" s="79"/>
      <c r="AA47" s="78"/>
      <c r="AB47" s="78"/>
      <c r="AC47" s="78"/>
      <c r="AD47" s="78"/>
      <c r="AE47" s="78"/>
      <c r="AF47" s="78"/>
      <c r="AG47" s="78"/>
      <c r="AH47" s="78"/>
      <c r="AI47" s="78"/>
      <c r="AJ47" s="78"/>
      <c r="AK47" s="78"/>
      <c r="AL47" s="78"/>
      <c r="AM47" s="81"/>
      <c r="AN47" s="101"/>
      <c r="AO47" s="78"/>
      <c r="AP47" s="78"/>
      <c r="AQ47" s="78"/>
      <c r="AR47" s="78"/>
      <c r="AS47" s="79"/>
    </row>
    <row r="48" spans="1:45" ht="20.25" customHeight="1">
      <c r="A48" s="78"/>
      <c r="B48" s="78"/>
      <c r="C48" s="81"/>
      <c r="D48" s="78"/>
      <c r="E48" s="78"/>
      <c r="F48" s="78"/>
      <c r="G48" s="78"/>
      <c r="H48" s="78"/>
      <c r="I48" s="78"/>
      <c r="J48" s="78"/>
      <c r="K48" s="78"/>
      <c r="L48" s="78"/>
      <c r="M48" s="78"/>
      <c r="N48" s="78"/>
      <c r="O48" s="78"/>
      <c r="P48" s="78"/>
      <c r="Q48" s="103"/>
      <c r="R48" s="553"/>
      <c r="S48" s="553"/>
      <c r="T48" s="553"/>
      <c r="U48" s="553"/>
      <c r="V48" s="70"/>
      <c r="W48" s="78"/>
      <c r="X48" s="78"/>
      <c r="Y48" s="79"/>
      <c r="Z48" s="79"/>
      <c r="AA48" s="78"/>
      <c r="AB48" s="78"/>
      <c r="AC48" s="78"/>
      <c r="AD48" s="78"/>
      <c r="AE48" s="78"/>
      <c r="AF48" s="78"/>
      <c r="AG48" s="78"/>
      <c r="AH48" s="78"/>
      <c r="AI48" s="78"/>
      <c r="AJ48" s="78"/>
      <c r="AK48" s="78"/>
      <c r="AL48" s="78"/>
      <c r="AM48" s="81"/>
      <c r="AN48" s="101"/>
      <c r="AO48" s="78"/>
      <c r="AP48" s="78"/>
      <c r="AQ48" s="78"/>
      <c r="AR48" s="78"/>
      <c r="AS48" s="79"/>
    </row>
    <row r="49" spans="1:45" ht="20.25" customHeight="1">
      <c r="A49" s="78"/>
      <c r="B49" s="78"/>
      <c r="C49" s="81"/>
      <c r="D49" s="78"/>
      <c r="E49" s="78"/>
      <c r="F49" s="78"/>
      <c r="G49" s="78"/>
      <c r="H49" s="78"/>
      <c r="I49" s="78"/>
      <c r="J49" s="78"/>
      <c r="K49" s="78"/>
      <c r="L49" s="78"/>
      <c r="M49" s="78"/>
      <c r="N49" s="78"/>
      <c r="O49" s="78"/>
      <c r="P49" s="78"/>
      <c r="Q49" s="103"/>
      <c r="R49" s="553"/>
      <c r="S49" s="553"/>
      <c r="T49" s="553"/>
      <c r="U49" s="553"/>
      <c r="V49" s="70"/>
      <c r="W49" s="78"/>
      <c r="X49" s="78"/>
      <c r="Y49" s="79"/>
      <c r="Z49" s="79"/>
      <c r="AA49" s="78"/>
      <c r="AB49" s="78"/>
      <c r="AC49" s="78"/>
      <c r="AD49" s="78"/>
      <c r="AE49" s="78"/>
      <c r="AF49" s="78"/>
      <c r="AG49" s="78"/>
      <c r="AH49" s="78"/>
      <c r="AI49" s="78"/>
      <c r="AJ49" s="78"/>
      <c r="AK49" s="78"/>
      <c r="AL49" s="78"/>
      <c r="AM49" s="81"/>
      <c r="AN49" s="101"/>
      <c r="AO49" s="78"/>
      <c r="AP49" s="78"/>
      <c r="AQ49" s="78"/>
      <c r="AR49" s="78"/>
      <c r="AS49" s="79"/>
    </row>
    <row r="50" spans="1:45" ht="20.25" customHeight="1">
      <c r="A50" s="78"/>
      <c r="B50" s="78"/>
      <c r="C50" s="81"/>
      <c r="D50" s="78"/>
      <c r="E50" s="78"/>
      <c r="F50" s="78"/>
      <c r="G50" s="78"/>
      <c r="H50" s="78"/>
      <c r="I50" s="78"/>
      <c r="J50" s="78"/>
      <c r="K50" s="78"/>
      <c r="L50" s="78"/>
      <c r="M50" s="78"/>
      <c r="N50" s="78"/>
      <c r="O50" s="78"/>
      <c r="P50" s="78"/>
      <c r="Q50" s="103"/>
      <c r="R50" s="553"/>
      <c r="S50" s="553"/>
      <c r="T50" s="553"/>
      <c r="U50" s="553"/>
      <c r="V50" s="70"/>
      <c r="W50" s="78"/>
      <c r="X50" s="78"/>
      <c r="Y50" s="79"/>
      <c r="Z50" s="79"/>
      <c r="AA50" s="78"/>
      <c r="AB50" s="78"/>
      <c r="AC50" s="78"/>
      <c r="AD50" s="78"/>
      <c r="AE50" s="78"/>
      <c r="AF50" s="78"/>
      <c r="AG50" s="78"/>
      <c r="AH50" s="78"/>
      <c r="AI50" s="78"/>
      <c r="AJ50" s="78"/>
      <c r="AK50" s="78"/>
      <c r="AL50" s="78"/>
      <c r="AM50" s="81"/>
      <c r="AN50" s="101"/>
      <c r="AO50" s="78"/>
      <c r="AP50" s="78"/>
      <c r="AQ50" s="78"/>
      <c r="AR50" s="78"/>
      <c r="AS50" s="79"/>
    </row>
    <row r="51" spans="1:45" ht="20.25" customHeight="1">
      <c r="A51" s="78"/>
      <c r="B51" s="78"/>
      <c r="C51" s="81"/>
      <c r="D51" s="78"/>
      <c r="E51" s="78"/>
      <c r="F51" s="78"/>
      <c r="G51" s="78"/>
      <c r="H51" s="78"/>
      <c r="I51" s="78"/>
      <c r="J51" s="78"/>
      <c r="K51" s="78"/>
      <c r="L51" s="78"/>
      <c r="M51" s="78"/>
      <c r="N51" s="78"/>
      <c r="O51" s="78"/>
      <c r="P51" s="78"/>
      <c r="Q51" s="103"/>
      <c r="R51" s="553"/>
      <c r="S51" s="553"/>
      <c r="T51" s="553"/>
      <c r="U51" s="553"/>
      <c r="V51" s="70"/>
      <c r="W51" s="78"/>
      <c r="X51" s="78"/>
      <c r="Y51" s="79"/>
      <c r="Z51" s="79"/>
      <c r="AA51" s="78"/>
      <c r="AB51" s="78"/>
      <c r="AC51" s="78"/>
      <c r="AD51" s="78"/>
      <c r="AE51" s="78"/>
      <c r="AF51" s="78"/>
      <c r="AG51" s="78"/>
      <c r="AH51" s="78"/>
      <c r="AI51" s="78"/>
      <c r="AJ51" s="78"/>
      <c r="AK51" s="78"/>
      <c r="AL51" s="78"/>
      <c r="AM51" s="81"/>
      <c r="AN51" s="101"/>
      <c r="AO51" s="78"/>
      <c r="AP51" s="78"/>
      <c r="AQ51" s="78"/>
      <c r="AR51" s="78"/>
      <c r="AS51" s="79"/>
    </row>
    <row r="52" spans="1:45" ht="20.25" customHeight="1">
      <c r="A52" s="78"/>
      <c r="B52" s="78"/>
      <c r="C52" s="81"/>
      <c r="D52" s="78"/>
      <c r="E52" s="78"/>
      <c r="F52" s="78"/>
      <c r="G52" s="78"/>
      <c r="H52" s="78"/>
      <c r="I52" s="78"/>
      <c r="J52" s="78"/>
      <c r="K52" s="78"/>
      <c r="L52" s="78"/>
      <c r="M52" s="78"/>
      <c r="N52" s="78"/>
      <c r="O52" s="78"/>
      <c r="P52" s="78"/>
      <c r="Q52" s="103"/>
      <c r="R52" s="553"/>
      <c r="S52" s="553"/>
      <c r="T52" s="553"/>
      <c r="U52" s="553"/>
      <c r="V52" s="70"/>
      <c r="W52" s="78"/>
      <c r="X52" s="78"/>
      <c r="Y52" s="79"/>
      <c r="Z52" s="79"/>
      <c r="AA52" s="78"/>
      <c r="AB52" s="78"/>
      <c r="AC52" s="78"/>
      <c r="AD52" s="78"/>
      <c r="AE52" s="78"/>
      <c r="AF52" s="78"/>
      <c r="AG52" s="78"/>
      <c r="AH52" s="78"/>
      <c r="AI52" s="78"/>
      <c r="AJ52" s="78"/>
      <c r="AK52" s="78"/>
      <c r="AL52" s="78"/>
      <c r="AM52" s="81"/>
      <c r="AN52" s="101"/>
      <c r="AO52" s="78"/>
      <c r="AP52" s="78"/>
      <c r="AQ52" s="78"/>
      <c r="AR52" s="78"/>
      <c r="AS52" s="79"/>
    </row>
    <row r="53" spans="1:45" ht="20.25" customHeight="1">
      <c r="A53" s="78"/>
      <c r="B53" s="78"/>
      <c r="C53" s="81"/>
      <c r="D53" s="78"/>
      <c r="E53" s="78"/>
      <c r="F53" s="78"/>
      <c r="G53" s="78"/>
      <c r="H53" s="78"/>
      <c r="I53" s="78"/>
      <c r="J53" s="78"/>
      <c r="K53" s="78"/>
      <c r="L53" s="78"/>
      <c r="M53" s="78"/>
      <c r="N53" s="78"/>
      <c r="O53" s="78"/>
      <c r="P53" s="78"/>
      <c r="Q53" s="103"/>
      <c r="R53" s="553"/>
      <c r="S53" s="553"/>
      <c r="T53" s="553"/>
      <c r="U53" s="553"/>
      <c r="V53" s="70"/>
      <c r="W53" s="78"/>
      <c r="X53" s="78"/>
      <c r="Y53" s="79"/>
      <c r="Z53" s="79"/>
      <c r="AA53" s="78"/>
      <c r="AB53" s="78"/>
      <c r="AC53" s="78"/>
      <c r="AD53" s="78"/>
      <c r="AE53" s="78"/>
      <c r="AF53" s="78"/>
      <c r="AG53" s="78"/>
      <c r="AH53" s="78"/>
      <c r="AI53" s="78"/>
      <c r="AJ53" s="78"/>
      <c r="AK53" s="78"/>
      <c r="AL53" s="78"/>
      <c r="AM53" s="81"/>
      <c r="AN53" s="101"/>
      <c r="AO53" s="78"/>
      <c r="AP53" s="78"/>
      <c r="AQ53" s="78"/>
      <c r="AR53" s="78"/>
      <c r="AS53" s="79"/>
    </row>
    <row r="54" spans="1:45" ht="20.25" customHeight="1">
      <c r="A54" s="78"/>
      <c r="B54" s="78"/>
      <c r="C54" s="81"/>
      <c r="D54" s="78"/>
      <c r="E54" s="78"/>
      <c r="F54" s="78"/>
      <c r="G54" s="78"/>
      <c r="H54" s="78"/>
      <c r="I54" s="78"/>
      <c r="J54" s="78"/>
      <c r="K54" s="78"/>
      <c r="L54" s="78"/>
      <c r="M54" s="78"/>
      <c r="N54" s="78"/>
      <c r="O54" s="78"/>
      <c r="P54" s="78"/>
      <c r="Q54" s="103"/>
      <c r="R54" s="553"/>
      <c r="S54" s="553"/>
      <c r="T54" s="553"/>
      <c r="U54" s="553"/>
      <c r="V54" s="70"/>
      <c r="W54" s="78"/>
      <c r="X54" s="78"/>
      <c r="Y54" s="79"/>
      <c r="Z54" s="79"/>
      <c r="AA54" s="78"/>
      <c r="AB54" s="78"/>
      <c r="AC54" s="78"/>
      <c r="AD54" s="78"/>
      <c r="AE54" s="78"/>
      <c r="AF54" s="78"/>
      <c r="AG54" s="78"/>
      <c r="AH54" s="78"/>
      <c r="AI54" s="78"/>
      <c r="AJ54" s="78"/>
      <c r="AK54" s="78"/>
      <c r="AL54" s="78"/>
      <c r="AM54" s="81"/>
      <c r="AN54" s="101"/>
      <c r="AO54" s="78"/>
      <c r="AP54" s="78"/>
      <c r="AQ54" s="78"/>
      <c r="AR54" s="78"/>
      <c r="AS54" s="79"/>
    </row>
    <row r="55" spans="1:45" ht="20.25" customHeight="1">
      <c r="A55" s="78"/>
      <c r="B55" s="78"/>
      <c r="C55" s="81"/>
      <c r="D55" s="78"/>
      <c r="E55" s="78"/>
      <c r="F55" s="78"/>
      <c r="G55" s="78"/>
      <c r="H55" s="78"/>
      <c r="I55" s="78"/>
      <c r="J55" s="78"/>
      <c r="K55" s="78"/>
      <c r="L55" s="78"/>
      <c r="M55" s="78"/>
      <c r="N55" s="78"/>
      <c r="O55" s="78"/>
      <c r="P55" s="78"/>
      <c r="Q55" s="103"/>
      <c r="R55" s="553"/>
      <c r="S55" s="553"/>
      <c r="T55" s="553"/>
      <c r="U55" s="553"/>
      <c r="V55" s="70"/>
      <c r="W55" s="78"/>
      <c r="X55" s="78"/>
      <c r="Y55" s="79"/>
      <c r="Z55" s="79"/>
      <c r="AA55" s="78"/>
      <c r="AB55" s="78"/>
      <c r="AC55" s="78"/>
      <c r="AD55" s="78"/>
      <c r="AE55" s="78"/>
      <c r="AF55" s="78"/>
      <c r="AG55" s="78"/>
      <c r="AH55" s="78"/>
      <c r="AI55" s="78"/>
      <c r="AJ55" s="78"/>
      <c r="AK55" s="78"/>
      <c r="AL55" s="78"/>
      <c r="AM55" s="81"/>
      <c r="AN55" s="101"/>
      <c r="AO55" s="78"/>
      <c r="AP55" s="78"/>
      <c r="AQ55" s="78"/>
      <c r="AR55" s="78"/>
      <c r="AS55" s="79"/>
    </row>
    <row r="56" spans="1:45" ht="20.25" customHeight="1">
      <c r="A56" s="78"/>
      <c r="B56" s="78"/>
      <c r="C56" s="81"/>
      <c r="D56" s="78"/>
      <c r="E56" s="78"/>
      <c r="F56" s="78"/>
      <c r="G56" s="78"/>
      <c r="H56" s="78"/>
      <c r="I56" s="78"/>
      <c r="J56" s="78"/>
      <c r="K56" s="78"/>
      <c r="L56" s="78"/>
      <c r="M56" s="78"/>
      <c r="N56" s="78"/>
      <c r="O56" s="78"/>
      <c r="P56" s="78"/>
      <c r="Q56" s="103"/>
      <c r="R56" s="553"/>
      <c r="S56" s="553"/>
      <c r="T56" s="553"/>
      <c r="U56" s="553"/>
      <c r="V56" s="70"/>
      <c r="W56" s="78"/>
      <c r="X56" s="78"/>
      <c r="Y56" s="79"/>
      <c r="Z56" s="79"/>
      <c r="AA56" s="78"/>
      <c r="AB56" s="78"/>
      <c r="AC56" s="78"/>
      <c r="AD56" s="78"/>
      <c r="AE56" s="78"/>
      <c r="AF56" s="78"/>
      <c r="AG56" s="78"/>
      <c r="AH56" s="78"/>
      <c r="AI56" s="78"/>
      <c r="AJ56" s="78"/>
      <c r="AK56" s="78"/>
      <c r="AL56" s="78"/>
      <c r="AM56" s="81"/>
      <c r="AN56" s="101"/>
      <c r="AO56" s="78"/>
      <c r="AP56" s="78"/>
      <c r="AQ56" s="78"/>
      <c r="AR56" s="78"/>
      <c r="AS56" s="79"/>
    </row>
    <row r="57" spans="1:45" ht="20.25" customHeight="1">
      <c r="A57" s="78"/>
      <c r="B57" s="78"/>
      <c r="C57" s="81"/>
      <c r="D57" s="78"/>
      <c r="E57" s="78"/>
      <c r="F57" s="78"/>
      <c r="G57" s="78"/>
      <c r="H57" s="78"/>
      <c r="I57" s="78"/>
      <c r="J57" s="78"/>
      <c r="K57" s="78"/>
      <c r="L57" s="78"/>
      <c r="M57" s="78"/>
      <c r="N57" s="78"/>
      <c r="O57" s="78"/>
      <c r="P57" s="78"/>
      <c r="Q57" s="103"/>
      <c r="R57" s="553"/>
      <c r="S57" s="553"/>
      <c r="T57" s="553"/>
      <c r="U57" s="553"/>
      <c r="V57" s="70"/>
      <c r="W57" s="78"/>
      <c r="X57" s="78"/>
      <c r="Y57" s="79"/>
      <c r="Z57" s="79"/>
      <c r="AA57" s="78"/>
      <c r="AB57" s="78"/>
      <c r="AC57" s="78"/>
      <c r="AD57" s="78"/>
      <c r="AE57" s="78"/>
      <c r="AF57" s="78"/>
      <c r="AG57" s="78"/>
      <c r="AH57" s="78"/>
      <c r="AI57" s="78"/>
      <c r="AJ57" s="78"/>
      <c r="AK57" s="78"/>
      <c r="AL57" s="78"/>
      <c r="AM57" s="81"/>
      <c r="AN57" s="101"/>
      <c r="AO57" s="78"/>
      <c r="AP57" s="78"/>
      <c r="AQ57" s="78"/>
      <c r="AR57" s="78"/>
      <c r="AS57" s="79"/>
    </row>
    <row r="58" spans="1:45" ht="20.25" customHeight="1">
      <c r="A58" s="78"/>
      <c r="B58" s="78"/>
      <c r="C58" s="81"/>
      <c r="D58" s="78"/>
      <c r="E58" s="78"/>
      <c r="F58" s="78"/>
      <c r="G58" s="78"/>
      <c r="H58" s="78"/>
      <c r="I58" s="78"/>
      <c r="J58" s="78"/>
      <c r="K58" s="78"/>
      <c r="L58" s="78"/>
      <c r="M58" s="78"/>
      <c r="N58" s="78"/>
      <c r="O58" s="78"/>
      <c r="P58" s="78"/>
      <c r="Q58" s="103"/>
      <c r="R58" s="553"/>
      <c r="S58" s="553"/>
      <c r="T58" s="553"/>
      <c r="U58" s="553"/>
      <c r="V58" s="70"/>
      <c r="W58" s="78"/>
      <c r="X58" s="78"/>
      <c r="Y58" s="79"/>
      <c r="Z58" s="79"/>
      <c r="AA58" s="78"/>
      <c r="AB58" s="78"/>
      <c r="AC58" s="78"/>
      <c r="AD58" s="78"/>
      <c r="AE58" s="78"/>
      <c r="AF58" s="78"/>
      <c r="AG58" s="78"/>
      <c r="AH58" s="78"/>
      <c r="AI58" s="78"/>
      <c r="AJ58" s="78"/>
      <c r="AK58" s="78"/>
      <c r="AL58" s="78"/>
      <c r="AM58" s="81"/>
      <c r="AN58" s="101"/>
      <c r="AO58" s="78"/>
      <c r="AP58" s="78"/>
      <c r="AQ58" s="78"/>
      <c r="AR58" s="78"/>
      <c r="AS58" s="79"/>
    </row>
    <row r="59" spans="1:45" ht="20.25" customHeight="1">
      <c r="A59" s="78"/>
      <c r="B59" s="78"/>
      <c r="C59" s="81"/>
      <c r="D59" s="78"/>
      <c r="E59" s="78"/>
      <c r="F59" s="78"/>
      <c r="G59" s="78"/>
      <c r="H59" s="78"/>
      <c r="I59" s="78"/>
      <c r="J59" s="78"/>
      <c r="K59" s="78"/>
      <c r="L59" s="78"/>
      <c r="M59" s="78"/>
      <c r="N59" s="78"/>
      <c r="O59" s="78"/>
      <c r="P59" s="78"/>
      <c r="Q59" s="103"/>
      <c r="R59" s="553"/>
      <c r="S59" s="553"/>
      <c r="T59" s="553"/>
      <c r="U59" s="553"/>
      <c r="V59" s="70"/>
      <c r="W59" s="78"/>
      <c r="X59" s="78"/>
      <c r="Y59" s="79"/>
      <c r="Z59" s="79"/>
      <c r="AA59" s="78"/>
      <c r="AB59" s="78"/>
      <c r="AC59" s="78"/>
      <c r="AD59" s="78"/>
      <c r="AE59" s="78"/>
      <c r="AF59" s="78"/>
      <c r="AG59" s="78"/>
      <c r="AH59" s="78"/>
      <c r="AI59" s="78"/>
      <c r="AJ59" s="78"/>
      <c r="AK59" s="78"/>
      <c r="AL59" s="78"/>
      <c r="AM59" s="81"/>
      <c r="AN59" s="101"/>
      <c r="AO59" s="78"/>
      <c r="AP59" s="78"/>
      <c r="AQ59" s="78"/>
      <c r="AR59" s="78"/>
      <c r="AS59" s="79"/>
    </row>
    <row r="60" spans="1:45" ht="20.25" customHeight="1">
      <c r="A60" s="78"/>
      <c r="B60" s="78"/>
      <c r="C60" s="81"/>
      <c r="D60" s="78"/>
      <c r="E60" s="78"/>
      <c r="F60" s="78"/>
      <c r="G60" s="78"/>
      <c r="H60" s="78"/>
      <c r="I60" s="78"/>
      <c r="J60" s="78"/>
      <c r="K60" s="78"/>
      <c r="L60" s="78"/>
      <c r="M60" s="78"/>
      <c r="N60" s="78"/>
      <c r="O60" s="78"/>
      <c r="P60" s="78"/>
      <c r="Q60" s="103"/>
      <c r="R60" s="553"/>
      <c r="S60" s="553"/>
      <c r="T60" s="553"/>
      <c r="U60" s="553"/>
      <c r="V60" s="70"/>
      <c r="W60" s="78"/>
      <c r="X60" s="78"/>
      <c r="Y60" s="79"/>
      <c r="Z60" s="79"/>
      <c r="AA60" s="78"/>
      <c r="AB60" s="78"/>
      <c r="AC60" s="78"/>
      <c r="AD60" s="78"/>
      <c r="AE60" s="78"/>
      <c r="AF60" s="78"/>
      <c r="AG60" s="78"/>
      <c r="AH60" s="78"/>
      <c r="AI60" s="78"/>
      <c r="AJ60" s="78"/>
      <c r="AK60" s="78"/>
      <c r="AL60" s="78"/>
      <c r="AM60" s="81"/>
      <c r="AN60" s="101"/>
      <c r="AO60" s="78"/>
      <c r="AP60" s="78"/>
      <c r="AQ60" s="78"/>
      <c r="AR60" s="78"/>
      <c r="AS60" s="79"/>
    </row>
    <row r="61" spans="1:45" ht="20.25" customHeight="1">
      <c r="A61" s="78"/>
      <c r="B61" s="78"/>
      <c r="C61" s="81"/>
      <c r="D61" s="78"/>
      <c r="E61" s="78"/>
      <c r="F61" s="78"/>
      <c r="G61" s="78"/>
      <c r="H61" s="78"/>
      <c r="I61" s="78"/>
      <c r="J61" s="78"/>
      <c r="K61" s="78"/>
      <c r="L61" s="78"/>
      <c r="M61" s="78"/>
      <c r="N61" s="78"/>
      <c r="O61" s="78"/>
      <c r="P61" s="78"/>
      <c r="Q61" s="103"/>
      <c r="R61" s="553"/>
      <c r="S61" s="553"/>
      <c r="T61" s="553"/>
      <c r="U61" s="553"/>
      <c r="V61" s="70"/>
      <c r="W61" s="78"/>
      <c r="X61" s="78"/>
      <c r="Y61" s="79"/>
      <c r="Z61" s="79"/>
      <c r="AA61" s="78"/>
      <c r="AB61" s="78"/>
      <c r="AC61" s="78"/>
      <c r="AD61" s="78"/>
      <c r="AE61" s="78"/>
      <c r="AF61" s="78"/>
      <c r="AG61" s="78"/>
      <c r="AH61" s="78"/>
      <c r="AI61" s="78"/>
      <c r="AJ61" s="78"/>
      <c r="AK61" s="78"/>
      <c r="AL61" s="78"/>
      <c r="AM61" s="81"/>
      <c r="AN61" s="101"/>
      <c r="AO61" s="78"/>
      <c r="AP61" s="78"/>
      <c r="AQ61" s="78"/>
      <c r="AR61" s="78"/>
      <c r="AS61" s="79"/>
    </row>
    <row r="62" spans="1:45" ht="20.25" customHeight="1">
      <c r="A62" s="78"/>
      <c r="B62" s="78"/>
      <c r="C62" s="81"/>
      <c r="D62" s="78"/>
      <c r="E62" s="78"/>
      <c r="F62" s="78"/>
      <c r="G62" s="78"/>
      <c r="H62" s="78"/>
      <c r="I62" s="78"/>
      <c r="J62" s="78"/>
      <c r="K62" s="78"/>
      <c r="L62" s="78"/>
      <c r="M62" s="78"/>
      <c r="N62" s="78"/>
      <c r="O62" s="78"/>
      <c r="P62" s="78"/>
      <c r="Q62" s="103"/>
      <c r="R62" s="553"/>
      <c r="S62" s="553"/>
      <c r="T62" s="553"/>
      <c r="U62" s="553"/>
      <c r="V62" s="70"/>
      <c r="W62" s="78"/>
      <c r="X62" s="78"/>
      <c r="Y62" s="79"/>
      <c r="Z62" s="79"/>
      <c r="AA62" s="78"/>
      <c r="AB62" s="78"/>
      <c r="AC62" s="78"/>
      <c r="AD62" s="78"/>
      <c r="AE62" s="78"/>
      <c r="AF62" s="78"/>
      <c r="AG62" s="78"/>
      <c r="AH62" s="78"/>
      <c r="AI62" s="78"/>
      <c r="AJ62" s="78"/>
      <c r="AK62" s="78"/>
      <c r="AL62" s="78"/>
      <c r="AM62" s="81"/>
      <c r="AN62" s="101"/>
      <c r="AO62" s="78"/>
      <c r="AP62" s="78"/>
      <c r="AQ62" s="78"/>
      <c r="AR62" s="78"/>
      <c r="AS62" s="79"/>
    </row>
    <row r="63" spans="1:45" ht="20.25" customHeight="1">
      <c r="A63" s="78"/>
      <c r="B63" s="78"/>
      <c r="C63" s="81"/>
      <c r="D63" s="78"/>
      <c r="E63" s="78"/>
      <c r="F63" s="78"/>
      <c r="G63" s="78"/>
      <c r="H63" s="78"/>
      <c r="I63" s="78"/>
      <c r="J63" s="78"/>
      <c r="K63" s="78"/>
      <c r="L63" s="78"/>
      <c r="M63" s="78"/>
      <c r="N63" s="78"/>
      <c r="O63" s="78"/>
      <c r="P63" s="78"/>
      <c r="Q63" s="103"/>
      <c r="R63" s="553"/>
      <c r="S63" s="553"/>
      <c r="T63" s="553"/>
      <c r="U63" s="553"/>
      <c r="V63" s="70"/>
      <c r="W63" s="78"/>
      <c r="X63" s="78"/>
      <c r="Y63" s="79"/>
      <c r="Z63" s="79"/>
      <c r="AA63" s="78"/>
      <c r="AB63" s="78"/>
      <c r="AC63" s="78"/>
      <c r="AD63" s="78"/>
      <c r="AE63" s="78"/>
      <c r="AF63" s="78"/>
      <c r="AG63" s="78"/>
      <c r="AH63" s="78"/>
      <c r="AI63" s="78"/>
      <c r="AJ63" s="78"/>
      <c r="AK63" s="78"/>
      <c r="AL63" s="78"/>
      <c r="AM63" s="81"/>
      <c r="AN63" s="101"/>
      <c r="AO63" s="78"/>
      <c r="AP63" s="78"/>
      <c r="AQ63" s="78"/>
      <c r="AR63" s="78"/>
      <c r="AS63" s="79"/>
    </row>
    <row r="64" spans="1:45" ht="20.25" customHeight="1">
      <c r="A64" s="78"/>
      <c r="B64" s="78"/>
      <c r="C64" s="81"/>
      <c r="D64" s="78"/>
      <c r="E64" s="78"/>
      <c r="F64" s="78"/>
      <c r="G64" s="78"/>
      <c r="H64" s="78"/>
      <c r="I64" s="78"/>
      <c r="J64" s="78"/>
      <c r="K64" s="78"/>
      <c r="L64" s="78"/>
      <c r="M64" s="78"/>
      <c r="N64" s="78"/>
      <c r="O64" s="78"/>
      <c r="P64" s="78"/>
      <c r="Q64" s="103"/>
      <c r="R64" s="553"/>
      <c r="S64" s="553"/>
      <c r="T64" s="553"/>
      <c r="U64" s="553"/>
      <c r="V64" s="70"/>
      <c r="W64" s="78"/>
      <c r="X64" s="78"/>
      <c r="Y64" s="79"/>
      <c r="Z64" s="79"/>
      <c r="AA64" s="78"/>
      <c r="AB64" s="78"/>
      <c r="AC64" s="78"/>
      <c r="AD64" s="78"/>
      <c r="AE64" s="78"/>
      <c r="AF64" s="78"/>
      <c r="AG64" s="78"/>
      <c r="AH64" s="78"/>
      <c r="AI64" s="78"/>
      <c r="AJ64" s="78"/>
      <c r="AK64" s="78"/>
      <c r="AL64" s="78"/>
      <c r="AM64" s="81"/>
      <c r="AN64" s="101"/>
      <c r="AO64" s="78"/>
      <c r="AP64" s="78"/>
      <c r="AQ64" s="78"/>
      <c r="AR64" s="78"/>
      <c r="AS64" s="79"/>
    </row>
    <row r="65" spans="1:45" ht="20.25" customHeight="1">
      <c r="A65" s="78"/>
      <c r="B65" s="78"/>
      <c r="C65" s="81"/>
      <c r="D65" s="78"/>
      <c r="E65" s="78"/>
      <c r="F65" s="78"/>
      <c r="G65" s="78"/>
      <c r="H65" s="78"/>
      <c r="I65" s="78"/>
      <c r="J65" s="78"/>
      <c r="K65" s="78"/>
      <c r="L65" s="78"/>
      <c r="M65" s="78"/>
      <c r="N65" s="78"/>
      <c r="O65" s="78"/>
      <c r="P65" s="78"/>
      <c r="Q65" s="103"/>
      <c r="R65" s="553"/>
      <c r="S65" s="553"/>
      <c r="T65" s="553"/>
      <c r="U65" s="553"/>
      <c r="V65" s="70"/>
      <c r="W65" s="78"/>
      <c r="X65" s="78"/>
      <c r="Y65" s="79"/>
      <c r="Z65" s="79"/>
      <c r="AA65" s="78"/>
      <c r="AB65" s="78"/>
      <c r="AC65" s="78"/>
      <c r="AD65" s="78"/>
      <c r="AE65" s="78"/>
      <c r="AF65" s="78"/>
      <c r="AG65" s="78"/>
      <c r="AH65" s="78"/>
      <c r="AI65" s="78"/>
      <c r="AJ65" s="78"/>
      <c r="AK65" s="78"/>
      <c r="AL65" s="78"/>
      <c r="AM65" s="81"/>
      <c r="AN65" s="101"/>
      <c r="AO65" s="78"/>
      <c r="AP65" s="78"/>
      <c r="AQ65" s="78"/>
      <c r="AR65" s="78"/>
      <c r="AS65" s="79"/>
    </row>
    <row r="66" spans="1:45" ht="20.25" customHeight="1">
      <c r="A66" s="78"/>
      <c r="B66" s="78"/>
      <c r="C66" s="81"/>
      <c r="D66" s="78"/>
      <c r="E66" s="78"/>
      <c r="F66" s="78"/>
      <c r="G66" s="78"/>
      <c r="H66" s="78"/>
      <c r="I66" s="78"/>
      <c r="J66" s="78"/>
      <c r="K66" s="78"/>
      <c r="L66" s="78"/>
      <c r="M66" s="78"/>
      <c r="N66" s="78"/>
      <c r="O66" s="78"/>
      <c r="P66" s="78"/>
      <c r="Q66" s="103"/>
      <c r="R66" s="553"/>
      <c r="S66" s="553"/>
      <c r="T66" s="553"/>
      <c r="U66" s="553"/>
      <c r="V66" s="70"/>
      <c r="W66" s="78"/>
      <c r="X66" s="78"/>
      <c r="Y66" s="79"/>
      <c r="Z66" s="79"/>
      <c r="AA66" s="78"/>
      <c r="AB66" s="78"/>
      <c r="AC66" s="78"/>
      <c r="AD66" s="78"/>
      <c r="AE66" s="78"/>
      <c r="AF66" s="78"/>
      <c r="AG66" s="78"/>
      <c r="AH66" s="78"/>
      <c r="AI66" s="78"/>
      <c r="AJ66" s="78"/>
      <c r="AK66" s="78"/>
      <c r="AL66" s="78"/>
      <c r="AM66" s="81"/>
      <c r="AN66" s="101"/>
      <c r="AO66" s="78"/>
      <c r="AP66" s="78"/>
      <c r="AQ66" s="78"/>
      <c r="AR66" s="78"/>
      <c r="AS66" s="79"/>
    </row>
    <row r="67" spans="1:45" ht="20.25" customHeight="1">
      <c r="A67" s="78"/>
      <c r="B67" s="78"/>
      <c r="C67" s="81"/>
      <c r="D67" s="78"/>
      <c r="E67" s="78"/>
      <c r="F67" s="78"/>
      <c r="G67" s="78"/>
      <c r="H67" s="78"/>
      <c r="I67" s="78"/>
      <c r="J67" s="78"/>
      <c r="K67" s="78"/>
      <c r="L67" s="78"/>
      <c r="M67" s="78"/>
      <c r="N67" s="78"/>
      <c r="O67" s="78"/>
      <c r="P67" s="78"/>
      <c r="Q67" s="103"/>
      <c r="R67" s="553"/>
      <c r="S67" s="553"/>
      <c r="T67" s="553"/>
      <c r="U67" s="553"/>
      <c r="V67" s="70"/>
      <c r="W67" s="78"/>
      <c r="X67" s="78"/>
      <c r="Y67" s="79"/>
      <c r="Z67" s="79"/>
      <c r="AA67" s="78"/>
      <c r="AB67" s="78"/>
      <c r="AC67" s="78"/>
      <c r="AD67" s="78"/>
      <c r="AE67" s="78"/>
      <c r="AF67" s="78"/>
      <c r="AG67" s="78"/>
      <c r="AH67" s="78"/>
      <c r="AI67" s="78"/>
      <c r="AJ67" s="78"/>
      <c r="AK67" s="78"/>
      <c r="AL67" s="78"/>
      <c r="AM67" s="81"/>
      <c r="AN67" s="101"/>
      <c r="AO67" s="78"/>
      <c r="AP67" s="78"/>
      <c r="AQ67" s="78"/>
      <c r="AR67" s="78"/>
      <c r="AS67" s="79"/>
    </row>
    <row r="68" spans="1:45" ht="20.25" customHeight="1">
      <c r="A68" s="78"/>
      <c r="B68" s="78"/>
      <c r="C68" s="81"/>
      <c r="D68" s="78"/>
      <c r="E68" s="78"/>
      <c r="F68" s="78"/>
      <c r="G68" s="78"/>
      <c r="H68" s="78"/>
      <c r="I68" s="78"/>
      <c r="J68" s="78"/>
      <c r="K68" s="78"/>
      <c r="L68" s="78"/>
      <c r="M68" s="78"/>
      <c r="N68" s="78"/>
      <c r="O68" s="78"/>
      <c r="P68" s="78"/>
      <c r="Q68" s="103"/>
      <c r="R68" s="553"/>
      <c r="S68" s="553"/>
      <c r="T68" s="553"/>
      <c r="U68" s="553"/>
      <c r="V68" s="70"/>
      <c r="W68" s="78"/>
      <c r="X68" s="78"/>
      <c r="Y68" s="79"/>
      <c r="Z68" s="79"/>
      <c r="AA68" s="78"/>
      <c r="AB68" s="78"/>
      <c r="AC68" s="78"/>
      <c r="AD68" s="78"/>
      <c r="AE68" s="78"/>
      <c r="AF68" s="78"/>
      <c r="AG68" s="78"/>
      <c r="AH68" s="78"/>
      <c r="AI68" s="78"/>
      <c r="AJ68" s="78"/>
      <c r="AK68" s="78"/>
      <c r="AL68" s="78"/>
      <c r="AM68" s="81"/>
      <c r="AN68" s="101"/>
      <c r="AO68" s="78"/>
      <c r="AP68" s="78"/>
      <c r="AQ68" s="78"/>
      <c r="AR68" s="78"/>
      <c r="AS68" s="79"/>
    </row>
    <row r="69" spans="1:45" ht="20.25" customHeight="1">
      <c r="A69" s="78"/>
      <c r="B69" s="78"/>
      <c r="C69" s="81"/>
      <c r="D69" s="78"/>
      <c r="E69" s="78"/>
      <c r="F69" s="78"/>
      <c r="G69" s="78"/>
      <c r="H69" s="78"/>
      <c r="I69" s="78"/>
      <c r="J69" s="78"/>
      <c r="K69" s="78"/>
      <c r="L69" s="78"/>
      <c r="M69" s="78"/>
      <c r="N69" s="78"/>
      <c r="O69" s="78"/>
      <c r="P69" s="78"/>
      <c r="Q69" s="103"/>
      <c r="R69" s="553"/>
      <c r="S69" s="553"/>
      <c r="T69" s="553"/>
      <c r="U69" s="553"/>
      <c r="V69" s="70"/>
      <c r="W69" s="78"/>
      <c r="X69" s="78"/>
      <c r="Y69" s="79"/>
      <c r="Z69" s="79"/>
      <c r="AA69" s="78"/>
      <c r="AB69" s="78"/>
      <c r="AC69" s="78"/>
      <c r="AD69" s="78"/>
      <c r="AE69" s="78"/>
      <c r="AF69" s="78"/>
      <c r="AG69" s="78"/>
      <c r="AH69" s="78"/>
      <c r="AI69" s="78"/>
      <c r="AJ69" s="78"/>
      <c r="AK69" s="78"/>
      <c r="AL69" s="78"/>
      <c r="AM69" s="81"/>
      <c r="AN69" s="101"/>
      <c r="AO69" s="78"/>
      <c r="AP69" s="78"/>
      <c r="AQ69" s="78"/>
      <c r="AR69" s="78"/>
      <c r="AS69" s="79"/>
    </row>
    <row r="70" spans="1:45" ht="20.25" customHeight="1">
      <c r="A70" s="78"/>
      <c r="B70" s="78"/>
      <c r="C70" s="81"/>
      <c r="D70" s="78"/>
      <c r="E70" s="78"/>
      <c r="F70" s="78"/>
      <c r="G70" s="78"/>
      <c r="H70" s="78"/>
      <c r="I70" s="78"/>
      <c r="J70" s="78"/>
      <c r="K70" s="78"/>
      <c r="L70" s="78"/>
      <c r="M70" s="78"/>
      <c r="N70" s="78"/>
      <c r="O70" s="78"/>
      <c r="P70" s="78"/>
      <c r="Q70" s="103"/>
      <c r="R70" s="553"/>
      <c r="S70" s="553"/>
      <c r="T70" s="553"/>
      <c r="U70" s="553"/>
      <c r="V70" s="70"/>
      <c r="W70" s="78"/>
      <c r="X70" s="78"/>
      <c r="Y70" s="79"/>
      <c r="Z70" s="79"/>
      <c r="AA70" s="78"/>
      <c r="AB70" s="78"/>
      <c r="AC70" s="78"/>
      <c r="AD70" s="78"/>
      <c r="AE70" s="78"/>
      <c r="AF70" s="78"/>
      <c r="AG70" s="78"/>
      <c r="AH70" s="78"/>
      <c r="AI70" s="78"/>
      <c r="AJ70" s="78"/>
      <c r="AK70" s="78"/>
      <c r="AL70" s="78"/>
      <c r="AM70" s="81"/>
      <c r="AN70" s="101"/>
      <c r="AO70" s="78"/>
      <c r="AP70" s="78"/>
      <c r="AQ70" s="78"/>
      <c r="AR70" s="78"/>
      <c r="AS70" s="79"/>
    </row>
    <row r="71" spans="1:45" ht="20.25" customHeight="1">
      <c r="A71" s="78"/>
      <c r="B71" s="78"/>
      <c r="C71" s="81"/>
      <c r="D71" s="78"/>
      <c r="E71" s="78"/>
      <c r="F71" s="78"/>
      <c r="G71" s="78"/>
      <c r="H71" s="78"/>
      <c r="I71" s="78"/>
      <c r="J71" s="78"/>
      <c r="K71" s="78"/>
      <c r="L71" s="78"/>
      <c r="M71" s="78"/>
      <c r="N71" s="78"/>
      <c r="O71" s="78"/>
      <c r="P71" s="78"/>
      <c r="Q71" s="103"/>
      <c r="R71" s="553"/>
      <c r="S71" s="553"/>
      <c r="T71" s="553"/>
      <c r="U71" s="553"/>
      <c r="V71" s="70"/>
      <c r="W71" s="78"/>
      <c r="X71" s="78"/>
      <c r="Y71" s="79"/>
      <c r="Z71" s="79"/>
      <c r="AA71" s="78"/>
      <c r="AB71" s="78"/>
      <c r="AC71" s="78"/>
      <c r="AD71" s="78"/>
      <c r="AE71" s="78"/>
      <c r="AF71" s="78"/>
      <c r="AG71" s="78"/>
      <c r="AH71" s="78"/>
      <c r="AI71" s="78"/>
      <c r="AJ71" s="78"/>
      <c r="AK71" s="78"/>
      <c r="AL71" s="78"/>
      <c r="AM71" s="81"/>
      <c r="AN71" s="101"/>
      <c r="AO71" s="78"/>
      <c r="AP71" s="78"/>
      <c r="AQ71" s="78"/>
      <c r="AR71" s="78"/>
      <c r="AS71" s="79"/>
    </row>
    <row r="72" spans="1:45" ht="20.25" customHeight="1">
      <c r="A72" s="78"/>
      <c r="B72" s="78"/>
      <c r="C72" s="81"/>
      <c r="D72" s="78"/>
      <c r="E72" s="78"/>
      <c r="F72" s="78"/>
      <c r="G72" s="78"/>
      <c r="H72" s="78"/>
      <c r="I72" s="78"/>
      <c r="J72" s="78"/>
      <c r="K72" s="78"/>
      <c r="L72" s="78"/>
      <c r="M72" s="78"/>
      <c r="N72" s="78"/>
      <c r="O72" s="78"/>
      <c r="P72" s="78"/>
      <c r="Q72" s="103"/>
      <c r="R72" s="553"/>
      <c r="S72" s="553"/>
      <c r="T72" s="553"/>
      <c r="U72" s="553"/>
      <c r="V72" s="70"/>
      <c r="W72" s="78"/>
      <c r="X72" s="78"/>
      <c r="Y72" s="79"/>
      <c r="Z72" s="79"/>
      <c r="AA72" s="78"/>
      <c r="AB72" s="78"/>
      <c r="AC72" s="78"/>
      <c r="AD72" s="78"/>
      <c r="AE72" s="78"/>
      <c r="AF72" s="78"/>
      <c r="AG72" s="78"/>
      <c r="AH72" s="78"/>
      <c r="AI72" s="78"/>
      <c r="AJ72" s="78"/>
      <c r="AK72" s="78"/>
      <c r="AL72" s="78"/>
      <c r="AM72" s="81"/>
      <c r="AN72" s="101"/>
      <c r="AO72" s="78"/>
      <c r="AP72" s="78"/>
      <c r="AQ72" s="78"/>
      <c r="AR72" s="78"/>
      <c r="AS72" s="79"/>
    </row>
    <row r="73" spans="1:45" ht="20.25" customHeight="1">
      <c r="A73" s="78"/>
      <c r="B73" s="78"/>
      <c r="C73" s="81"/>
      <c r="D73" s="78"/>
      <c r="E73" s="78"/>
      <c r="F73" s="78"/>
      <c r="G73" s="78"/>
      <c r="H73" s="78"/>
      <c r="I73" s="78"/>
      <c r="J73" s="78"/>
      <c r="K73" s="78"/>
      <c r="L73" s="78"/>
      <c r="M73" s="78"/>
      <c r="N73" s="78"/>
      <c r="O73" s="78"/>
      <c r="P73" s="78"/>
      <c r="Q73" s="103"/>
      <c r="R73" s="553"/>
      <c r="S73" s="553"/>
      <c r="T73" s="553"/>
      <c r="U73" s="553"/>
      <c r="V73" s="70"/>
      <c r="W73" s="78"/>
      <c r="X73" s="78"/>
      <c r="Y73" s="79"/>
      <c r="Z73" s="79"/>
      <c r="AA73" s="78"/>
      <c r="AB73" s="78"/>
      <c r="AC73" s="78"/>
      <c r="AD73" s="78"/>
      <c r="AE73" s="78"/>
      <c r="AF73" s="78"/>
      <c r="AG73" s="78"/>
      <c r="AH73" s="78"/>
      <c r="AI73" s="78"/>
      <c r="AJ73" s="78"/>
      <c r="AK73" s="78"/>
      <c r="AL73" s="78"/>
      <c r="AM73" s="81"/>
      <c r="AN73" s="101"/>
      <c r="AO73" s="78"/>
      <c r="AP73" s="78"/>
      <c r="AQ73" s="78"/>
      <c r="AR73" s="78"/>
      <c r="AS73" s="79"/>
    </row>
    <row r="74" spans="1:45" ht="20.25" customHeight="1">
      <c r="A74" s="78"/>
      <c r="B74" s="78"/>
      <c r="C74" s="81"/>
      <c r="D74" s="78"/>
      <c r="E74" s="78"/>
      <c r="F74" s="78"/>
      <c r="G74" s="78"/>
      <c r="H74" s="78"/>
      <c r="I74" s="78"/>
      <c r="J74" s="78"/>
      <c r="K74" s="78"/>
      <c r="L74" s="78"/>
      <c r="M74" s="78"/>
      <c r="N74" s="78"/>
      <c r="O74" s="78"/>
      <c r="P74" s="78"/>
      <c r="Q74" s="103"/>
      <c r="R74" s="553"/>
      <c r="S74" s="553"/>
      <c r="T74" s="553"/>
      <c r="U74" s="553"/>
      <c r="V74" s="70"/>
      <c r="W74" s="78"/>
      <c r="X74" s="78"/>
      <c r="Y74" s="79"/>
      <c r="Z74" s="79"/>
      <c r="AA74" s="78"/>
      <c r="AB74" s="78"/>
      <c r="AC74" s="78"/>
      <c r="AD74" s="78"/>
      <c r="AE74" s="78"/>
      <c r="AF74" s="78"/>
      <c r="AG74" s="78"/>
      <c r="AH74" s="78"/>
      <c r="AI74" s="78"/>
      <c r="AJ74" s="78"/>
      <c r="AK74" s="78"/>
      <c r="AL74" s="78"/>
      <c r="AM74" s="81"/>
      <c r="AN74" s="101"/>
      <c r="AO74" s="78"/>
      <c r="AP74" s="78"/>
      <c r="AQ74" s="78"/>
      <c r="AR74" s="78"/>
      <c r="AS74" s="79"/>
    </row>
    <row r="75" spans="1:45" ht="20.25" customHeight="1">
      <c r="A75" s="78"/>
      <c r="B75" s="78"/>
      <c r="C75" s="81"/>
      <c r="D75" s="78"/>
      <c r="E75" s="78"/>
      <c r="F75" s="78"/>
      <c r="G75" s="78"/>
      <c r="H75" s="78"/>
      <c r="I75" s="78"/>
      <c r="J75" s="78"/>
      <c r="K75" s="78"/>
      <c r="L75" s="78"/>
      <c r="M75" s="78"/>
      <c r="N75" s="78"/>
      <c r="O75" s="78"/>
      <c r="P75" s="78"/>
      <c r="Q75" s="103"/>
      <c r="R75" s="553"/>
      <c r="S75" s="553"/>
      <c r="T75" s="553"/>
      <c r="U75" s="553"/>
      <c r="V75" s="70"/>
      <c r="W75" s="78"/>
      <c r="X75" s="78"/>
      <c r="Y75" s="79"/>
      <c r="Z75" s="79"/>
      <c r="AA75" s="78"/>
      <c r="AB75" s="78"/>
      <c r="AC75" s="78"/>
      <c r="AD75" s="78"/>
      <c r="AE75" s="78"/>
      <c r="AF75" s="78"/>
      <c r="AG75" s="78"/>
      <c r="AH75" s="78"/>
      <c r="AI75" s="78"/>
      <c r="AJ75" s="78"/>
      <c r="AK75" s="78"/>
      <c r="AL75" s="78"/>
      <c r="AM75" s="81"/>
      <c r="AN75" s="101"/>
      <c r="AO75" s="78"/>
      <c r="AP75" s="78"/>
      <c r="AQ75" s="78"/>
      <c r="AR75" s="78"/>
      <c r="AS75" s="79"/>
    </row>
    <row r="76" spans="1:45" ht="20.25" customHeight="1">
      <c r="A76" s="78"/>
      <c r="B76" s="78"/>
      <c r="C76" s="81"/>
      <c r="D76" s="78"/>
      <c r="E76" s="78"/>
      <c r="F76" s="78"/>
      <c r="G76" s="78"/>
      <c r="H76" s="78"/>
      <c r="I76" s="78"/>
      <c r="J76" s="78"/>
      <c r="K76" s="78"/>
      <c r="L76" s="78"/>
      <c r="M76" s="78"/>
      <c r="N76" s="78"/>
      <c r="O76" s="78"/>
      <c r="P76" s="78"/>
      <c r="Q76" s="103"/>
      <c r="R76" s="553"/>
      <c r="S76" s="553"/>
      <c r="T76" s="553"/>
      <c r="U76" s="553"/>
      <c r="V76" s="70"/>
      <c r="W76" s="78"/>
      <c r="X76" s="78"/>
      <c r="Y76" s="79"/>
      <c r="Z76" s="79"/>
      <c r="AA76" s="78"/>
      <c r="AB76" s="78"/>
      <c r="AC76" s="78"/>
      <c r="AD76" s="78"/>
      <c r="AE76" s="78"/>
      <c r="AF76" s="78"/>
      <c r="AG76" s="78"/>
      <c r="AH76" s="78"/>
      <c r="AI76" s="78"/>
      <c r="AJ76" s="78"/>
      <c r="AK76" s="78"/>
      <c r="AL76" s="78"/>
      <c r="AM76" s="81"/>
      <c r="AN76" s="101"/>
      <c r="AO76" s="78"/>
      <c r="AP76" s="78"/>
      <c r="AQ76" s="78"/>
      <c r="AR76" s="78"/>
      <c r="AS76" s="79"/>
    </row>
    <row r="77" spans="1:45" ht="20.25" customHeight="1">
      <c r="A77" s="78"/>
      <c r="B77" s="78"/>
      <c r="C77" s="81"/>
      <c r="D77" s="78"/>
      <c r="E77" s="78"/>
      <c r="F77" s="78"/>
      <c r="G77" s="78"/>
      <c r="H77" s="78"/>
      <c r="I77" s="78"/>
      <c r="J77" s="78"/>
      <c r="K77" s="78"/>
      <c r="L77" s="78"/>
      <c r="M77" s="78"/>
      <c r="N77" s="78"/>
      <c r="O77" s="78"/>
      <c r="P77" s="78"/>
      <c r="Q77" s="103"/>
      <c r="R77" s="553"/>
      <c r="S77" s="553"/>
      <c r="T77" s="553"/>
      <c r="U77" s="553"/>
      <c r="V77" s="70"/>
      <c r="W77" s="78"/>
      <c r="X77" s="78"/>
      <c r="Y77" s="79"/>
      <c r="Z77" s="79"/>
      <c r="AA77" s="78"/>
      <c r="AB77" s="78"/>
      <c r="AC77" s="78"/>
      <c r="AD77" s="78"/>
      <c r="AE77" s="78"/>
      <c r="AF77" s="78"/>
      <c r="AG77" s="78"/>
      <c r="AH77" s="78"/>
      <c r="AI77" s="78"/>
      <c r="AJ77" s="78"/>
      <c r="AK77" s="78"/>
      <c r="AL77" s="78"/>
      <c r="AM77" s="81"/>
      <c r="AN77" s="101"/>
      <c r="AO77" s="78"/>
      <c r="AP77" s="78"/>
      <c r="AQ77" s="78"/>
      <c r="AR77" s="78"/>
      <c r="AS77" s="79"/>
    </row>
    <row r="78" spans="1:45" ht="20.25" customHeight="1">
      <c r="A78" s="78"/>
      <c r="B78" s="78"/>
      <c r="C78" s="81"/>
      <c r="D78" s="78"/>
      <c r="E78" s="78"/>
      <c r="F78" s="78"/>
      <c r="G78" s="78"/>
      <c r="H78" s="78"/>
      <c r="I78" s="78"/>
      <c r="J78" s="78"/>
      <c r="K78" s="78"/>
      <c r="L78" s="78"/>
      <c r="M78" s="78"/>
      <c r="N78" s="78"/>
      <c r="O78" s="78"/>
      <c r="P78" s="78"/>
      <c r="Q78" s="103"/>
      <c r="R78" s="553"/>
      <c r="S78" s="553"/>
      <c r="T78" s="553"/>
      <c r="U78" s="553"/>
      <c r="V78" s="70"/>
      <c r="W78" s="78"/>
      <c r="X78" s="78"/>
      <c r="Y78" s="79"/>
      <c r="Z78" s="79"/>
      <c r="AA78" s="78"/>
      <c r="AB78" s="78"/>
      <c r="AC78" s="78"/>
      <c r="AD78" s="78"/>
      <c r="AE78" s="78"/>
      <c r="AF78" s="78"/>
      <c r="AG78" s="78"/>
      <c r="AH78" s="78"/>
      <c r="AI78" s="78"/>
      <c r="AJ78" s="78"/>
      <c r="AK78" s="78"/>
      <c r="AL78" s="78"/>
      <c r="AM78" s="81"/>
      <c r="AN78" s="101"/>
      <c r="AO78" s="78"/>
      <c r="AP78" s="78"/>
      <c r="AQ78" s="78"/>
      <c r="AR78" s="78"/>
      <c r="AS78" s="79"/>
    </row>
    <row r="79" spans="1:45" ht="20.25" customHeight="1">
      <c r="A79" s="78"/>
      <c r="B79" s="78"/>
      <c r="C79" s="81"/>
      <c r="D79" s="78"/>
      <c r="E79" s="78"/>
      <c r="F79" s="78"/>
      <c r="G79" s="78"/>
      <c r="H79" s="78"/>
      <c r="I79" s="78"/>
      <c r="J79" s="78"/>
      <c r="K79" s="78"/>
      <c r="L79" s="78"/>
      <c r="M79" s="78"/>
      <c r="N79" s="78"/>
      <c r="O79" s="78"/>
      <c r="P79" s="78"/>
      <c r="Q79" s="103"/>
      <c r="R79" s="553"/>
      <c r="S79" s="553"/>
      <c r="T79" s="553"/>
      <c r="U79" s="553"/>
      <c r="V79" s="70"/>
      <c r="W79" s="78"/>
      <c r="X79" s="78"/>
      <c r="Y79" s="79"/>
      <c r="Z79" s="79"/>
      <c r="AA79" s="78"/>
      <c r="AB79" s="78"/>
      <c r="AC79" s="78"/>
      <c r="AD79" s="78"/>
      <c r="AE79" s="78"/>
      <c r="AF79" s="78"/>
      <c r="AG79" s="78"/>
      <c r="AH79" s="78"/>
      <c r="AI79" s="78"/>
      <c r="AJ79" s="78"/>
      <c r="AK79" s="78"/>
      <c r="AL79" s="78"/>
      <c r="AM79" s="81"/>
      <c r="AN79" s="101"/>
      <c r="AO79" s="78"/>
      <c r="AP79" s="78"/>
      <c r="AQ79" s="78"/>
      <c r="AR79" s="78"/>
      <c r="AS79" s="79"/>
    </row>
    <row r="80" spans="1:45" ht="20.25" customHeight="1">
      <c r="A80" s="78"/>
      <c r="B80" s="78"/>
      <c r="C80" s="81"/>
      <c r="D80" s="78"/>
      <c r="E80" s="78"/>
      <c r="F80" s="78"/>
      <c r="G80" s="78"/>
      <c r="H80" s="78"/>
      <c r="I80" s="78"/>
      <c r="J80" s="78"/>
      <c r="K80" s="78"/>
      <c r="L80" s="78"/>
      <c r="M80" s="78"/>
      <c r="N80" s="78"/>
      <c r="O80" s="78"/>
      <c r="P80" s="78"/>
      <c r="Q80" s="103"/>
      <c r="R80" s="553"/>
      <c r="S80" s="553"/>
      <c r="T80" s="553"/>
      <c r="U80" s="553"/>
      <c r="V80" s="70"/>
      <c r="W80" s="78"/>
      <c r="X80" s="78"/>
      <c r="Y80" s="79"/>
      <c r="Z80" s="79"/>
      <c r="AA80" s="78"/>
      <c r="AB80" s="78"/>
      <c r="AC80" s="78"/>
      <c r="AD80" s="78"/>
      <c r="AE80" s="78"/>
      <c r="AF80" s="78"/>
      <c r="AG80" s="78"/>
      <c r="AH80" s="78"/>
      <c r="AI80" s="78"/>
      <c r="AJ80" s="78"/>
      <c r="AK80" s="78"/>
      <c r="AL80" s="78"/>
      <c r="AM80" s="81"/>
      <c r="AN80" s="101"/>
      <c r="AO80" s="78"/>
      <c r="AP80" s="78"/>
      <c r="AQ80" s="78"/>
      <c r="AR80" s="78"/>
      <c r="AS80" s="79"/>
    </row>
    <row r="81" spans="1:45" ht="20.25" customHeight="1">
      <c r="A81" s="78"/>
      <c r="B81" s="78"/>
      <c r="C81" s="81"/>
      <c r="D81" s="78"/>
      <c r="E81" s="78"/>
      <c r="F81" s="78"/>
      <c r="G81" s="78"/>
      <c r="H81" s="78"/>
      <c r="I81" s="78"/>
      <c r="J81" s="78"/>
      <c r="K81" s="78"/>
      <c r="L81" s="78"/>
      <c r="M81" s="78"/>
      <c r="N81" s="78"/>
      <c r="O81" s="78"/>
      <c r="P81" s="78"/>
      <c r="Q81" s="103"/>
      <c r="R81" s="553"/>
      <c r="S81" s="553"/>
      <c r="T81" s="553"/>
      <c r="U81" s="553"/>
      <c r="V81" s="70"/>
      <c r="W81" s="78"/>
      <c r="X81" s="78"/>
      <c r="Y81" s="79"/>
      <c r="Z81" s="79"/>
      <c r="AA81" s="78"/>
      <c r="AB81" s="78"/>
      <c r="AC81" s="78"/>
      <c r="AD81" s="78"/>
      <c r="AE81" s="78"/>
      <c r="AF81" s="78"/>
      <c r="AG81" s="78"/>
      <c r="AH81" s="78"/>
      <c r="AI81" s="78"/>
      <c r="AJ81" s="78"/>
      <c r="AK81" s="78"/>
      <c r="AL81" s="78"/>
      <c r="AM81" s="81"/>
      <c r="AN81" s="101"/>
      <c r="AO81" s="78"/>
      <c r="AP81" s="78"/>
      <c r="AQ81" s="78"/>
      <c r="AR81" s="78"/>
      <c r="AS81" s="79"/>
    </row>
    <row r="82" spans="1:45" ht="20.25" customHeight="1">
      <c r="A82" s="78"/>
      <c r="B82" s="78"/>
      <c r="C82" s="81"/>
      <c r="D82" s="78"/>
      <c r="E82" s="78"/>
      <c r="F82" s="78"/>
      <c r="G82" s="78"/>
      <c r="H82" s="78"/>
      <c r="I82" s="78"/>
      <c r="J82" s="78"/>
      <c r="K82" s="78"/>
      <c r="L82" s="78"/>
      <c r="M82" s="78"/>
      <c r="N82" s="78"/>
      <c r="O82" s="78"/>
      <c r="P82" s="78"/>
      <c r="Q82" s="103"/>
      <c r="R82" s="553"/>
      <c r="S82" s="553"/>
      <c r="T82" s="553"/>
      <c r="U82" s="553"/>
      <c r="V82" s="70"/>
      <c r="W82" s="78"/>
      <c r="X82" s="78"/>
      <c r="Y82" s="79"/>
      <c r="Z82" s="79"/>
      <c r="AA82" s="78"/>
      <c r="AB82" s="78"/>
      <c r="AC82" s="78"/>
      <c r="AD82" s="78"/>
      <c r="AE82" s="78"/>
      <c r="AF82" s="78"/>
      <c r="AG82" s="78"/>
      <c r="AH82" s="78"/>
      <c r="AI82" s="78"/>
      <c r="AJ82" s="78"/>
      <c r="AK82" s="78"/>
      <c r="AL82" s="78"/>
      <c r="AM82" s="81"/>
      <c r="AN82" s="101"/>
      <c r="AO82" s="78"/>
      <c r="AP82" s="78"/>
      <c r="AQ82" s="78"/>
      <c r="AR82" s="78"/>
      <c r="AS82" s="79"/>
    </row>
    <row r="83" spans="1:45" ht="20.25" customHeight="1">
      <c r="A83" s="78"/>
      <c r="B83" s="78"/>
      <c r="C83" s="81"/>
      <c r="D83" s="78"/>
      <c r="E83" s="78"/>
      <c r="F83" s="78"/>
      <c r="G83" s="78"/>
      <c r="H83" s="78"/>
      <c r="I83" s="78"/>
      <c r="J83" s="78"/>
      <c r="K83" s="78"/>
      <c r="L83" s="78"/>
      <c r="M83" s="78"/>
      <c r="N83" s="78"/>
      <c r="O83" s="78"/>
      <c r="P83" s="78"/>
      <c r="Q83" s="103"/>
      <c r="R83" s="553"/>
      <c r="S83" s="553"/>
      <c r="T83" s="553"/>
      <c r="U83" s="553"/>
      <c r="V83" s="70"/>
      <c r="W83" s="78"/>
      <c r="X83" s="78"/>
      <c r="Y83" s="79"/>
      <c r="Z83" s="79"/>
      <c r="AA83" s="78"/>
      <c r="AB83" s="78"/>
      <c r="AC83" s="78"/>
      <c r="AD83" s="78"/>
      <c r="AE83" s="78"/>
      <c r="AF83" s="78"/>
      <c r="AG83" s="78"/>
      <c r="AH83" s="78"/>
      <c r="AI83" s="78"/>
      <c r="AJ83" s="78"/>
      <c r="AK83" s="78"/>
      <c r="AL83" s="78"/>
      <c r="AM83" s="81"/>
      <c r="AN83" s="101"/>
      <c r="AO83" s="78"/>
      <c r="AP83" s="78"/>
      <c r="AQ83" s="78"/>
      <c r="AR83" s="78"/>
      <c r="AS83" s="79"/>
    </row>
    <row r="84" spans="1:45" ht="20.25" customHeight="1">
      <c r="A84" s="78"/>
      <c r="B84" s="78"/>
      <c r="C84" s="81"/>
      <c r="D84" s="78"/>
      <c r="E84" s="78"/>
      <c r="F84" s="78"/>
      <c r="G84" s="78"/>
      <c r="H84" s="78"/>
      <c r="I84" s="78"/>
      <c r="J84" s="78"/>
      <c r="K84" s="78"/>
      <c r="L84" s="78"/>
      <c r="M84" s="78"/>
      <c r="N84" s="78"/>
      <c r="O84" s="78"/>
      <c r="P84" s="78"/>
      <c r="Q84" s="103"/>
      <c r="R84" s="553"/>
      <c r="S84" s="553"/>
      <c r="T84" s="553"/>
      <c r="U84" s="553"/>
      <c r="V84" s="70"/>
      <c r="W84" s="78"/>
      <c r="X84" s="78"/>
      <c r="Y84" s="79"/>
      <c r="Z84" s="79"/>
      <c r="AA84" s="78"/>
      <c r="AB84" s="78"/>
      <c r="AC84" s="78"/>
      <c r="AD84" s="78"/>
      <c r="AE84" s="78"/>
      <c r="AF84" s="78"/>
      <c r="AG84" s="78"/>
      <c r="AH84" s="78"/>
      <c r="AI84" s="78"/>
      <c r="AJ84" s="78"/>
      <c r="AK84" s="78"/>
      <c r="AL84" s="78"/>
      <c r="AM84" s="81"/>
      <c r="AN84" s="101"/>
      <c r="AO84" s="78"/>
      <c r="AP84" s="78"/>
      <c r="AQ84" s="78"/>
      <c r="AR84" s="78"/>
      <c r="AS84" s="79"/>
    </row>
    <row r="85" spans="1:45" ht="20.25" customHeight="1">
      <c r="A85" s="78"/>
      <c r="B85" s="78"/>
      <c r="C85" s="81"/>
      <c r="D85" s="78"/>
      <c r="E85" s="78"/>
      <c r="F85" s="78"/>
      <c r="G85" s="78"/>
      <c r="H85" s="78"/>
      <c r="I85" s="78"/>
      <c r="J85" s="78"/>
      <c r="K85" s="78"/>
      <c r="L85" s="78"/>
      <c r="M85" s="78"/>
      <c r="N85" s="78"/>
      <c r="O85" s="78"/>
      <c r="P85" s="78"/>
      <c r="Q85" s="103"/>
      <c r="R85" s="553"/>
      <c r="S85" s="553"/>
      <c r="T85" s="553"/>
      <c r="U85" s="553"/>
      <c r="V85" s="70"/>
      <c r="W85" s="78"/>
      <c r="X85" s="78"/>
      <c r="Y85" s="79"/>
      <c r="Z85" s="79"/>
      <c r="AA85" s="78"/>
      <c r="AB85" s="78"/>
      <c r="AC85" s="78"/>
      <c r="AD85" s="78"/>
      <c r="AE85" s="78"/>
      <c r="AF85" s="78"/>
      <c r="AG85" s="78"/>
      <c r="AH85" s="78"/>
      <c r="AI85" s="78"/>
      <c r="AJ85" s="78"/>
      <c r="AK85" s="78"/>
      <c r="AL85" s="78"/>
      <c r="AM85" s="81"/>
      <c r="AN85" s="101"/>
      <c r="AO85" s="78"/>
      <c r="AP85" s="78"/>
      <c r="AQ85" s="78"/>
      <c r="AR85" s="78"/>
      <c r="AS85" s="79"/>
    </row>
    <row r="86" spans="1:45" ht="20.25" customHeight="1">
      <c r="A86" s="78"/>
      <c r="B86" s="78"/>
      <c r="C86" s="81"/>
      <c r="D86" s="78"/>
      <c r="E86" s="78"/>
      <c r="F86" s="78"/>
      <c r="G86" s="78"/>
      <c r="H86" s="78"/>
      <c r="I86" s="78"/>
      <c r="J86" s="78"/>
      <c r="K86" s="78"/>
      <c r="L86" s="78"/>
      <c r="M86" s="78"/>
      <c r="N86" s="78"/>
      <c r="O86" s="78"/>
      <c r="P86" s="78"/>
      <c r="Q86" s="103"/>
      <c r="R86" s="553"/>
      <c r="S86" s="553"/>
      <c r="T86" s="553"/>
      <c r="U86" s="553"/>
      <c r="V86" s="70"/>
      <c r="W86" s="78"/>
      <c r="X86" s="78"/>
      <c r="Y86" s="79"/>
      <c r="Z86" s="79"/>
      <c r="AA86" s="78"/>
      <c r="AB86" s="78"/>
      <c r="AC86" s="78"/>
      <c r="AD86" s="78"/>
      <c r="AE86" s="78"/>
      <c r="AF86" s="78"/>
      <c r="AG86" s="78"/>
      <c r="AH86" s="78"/>
      <c r="AI86" s="78"/>
      <c r="AJ86" s="78"/>
      <c r="AK86" s="78"/>
      <c r="AL86" s="78"/>
      <c r="AM86" s="81"/>
      <c r="AN86" s="101"/>
      <c r="AO86" s="78"/>
      <c r="AP86" s="78"/>
      <c r="AQ86" s="78"/>
      <c r="AR86" s="78"/>
      <c r="AS86" s="79"/>
    </row>
    <row r="87" spans="1:45" ht="20.25" customHeight="1">
      <c r="A87" s="78"/>
      <c r="B87" s="78"/>
      <c r="C87" s="81"/>
      <c r="D87" s="78"/>
      <c r="E87" s="78"/>
      <c r="F87" s="78"/>
      <c r="G87" s="78"/>
      <c r="H87" s="78"/>
      <c r="I87" s="78"/>
      <c r="J87" s="78"/>
      <c r="K87" s="78"/>
      <c r="L87" s="78"/>
      <c r="M87" s="78"/>
      <c r="N87" s="78"/>
      <c r="O87" s="78"/>
      <c r="P87" s="78"/>
      <c r="Q87" s="103"/>
      <c r="R87" s="553"/>
      <c r="S87" s="553"/>
      <c r="T87" s="553"/>
      <c r="U87" s="553"/>
      <c r="V87" s="70"/>
      <c r="W87" s="78"/>
      <c r="X87" s="78"/>
      <c r="Y87" s="79"/>
      <c r="Z87" s="79"/>
      <c r="AA87" s="78"/>
      <c r="AB87" s="78"/>
      <c r="AC87" s="78"/>
      <c r="AD87" s="78"/>
      <c r="AE87" s="78"/>
      <c r="AF87" s="78"/>
      <c r="AG87" s="78"/>
      <c r="AH87" s="78"/>
      <c r="AI87" s="78"/>
      <c r="AJ87" s="78"/>
      <c r="AK87" s="78"/>
      <c r="AL87" s="78"/>
      <c r="AM87" s="81"/>
      <c r="AN87" s="101"/>
      <c r="AO87" s="78"/>
      <c r="AP87" s="78"/>
      <c r="AQ87" s="78"/>
      <c r="AR87" s="78"/>
      <c r="AS87" s="79"/>
    </row>
    <row r="88" spans="1:45" ht="20.25" customHeight="1">
      <c r="A88" s="78"/>
      <c r="B88" s="78"/>
      <c r="C88" s="81"/>
      <c r="D88" s="78"/>
      <c r="E88" s="78"/>
      <c r="F88" s="78"/>
      <c r="G88" s="78"/>
      <c r="H88" s="78"/>
      <c r="I88" s="78"/>
      <c r="J88" s="78"/>
      <c r="K88" s="78"/>
      <c r="L88" s="78"/>
      <c r="M88" s="78"/>
      <c r="N88" s="78"/>
      <c r="O88" s="78"/>
      <c r="P88" s="78"/>
      <c r="Q88" s="103"/>
      <c r="R88" s="553"/>
      <c r="S88" s="553"/>
      <c r="T88" s="553"/>
      <c r="U88" s="553"/>
      <c r="V88" s="70"/>
      <c r="W88" s="78"/>
      <c r="X88" s="78"/>
      <c r="Y88" s="79"/>
      <c r="Z88" s="79"/>
      <c r="AA88" s="78"/>
      <c r="AB88" s="78"/>
      <c r="AC88" s="78"/>
      <c r="AD88" s="78"/>
      <c r="AE88" s="78"/>
      <c r="AF88" s="78"/>
      <c r="AG88" s="78"/>
      <c r="AH88" s="78"/>
      <c r="AI88" s="78"/>
      <c r="AJ88" s="78"/>
      <c r="AK88" s="78"/>
      <c r="AL88" s="78"/>
      <c r="AM88" s="81"/>
      <c r="AN88" s="101"/>
      <c r="AO88" s="78"/>
      <c r="AP88" s="78"/>
      <c r="AQ88" s="78"/>
      <c r="AR88" s="78"/>
      <c r="AS88" s="79"/>
    </row>
    <row r="89" spans="1:45" ht="20.25" customHeight="1">
      <c r="A89" s="78"/>
      <c r="B89" s="78"/>
      <c r="C89" s="81"/>
      <c r="D89" s="78"/>
      <c r="E89" s="78"/>
      <c r="F89" s="78"/>
      <c r="G89" s="78"/>
      <c r="H89" s="78"/>
      <c r="I89" s="78"/>
      <c r="J89" s="78"/>
      <c r="K89" s="78"/>
      <c r="L89" s="78"/>
      <c r="M89" s="78"/>
      <c r="N89" s="78"/>
      <c r="O89" s="78"/>
      <c r="P89" s="78"/>
      <c r="Q89" s="103"/>
      <c r="R89" s="553"/>
      <c r="S89" s="553"/>
      <c r="T89" s="553"/>
      <c r="U89" s="553"/>
      <c r="V89" s="70"/>
      <c r="W89" s="78"/>
      <c r="X89" s="78"/>
      <c r="Y89" s="79"/>
      <c r="Z89" s="79"/>
      <c r="AA89" s="78"/>
      <c r="AB89" s="78"/>
      <c r="AC89" s="78"/>
      <c r="AD89" s="78"/>
      <c r="AE89" s="78"/>
      <c r="AF89" s="78"/>
      <c r="AG89" s="78"/>
      <c r="AH89" s="78"/>
      <c r="AI89" s="78"/>
      <c r="AJ89" s="78"/>
      <c r="AK89" s="78"/>
      <c r="AL89" s="78"/>
      <c r="AM89" s="81"/>
      <c r="AN89" s="101"/>
      <c r="AO89" s="78"/>
      <c r="AP89" s="78"/>
      <c r="AQ89" s="78"/>
      <c r="AR89" s="78"/>
      <c r="AS89" s="79"/>
    </row>
    <row r="90" spans="1:45" ht="20.25" customHeight="1">
      <c r="A90" s="78"/>
      <c r="B90" s="78"/>
      <c r="C90" s="81"/>
      <c r="D90" s="78"/>
      <c r="E90" s="78"/>
      <c r="F90" s="78"/>
      <c r="G90" s="78"/>
      <c r="H90" s="78"/>
      <c r="I90" s="78"/>
      <c r="J90" s="78"/>
      <c r="K90" s="78"/>
      <c r="L90" s="78"/>
      <c r="M90" s="78"/>
      <c r="N90" s="78"/>
      <c r="O90" s="78"/>
      <c r="P90" s="78"/>
      <c r="Q90" s="103"/>
      <c r="R90" s="553"/>
      <c r="S90" s="553"/>
      <c r="T90" s="553"/>
      <c r="U90" s="553"/>
      <c r="V90" s="70"/>
      <c r="W90" s="78"/>
      <c r="X90" s="78"/>
      <c r="Y90" s="79"/>
      <c r="Z90" s="79"/>
      <c r="AA90" s="78"/>
      <c r="AB90" s="78"/>
      <c r="AC90" s="78"/>
      <c r="AD90" s="78"/>
      <c r="AE90" s="78"/>
      <c r="AF90" s="78"/>
      <c r="AG90" s="78"/>
      <c r="AH90" s="78"/>
      <c r="AI90" s="78"/>
      <c r="AJ90" s="78"/>
      <c r="AK90" s="78"/>
      <c r="AL90" s="78"/>
      <c r="AM90" s="81"/>
      <c r="AN90" s="101"/>
      <c r="AO90" s="78"/>
      <c r="AP90" s="78"/>
      <c r="AQ90" s="78"/>
      <c r="AR90" s="78"/>
      <c r="AS90" s="79"/>
    </row>
    <row r="91" spans="1:45" ht="20.25" customHeight="1">
      <c r="A91" s="78"/>
      <c r="B91" s="78"/>
      <c r="C91" s="81"/>
      <c r="D91" s="78"/>
      <c r="E91" s="78"/>
      <c r="F91" s="78"/>
      <c r="G91" s="78"/>
      <c r="H91" s="78"/>
      <c r="I91" s="78"/>
      <c r="J91" s="78"/>
      <c r="K91" s="78"/>
      <c r="L91" s="78"/>
      <c r="M91" s="78"/>
      <c r="N91" s="78"/>
      <c r="O91" s="78"/>
      <c r="P91" s="78"/>
      <c r="Q91" s="103"/>
      <c r="R91" s="553"/>
      <c r="S91" s="553"/>
      <c r="T91" s="553"/>
      <c r="U91" s="553"/>
      <c r="V91" s="70"/>
      <c r="W91" s="78"/>
      <c r="X91" s="78"/>
      <c r="Y91" s="79"/>
      <c r="Z91" s="79"/>
      <c r="AA91" s="78"/>
      <c r="AB91" s="78"/>
      <c r="AC91" s="78"/>
      <c r="AD91" s="78"/>
      <c r="AE91" s="78"/>
      <c r="AF91" s="78"/>
      <c r="AG91" s="78"/>
      <c r="AH91" s="78"/>
      <c r="AI91" s="78"/>
      <c r="AJ91" s="78"/>
      <c r="AK91" s="78"/>
      <c r="AL91" s="78"/>
      <c r="AM91" s="81"/>
      <c r="AN91" s="101"/>
      <c r="AO91" s="78"/>
      <c r="AP91" s="78"/>
      <c r="AQ91" s="78"/>
      <c r="AR91" s="78"/>
      <c r="AS91" s="79"/>
    </row>
    <row r="92" spans="1:45" ht="20.25" customHeight="1">
      <c r="A92" s="78"/>
      <c r="B92" s="78"/>
      <c r="C92" s="81"/>
      <c r="D92" s="78"/>
      <c r="E92" s="78"/>
      <c r="F92" s="78"/>
      <c r="G92" s="78"/>
      <c r="H92" s="78"/>
      <c r="I92" s="78"/>
      <c r="J92" s="78"/>
      <c r="K92" s="78"/>
      <c r="L92" s="78"/>
      <c r="M92" s="78"/>
      <c r="N92" s="78"/>
      <c r="O92" s="78"/>
      <c r="P92" s="78"/>
      <c r="Q92" s="103"/>
      <c r="R92" s="553"/>
      <c r="S92" s="553"/>
      <c r="T92" s="553"/>
      <c r="U92" s="553"/>
      <c r="V92" s="70"/>
      <c r="W92" s="78"/>
      <c r="X92" s="78"/>
      <c r="Y92" s="79"/>
      <c r="Z92" s="79"/>
      <c r="AA92" s="78"/>
      <c r="AB92" s="78"/>
      <c r="AC92" s="78"/>
      <c r="AD92" s="78"/>
      <c r="AE92" s="78"/>
      <c r="AF92" s="78"/>
      <c r="AG92" s="78"/>
      <c r="AH92" s="78"/>
      <c r="AI92" s="78"/>
      <c r="AJ92" s="78"/>
      <c r="AK92" s="78"/>
      <c r="AL92" s="78"/>
      <c r="AM92" s="81"/>
      <c r="AN92" s="101"/>
      <c r="AO92" s="78"/>
      <c r="AP92" s="78"/>
      <c r="AQ92" s="78"/>
      <c r="AR92" s="78"/>
      <c r="AS92" s="79"/>
    </row>
    <row r="93" spans="1:45" ht="20.25" customHeight="1">
      <c r="A93" s="78"/>
      <c r="B93" s="78"/>
      <c r="C93" s="81"/>
      <c r="D93" s="78"/>
      <c r="E93" s="78"/>
      <c r="F93" s="78"/>
      <c r="G93" s="78"/>
      <c r="H93" s="78"/>
      <c r="I93" s="78"/>
      <c r="J93" s="78"/>
      <c r="K93" s="78"/>
      <c r="L93" s="78"/>
      <c r="M93" s="78"/>
      <c r="N93" s="78"/>
      <c r="O93" s="78"/>
      <c r="P93" s="78"/>
      <c r="Q93" s="103"/>
      <c r="R93" s="553"/>
      <c r="S93" s="553"/>
      <c r="T93" s="553"/>
      <c r="U93" s="553"/>
      <c r="V93" s="70"/>
      <c r="W93" s="78"/>
      <c r="X93" s="78"/>
      <c r="Y93" s="79"/>
      <c r="Z93" s="79"/>
      <c r="AA93" s="78"/>
      <c r="AB93" s="78"/>
      <c r="AC93" s="78"/>
      <c r="AD93" s="78"/>
      <c r="AE93" s="78"/>
      <c r="AF93" s="78"/>
      <c r="AG93" s="78"/>
      <c r="AH93" s="78"/>
      <c r="AI93" s="78"/>
      <c r="AJ93" s="78"/>
      <c r="AK93" s="78"/>
      <c r="AL93" s="78"/>
      <c r="AM93" s="81"/>
      <c r="AN93" s="101"/>
      <c r="AO93" s="78"/>
      <c r="AP93" s="78"/>
      <c r="AQ93" s="78"/>
      <c r="AR93" s="78"/>
      <c r="AS93" s="79"/>
    </row>
    <row r="94" spans="1:45" ht="20.25" customHeight="1">
      <c r="A94" s="78"/>
      <c r="B94" s="78"/>
      <c r="C94" s="81"/>
      <c r="D94" s="78"/>
      <c r="E94" s="78"/>
      <c r="F94" s="78"/>
      <c r="G94" s="78"/>
      <c r="H94" s="78"/>
      <c r="I94" s="78"/>
      <c r="J94" s="78"/>
      <c r="K94" s="78"/>
      <c r="L94" s="78"/>
      <c r="M94" s="78"/>
      <c r="N94" s="78"/>
      <c r="O94" s="78"/>
      <c r="P94" s="78"/>
      <c r="Q94" s="103"/>
      <c r="R94" s="553"/>
      <c r="S94" s="553"/>
      <c r="T94" s="553"/>
      <c r="U94" s="553"/>
      <c r="V94" s="70"/>
      <c r="W94" s="78"/>
      <c r="X94" s="78"/>
      <c r="Y94" s="79"/>
      <c r="Z94" s="79"/>
      <c r="AA94" s="78"/>
      <c r="AB94" s="78"/>
      <c r="AC94" s="78"/>
      <c r="AD94" s="78"/>
      <c r="AE94" s="78"/>
      <c r="AF94" s="78"/>
      <c r="AG94" s="78"/>
      <c r="AH94" s="78"/>
      <c r="AI94" s="78"/>
      <c r="AJ94" s="78"/>
      <c r="AK94" s="78"/>
      <c r="AL94" s="78"/>
      <c r="AM94" s="81"/>
      <c r="AN94" s="101"/>
      <c r="AO94" s="78"/>
      <c r="AP94" s="78"/>
      <c r="AQ94" s="78"/>
      <c r="AR94" s="78"/>
      <c r="AS94" s="79"/>
    </row>
    <row r="95" spans="1:45" ht="20.25" customHeight="1">
      <c r="A95" s="78"/>
      <c r="B95" s="78"/>
      <c r="C95" s="81"/>
      <c r="D95" s="78"/>
      <c r="E95" s="78"/>
      <c r="F95" s="78"/>
      <c r="G95" s="78"/>
      <c r="H95" s="78"/>
      <c r="I95" s="78"/>
      <c r="J95" s="78"/>
      <c r="K95" s="78"/>
      <c r="L95" s="78"/>
      <c r="M95" s="78"/>
      <c r="N95" s="78"/>
      <c r="O95" s="78"/>
      <c r="P95" s="78"/>
      <c r="Q95" s="103"/>
      <c r="R95" s="553"/>
      <c r="S95" s="553"/>
      <c r="T95" s="553"/>
      <c r="U95" s="553"/>
      <c r="V95" s="70"/>
      <c r="W95" s="78"/>
      <c r="X95" s="78"/>
      <c r="Y95" s="79"/>
      <c r="Z95" s="79"/>
      <c r="AA95" s="78"/>
      <c r="AB95" s="78"/>
      <c r="AC95" s="78"/>
      <c r="AD95" s="78"/>
      <c r="AE95" s="78"/>
      <c r="AF95" s="78"/>
      <c r="AG95" s="78"/>
      <c r="AH95" s="78"/>
      <c r="AI95" s="78"/>
      <c r="AJ95" s="78"/>
      <c r="AK95" s="78"/>
      <c r="AL95" s="78"/>
      <c r="AM95" s="81"/>
      <c r="AN95" s="101"/>
      <c r="AO95" s="78"/>
      <c r="AP95" s="78"/>
      <c r="AQ95" s="78"/>
      <c r="AR95" s="78"/>
      <c r="AS95" s="79"/>
    </row>
    <row r="96" spans="1:45" ht="20.25" customHeight="1">
      <c r="A96" s="78"/>
      <c r="B96" s="78"/>
      <c r="C96" s="81"/>
      <c r="D96" s="78"/>
      <c r="E96" s="78"/>
      <c r="F96" s="78"/>
      <c r="G96" s="78"/>
      <c r="H96" s="78"/>
      <c r="I96" s="78"/>
      <c r="J96" s="78"/>
      <c r="K96" s="78"/>
      <c r="L96" s="78"/>
      <c r="M96" s="78"/>
      <c r="N96" s="78"/>
      <c r="O96" s="78"/>
      <c r="P96" s="78"/>
      <c r="Q96" s="103"/>
      <c r="R96" s="553"/>
      <c r="S96" s="553"/>
      <c r="T96" s="553"/>
      <c r="U96" s="553"/>
      <c r="V96" s="70"/>
      <c r="W96" s="78"/>
      <c r="X96" s="78"/>
      <c r="Y96" s="79"/>
      <c r="Z96" s="79"/>
      <c r="AA96" s="78"/>
      <c r="AB96" s="78"/>
      <c r="AC96" s="78"/>
      <c r="AD96" s="78"/>
      <c r="AE96" s="78"/>
      <c r="AF96" s="78"/>
      <c r="AG96" s="78"/>
      <c r="AH96" s="78"/>
      <c r="AI96" s="78"/>
      <c r="AJ96" s="78"/>
      <c r="AK96" s="78"/>
      <c r="AL96" s="78"/>
      <c r="AM96" s="81"/>
      <c r="AN96" s="101"/>
      <c r="AO96" s="78"/>
      <c r="AP96" s="78"/>
      <c r="AQ96" s="78"/>
      <c r="AR96" s="78"/>
      <c r="AS96" s="79"/>
    </row>
    <row r="97" spans="1:45" ht="20.25" customHeight="1">
      <c r="A97" s="78"/>
      <c r="B97" s="78"/>
      <c r="C97" s="81"/>
      <c r="D97" s="78"/>
      <c r="E97" s="78"/>
      <c r="F97" s="78"/>
      <c r="G97" s="78"/>
      <c r="H97" s="78"/>
      <c r="I97" s="78"/>
      <c r="J97" s="78"/>
      <c r="K97" s="78"/>
      <c r="L97" s="78"/>
      <c r="M97" s="78"/>
      <c r="N97" s="78"/>
      <c r="O97" s="78"/>
      <c r="P97" s="78"/>
      <c r="Q97" s="103"/>
      <c r="R97" s="553"/>
      <c r="S97" s="553"/>
      <c r="T97" s="553"/>
      <c r="U97" s="553"/>
      <c r="V97" s="70"/>
      <c r="W97" s="78"/>
      <c r="X97" s="78"/>
      <c r="Y97" s="79"/>
      <c r="Z97" s="79"/>
      <c r="AA97" s="78"/>
      <c r="AB97" s="78"/>
      <c r="AC97" s="78"/>
      <c r="AD97" s="78"/>
      <c r="AE97" s="78"/>
      <c r="AF97" s="78"/>
      <c r="AG97" s="78"/>
      <c r="AH97" s="78"/>
      <c r="AI97" s="78"/>
      <c r="AJ97" s="78"/>
      <c r="AK97" s="78"/>
      <c r="AL97" s="78"/>
      <c r="AM97" s="81"/>
      <c r="AN97" s="101"/>
      <c r="AO97" s="78"/>
      <c r="AP97" s="78"/>
      <c r="AQ97" s="78"/>
      <c r="AR97" s="78"/>
      <c r="AS97" s="79"/>
    </row>
    <row r="98" spans="1:45" ht="20.25" customHeight="1">
      <c r="A98" s="78"/>
      <c r="B98" s="78"/>
      <c r="C98" s="81"/>
      <c r="D98" s="78"/>
      <c r="E98" s="78"/>
      <c r="F98" s="78"/>
      <c r="G98" s="78"/>
      <c r="H98" s="78"/>
      <c r="I98" s="78"/>
      <c r="J98" s="78"/>
      <c r="K98" s="78"/>
      <c r="L98" s="78"/>
      <c r="M98" s="78"/>
      <c r="N98" s="78"/>
      <c r="O98" s="78"/>
      <c r="P98" s="78"/>
      <c r="Q98" s="103"/>
      <c r="R98" s="553"/>
      <c r="S98" s="553"/>
      <c r="T98" s="553"/>
      <c r="U98" s="553"/>
      <c r="V98" s="70"/>
      <c r="W98" s="78"/>
      <c r="X98" s="78"/>
      <c r="Y98" s="79"/>
      <c r="Z98" s="79"/>
      <c r="AA98" s="78"/>
      <c r="AB98" s="78"/>
      <c r="AC98" s="78"/>
      <c r="AD98" s="78"/>
      <c r="AE98" s="78"/>
      <c r="AF98" s="78"/>
      <c r="AG98" s="78"/>
      <c r="AH98" s="78"/>
      <c r="AI98" s="78"/>
      <c r="AJ98" s="78"/>
      <c r="AK98" s="78"/>
      <c r="AL98" s="78"/>
      <c r="AM98" s="81"/>
      <c r="AN98" s="101"/>
      <c r="AO98" s="78"/>
      <c r="AP98" s="78"/>
      <c r="AQ98" s="78"/>
      <c r="AR98" s="78"/>
      <c r="AS98" s="79"/>
    </row>
    <row r="99" spans="1:45" ht="20.25" customHeight="1">
      <c r="A99" s="78"/>
      <c r="B99" s="78"/>
      <c r="C99" s="81"/>
      <c r="D99" s="78"/>
      <c r="E99" s="78"/>
      <c r="F99" s="78"/>
      <c r="G99" s="78"/>
      <c r="H99" s="78"/>
      <c r="I99" s="78"/>
      <c r="J99" s="78"/>
      <c r="K99" s="78"/>
      <c r="L99" s="78"/>
      <c r="M99" s="78"/>
      <c r="N99" s="78"/>
      <c r="O99" s="78"/>
      <c r="P99" s="78"/>
      <c r="Q99" s="103"/>
      <c r="R99" s="553"/>
      <c r="S99" s="553"/>
      <c r="T99" s="553"/>
      <c r="U99" s="553"/>
      <c r="V99" s="70"/>
      <c r="W99" s="78"/>
      <c r="X99" s="78"/>
      <c r="Y99" s="79"/>
      <c r="Z99" s="79"/>
      <c r="AA99" s="78"/>
      <c r="AB99" s="78"/>
      <c r="AC99" s="78"/>
      <c r="AD99" s="78"/>
      <c r="AE99" s="78"/>
      <c r="AF99" s="78"/>
      <c r="AG99" s="78"/>
      <c r="AH99" s="78"/>
      <c r="AI99" s="78"/>
      <c r="AJ99" s="78"/>
      <c r="AK99" s="78"/>
      <c r="AL99" s="78"/>
      <c r="AM99" s="81"/>
      <c r="AN99" s="101"/>
      <c r="AO99" s="78"/>
      <c r="AP99" s="78"/>
      <c r="AQ99" s="78"/>
      <c r="AR99" s="78"/>
      <c r="AS99" s="79"/>
    </row>
    <row r="100" spans="1:45" ht="20.25" customHeight="1">
      <c r="A100" s="78"/>
      <c r="B100" s="78"/>
      <c r="C100" s="81"/>
      <c r="D100" s="78"/>
      <c r="E100" s="78"/>
      <c r="F100" s="78"/>
      <c r="G100" s="78"/>
      <c r="H100" s="78"/>
      <c r="I100" s="78"/>
      <c r="J100" s="78"/>
      <c r="K100" s="78"/>
      <c r="L100" s="78"/>
      <c r="M100" s="78"/>
      <c r="N100" s="78"/>
      <c r="O100" s="78"/>
      <c r="P100" s="78"/>
      <c r="Q100" s="103"/>
      <c r="R100" s="553"/>
      <c r="S100" s="553"/>
      <c r="T100" s="553"/>
      <c r="U100" s="553"/>
      <c r="V100" s="70"/>
      <c r="W100" s="78"/>
      <c r="X100" s="78"/>
      <c r="Y100" s="79"/>
      <c r="Z100" s="79"/>
      <c r="AA100" s="78"/>
      <c r="AB100" s="78"/>
      <c r="AC100" s="78"/>
      <c r="AD100" s="78"/>
      <c r="AE100" s="78"/>
      <c r="AF100" s="78"/>
      <c r="AG100" s="78"/>
      <c r="AH100" s="78"/>
      <c r="AI100" s="78"/>
      <c r="AJ100" s="78"/>
      <c r="AK100" s="78"/>
      <c r="AL100" s="78"/>
      <c r="AM100" s="81"/>
      <c r="AN100" s="101"/>
      <c r="AO100" s="78"/>
      <c r="AP100" s="78"/>
      <c r="AQ100" s="78"/>
      <c r="AR100" s="78"/>
      <c r="AS100" s="79"/>
    </row>
    <row r="101" spans="1:45" ht="20.25" customHeight="1">
      <c r="A101" s="78"/>
      <c r="B101" s="78"/>
      <c r="C101" s="81"/>
      <c r="D101" s="78"/>
      <c r="E101" s="78"/>
      <c r="F101" s="78"/>
      <c r="G101" s="78"/>
      <c r="H101" s="78"/>
      <c r="I101" s="78"/>
      <c r="J101" s="78"/>
      <c r="K101" s="78"/>
      <c r="L101" s="78"/>
      <c r="M101" s="78"/>
      <c r="N101" s="78"/>
      <c r="O101" s="78"/>
      <c r="P101" s="78"/>
      <c r="Q101" s="103"/>
      <c r="R101" s="553"/>
      <c r="S101" s="553"/>
      <c r="T101" s="553"/>
      <c r="U101" s="553"/>
      <c r="V101" s="70"/>
      <c r="W101" s="78"/>
      <c r="X101" s="78"/>
      <c r="Y101" s="79"/>
      <c r="Z101" s="79"/>
      <c r="AA101" s="78"/>
      <c r="AB101" s="78"/>
      <c r="AC101" s="78"/>
      <c r="AD101" s="78"/>
      <c r="AE101" s="78"/>
      <c r="AF101" s="78"/>
      <c r="AG101" s="78"/>
      <c r="AH101" s="78"/>
      <c r="AI101" s="78"/>
      <c r="AJ101" s="78"/>
      <c r="AK101" s="78"/>
      <c r="AL101" s="78"/>
      <c r="AM101" s="81"/>
      <c r="AN101" s="101"/>
      <c r="AO101" s="78"/>
      <c r="AP101" s="78"/>
      <c r="AQ101" s="78"/>
      <c r="AR101" s="78"/>
      <c r="AS101" s="79"/>
    </row>
    <row r="102" spans="1:45" ht="20.25" customHeight="1">
      <c r="A102" s="78"/>
      <c r="B102" s="78"/>
      <c r="C102" s="81"/>
      <c r="D102" s="78"/>
      <c r="E102" s="78"/>
      <c r="F102" s="78"/>
      <c r="G102" s="78"/>
      <c r="H102" s="78"/>
      <c r="I102" s="78"/>
      <c r="J102" s="78"/>
      <c r="K102" s="78"/>
      <c r="L102" s="78"/>
      <c r="M102" s="78"/>
      <c r="N102" s="78"/>
      <c r="O102" s="78"/>
      <c r="P102" s="78"/>
      <c r="Q102" s="103"/>
      <c r="R102" s="553"/>
      <c r="S102" s="553"/>
      <c r="T102" s="553"/>
      <c r="U102" s="553"/>
      <c r="V102" s="70"/>
      <c r="W102" s="78"/>
      <c r="X102" s="78"/>
      <c r="Y102" s="79"/>
      <c r="Z102" s="79"/>
      <c r="AA102" s="78"/>
      <c r="AB102" s="78"/>
      <c r="AC102" s="78"/>
      <c r="AD102" s="78"/>
      <c r="AE102" s="78"/>
      <c r="AF102" s="78"/>
      <c r="AG102" s="78"/>
      <c r="AH102" s="78"/>
      <c r="AI102" s="78"/>
      <c r="AJ102" s="78"/>
      <c r="AK102" s="78"/>
      <c r="AL102" s="78"/>
      <c r="AM102" s="81"/>
      <c r="AN102" s="101"/>
      <c r="AO102" s="78"/>
      <c r="AP102" s="78"/>
      <c r="AQ102" s="78"/>
      <c r="AR102" s="78"/>
      <c r="AS102" s="79"/>
    </row>
    <row r="103" spans="1:45" ht="20.25" customHeight="1">
      <c r="A103" s="78"/>
      <c r="B103" s="78"/>
      <c r="C103" s="81"/>
      <c r="D103" s="78"/>
      <c r="E103" s="78"/>
      <c r="F103" s="78"/>
      <c r="G103" s="78"/>
      <c r="H103" s="78"/>
      <c r="I103" s="78"/>
      <c r="J103" s="78"/>
      <c r="K103" s="78"/>
      <c r="L103" s="78"/>
      <c r="M103" s="78"/>
      <c r="N103" s="78"/>
      <c r="O103" s="78"/>
      <c r="P103" s="78"/>
      <c r="Q103" s="103"/>
      <c r="R103" s="553"/>
      <c r="S103" s="553"/>
      <c r="T103" s="553"/>
      <c r="U103" s="553"/>
      <c r="V103" s="70"/>
      <c r="W103" s="78"/>
      <c r="X103" s="78"/>
      <c r="Y103" s="79"/>
      <c r="Z103" s="79"/>
      <c r="AA103" s="78"/>
      <c r="AB103" s="78"/>
      <c r="AC103" s="78"/>
      <c r="AD103" s="78"/>
      <c r="AE103" s="78"/>
      <c r="AF103" s="78"/>
      <c r="AG103" s="78"/>
      <c r="AH103" s="78"/>
      <c r="AI103" s="78"/>
      <c r="AJ103" s="78"/>
      <c r="AK103" s="78"/>
      <c r="AL103" s="78"/>
      <c r="AM103" s="81"/>
      <c r="AN103" s="101"/>
      <c r="AO103" s="78"/>
      <c r="AP103" s="78"/>
      <c r="AQ103" s="78"/>
      <c r="AR103" s="78"/>
      <c r="AS103" s="79"/>
    </row>
    <row r="104" spans="1:45" ht="20.25" customHeight="1">
      <c r="A104" s="78"/>
      <c r="B104" s="78"/>
      <c r="C104" s="81"/>
      <c r="D104" s="78"/>
      <c r="E104" s="78"/>
      <c r="F104" s="78"/>
      <c r="G104" s="78"/>
      <c r="H104" s="78"/>
      <c r="I104" s="78"/>
      <c r="J104" s="78"/>
      <c r="K104" s="78"/>
      <c r="L104" s="78"/>
      <c r="M104" s="78"/>
      <c r="N104" s="78"/>
      <c r="O104" s="78"/>
      <c r="P104" s="78"/>
      <c r="Q104" s="103"/>
      <c r="R104" s="553"/>
      <c r="S104" s="553"/>
      <c r="T104" s="553"/>
      <c r="U104" s="553"/>
      <c r="V104" s="70"/>
      <c r="W104" s="78"/>
      <c r="X104" s="78"/>
      <c r="Y104" s="79"/>
      <c r="Z104" s="79"/>
      <c r="AA104" s="78"/>
      <c r="AB104" s="78"/>
      <c r="AC104" s="78"/>
      <c r="AD104" s="78"/>
      <c r="AE104" s="78"/>
      <c r="AF104" s="78"/>
      <c r="AG104" s="78"/>
      <c r="AH104" s="78"/>
      <c r="AI104" s="78"/>
      <c r="AJ104" s="78"/>
      <c r="AK104" s="78"/>
      <c r="AL104" s="78"/>
      <c r="AM104" s="81"/>
      <c r="AN104" s="101"/>
      <c r="AO104" s="78"/>
      <c r="AP104" s="78"/>
      <c r="AQ104" s="78"/>
      <c r="AR104" s="78"/>
      <c r="AS104" s="79"/>
    </row>
    <row r="105" spans="1:45" ht="20.25" customHeight="1">
      <c r="A105" s="78"/>
      <c r="B105" s="78"/>
      <c r="C105" s="81"/>
      <c r="D105" s="78"/>
      <c r="E105" s="78"/>
      <c r="F105" s="78"/>
      <c r="G105" s="78"/>
      <c r="H105" s="78"/>
      <c r="I105" s="78"/>
      <c r="J105" s="78"/>
      <c r="K105" s="78"/>
      <c r="L105" s="78"/>
      <c r="M105" s="78"/>
      <c r="N105" s="78"/>
      <c r="O105" s="78"/>
      <c r="P105" s="78"/>
      <c r="Q105" s="103"/>
      <c r="R105" s="553"/>
      <c r="S105" s="553"/>
      <c r="T105" s="553"/>
      <c r="U105" s="553"/>
      <c r="V105" s="70"/>
      <c r="W105" s="78"/>
      <c r="X105" s="78"/>
      <c r="Y105" s="79"/>
      <c r="Z105" s="79"/>
      <c r="AA105" s="78"/>
      <c r="AB105" s="78"/>
      <c r="AC105" s="78"/>
      <c r="AD105" s="78"/>
      <c r="AE105" s="78"/>
      <c r="AF105" s="78"/>
      <c r="AG105" s="78"/>
      <c r="AH105" s="78"/>
      <c r="AI105" s="78"/>
      <c r="AJ105" s="78"/>
      <c r="AK105" s="78"/>
      <c r="AL105" s="78"/>
      <c r="AM105" s="81"/>
      <c r="AN105" s="101"/>
      <c r="AO105" s="78"/>
      <c r="AP105" s="78"/>
      <c r="AQ105" s="78"/>
      <c r="AR105" s="78"/>
      <c r="AS105" s="79"/>
    </row>
    <row r="106" spans="1:45" ht="20.25" customHeight="1">
      <c r="A106" s="78"/>
      <c r="B106" s="78"/>
      <c r="C106" s="81"/>
      <c r="D106" s="78"/>
      <c r="E106" s="78"/>
      <c r="F106" s="78"/>
      <c r="G106" s="78"/>
      <c r="H106" s="78"/>
      <c r="I106" s="78"/>
      <c r="J106" s="78"/>
      <c r="K106" s="78"/>
      <c r="L106" s="78"/>
      <c r="M106" s="78"/>
      <c r="N106" s="78"/>
      <c r="O106" s="78"/>
      <c r="P106" s="78"/>
      <c r="Q106" s="103"/>
      <c r="R106" s="553"/>
      <c r="S106" s="553"/>
      <c r="T106" s="553"/>
      <c r="U106" s="553"/>
      <c r="V106" s="70"/>
      <c r="W106" s="78"/>
      <c r="X106" s="78"/>
      <c r="Y106" s="79"/>
      <c r="Z106" s="79"/>
      <c r="AA106" s="78"/>
      <c r="AB106" s="78"/>
      <c r="AC106" s="78"/>
      <c r="AD106" s="78"/>
      <c r="AE106" s="78"/>
      <c r="AF106" s="78"/>
      <c r="AG106" s="78"/>
      <c r="AH106" s="78"/>
      <c r="AI106" s="78"/>
      <c r="AJ106" s="78"/>
      <c r="AK106" s="78"/>
      <c r="AL106" s="78"/>
      <c r="AM106" s="81"/>
      <c r="AN106" s="101"/>
      <c r="AO106" s="78"/>
      <c r="AP106" s="78"/>
      <c r="AQ106" s="78"/>
      <c r="AR106" s="78"/>
      <c r="AS106" s="79"/>
    </row>
    <row r="107" spans="1:45" ht="20.25" customHeight="1">
      <c r="A107" s="78"/>
      <c r="B107" s="78"/>
      <c r="C107" s="81"/>
      <c r="D107" s="78"/>
      <c r="E107" s="78"/>
      <c r="F107" s="78"/>
      <c r="G107" s="78"/>
      <c r="H107" s="78"/>
      <c r="I107" s="78"/>
      <c r="J107" s="78"/>
      <c r="K107" s="78"/>
      <c r="L107" s="78"/>
      <c r="M107" s="78"/>
      <c r="N107" s="78"/>
      <c r="O107" s="78"/>
      <c r="P107" s="78"/>
      <c r="Q107" s="103"/>
      <c r="R107" s="553"/>
      <c r="S107" s="553"/>
      <c r="T107" s="553"/>
      <c r="U107" s="553"/>
      <c r="V107" s="70"/>
      <c r="W107" s="78"/>
      <c r="X107" s="78"/>
      <c r="Y107" s="79"/>
      <c r="Z107" s="79"/>
      <c r="AA107" s="78"/>
      <c r="AB107" s="78"/>
      <c r="AC107" s="78"/>
      <c r="AD107" s="78"/>
      <c r="AE107" s="78"/>
      <c r="AF107" s="78"/>
      <c r="AG107" s="78"/>
      <c r="AH107" s="78"/>
      <c r="AI107" s="78"/>
      <c r="AJ107" s="78"/>
      <c r="AK107" s="78"/>
      <c r="AL107" s="78"/>
      <c r="AM107" s="81"/>
      <c r="AN107" s="101"/>
      <c r="AO107" s="78"/>
      <c r="AP107" s="78"/>
      <c r="AQ107" s="78"/>
      <c r="AR107" s="78"/>
      <c r="AS107" s="79"/>
    </row>
    <row r="108" spans="1:45" ht="20.25" customHeight="1">
      <c r="A108" s="78"/>
      <c r="B108" s="78"/>
      <c r="C108" s="81"/>
      <c r="D108" s="78"/>
      <c r="E108" s="78"/>
      <c r="F108" s="78"/>
      <c r="G108" s="78"/>
      <c r="H108" s="78"/>
      <c r="I108" s="78"/>
      <c r="J108" s="78"/>
      <c r="K108" s="78"/>
      <c r="L108" s="78"/>
      <c r="M108" s="78"/>
      <c r="N108" s="78"/>
      <c r="O108" s="78"/>
      <c r="P108" s="78"/>
      <c r="Q108" s="103"/>
      <c r="R108" s="553"/>
      <c r="S108" s="553"/>
      <c r="T108" s="553"/>
      <c r="U108" s="553"/>
      <c r="V108" s="70"/>
      <c r="W108" s="78"/>
      <c r="X108" s="78"/>
      <c r="Y108" s="79"/>
      <c r="Z108" s="79"/>
      <c r="AA108" s="78"/>
      <c r="AB108" s="78"/>
      <c r="AC108" s="78"/>
      <c r="AD108" s="78"/>
      <c r="AE108" s="78"/>
      <c r="AF108" s="78"/>
      <c r="AG108" s="78"/>
      <c r="AH108" s="78"/>
      <c r="AI108" s="78"/>
      <c r="AJ108" s="78"/>
      <c r="AK108" s="78"/>
      <c r="AL108" s="78"/>
      <c r="AM108" s="81"/>
      <c r="AN108" s="101"/>
      <c r="AO108" s="78"/>
      <c r="AP108" s="78"/>
      <c r="AQ108" s="78"/>
      <c r="AR108" s="78"/>
      <c r="AS108" s="79"/>
    </row>
    <row r="109" spans="1:45" ht="20.25" customHeight="1">
      <c r="A109" s="78"/>
      <c r="B109" s="78"/>
      <c r="C109" s="81"/>
      <c r="D109" s="78"/>
      <c r="E109" s="78"/>
      <c r="F109" s="78"/>
      <c r="G109" s="78"/>
      <c r="H109" s="78"/>
      <c r="I109" s="78"/>
      <c r="J109" s="78"/>
      <c r="K109" s="78"/>
      <c r="L109" s="78"/>
      <c r="M109" s="78"/>
      <c r="N109" s="78"/>
      <c r="O109" s="78"/>
      <c r="P109" s="78"/>
      <c r="Q109" s="103"/>
      <c r="R109" s="553"/>
      <c r="S109" s="553"/>
      <c r="T109" s="553"/>
      <c r="U109" s="553"/>
      <c r="V109" s="70"/>
      <c r="W109" s="78"/>
      <c r="X109" s="78"/>
      <c r="Y109" s="79"/>
      <c r="Z109" s="79"/>
      <c r="AA109" s="78"/>
      <c r="AB109" s="78"/>
      <c r="AC109" s="78"/>
      <c r="AD109" s="78"/>
      <c r="AE109" s="78"/>
      <c r="AF109" s="78"/>
      <c r="AG109" s="78"/>
      <c r="AH109" s="78"/>
      <c r="AI109" s="78"/>
      <c r="AJ109" s="78"/>
      <c r="AK109" s="78"/>
      <c r="AL109" s="78"/>
      <c r="AM109" s="81"/>
      <c r="AN109" s="101"/>
      <c r="AO109" s="78"/>
      <c r="AP109" s="78"/>
      <c r="AQ109" s="78"/>
      <c r="AR109" s="78"/>
      <c r="AS109" s="79"/>
    </row>
    <row r="110" spans="1:45" ht="20.25" customHeight="1">
      <c r="A110" s="78"/>
      <c r="B110" s="78"/>
      <c r="C110" s="81"/>
      <c r="D110" s="78"/>
      <c r="E110" s="78"/>
      <c r="F110" s="78"/>
      <c r="G110" s="78"/>
      <c r="H110" s="78"/>
      <c r="I110" s="78"/>
      <c r="J110" s="78"/>
      <c r="K110" s="78"/>
      <c r="L110" s="78"/>
      <c r="M110" s="78"/>
      <c r="N110" s="78"/>
      <c r="O110" s="78"/>
      <c r="P110" s="78"/>
      <c r="Q110" s="103"/>
      <c r="R110" s="553"/>
      <c r="S110" s="553"/>
      <c r="T110" s="553"/>
      <c r="U110" s="553"/>
      <c r="V110" s="70"/>
      <c r="W110" s="78"/>
      <c r="X110" s="78"/>
      <c r="Y110" s="79"/>
      <c r="Z110" s="79"/>
      <c r="AA110" s="78"/>
      <c r="AB110" s="78"/>
      <c r="AC110" s="78"/>
      <c r="AD110" s="78"/>
      <c r="AE110" s="78"/>
      <c r="AF110" s="78"/>
      <c r="AG110" s="78"/>
      <c r="AH110" s="78"/>
      <c r="AI110" s="78"/>
      <c r="AJ110" s="78"/>
      <c r="AK110" s="78"/>
      <c r="AL110" s="78"/>
      <c r="AM110" s="81"/>
      <c r="AN110" s="101"/>
      <c r="AO110" s="78"/>
      <c r="AP110" s="78"/>
      <c r="AQ110" s="78"/>
      <c r="AR110" s="78"/>
      <c r="AS110" s="79"/>
    </row>
    <row r="111" spans="1:45" ht="20.25" customHeight="1">
      <c r="A111" s="78"/>
      <c r="B111" s="78"/>
      <c r="C111" s="81"/>
      <c r="D111" s="78"/>
      <c r="E111" s="78"/>
      <c r="F111" s="78"/>
      <c r="G111" s="78"/>
      <c r="H111" s="78"/>
      <c r="I111" s="78"/>
      <c r="J111" s="78"/>
      <c r="K111" s="78"/>
      <c r="L111" s="78"/>
      <c r="M111" s="78"/>
      <c r="N111" s="78"/>
      <c r="O111" s="78"/>
      <c r="P111" s="78"/>
      <c r="Q111" s="103"/>
      <c r="R111" s="553"/>
      <c r="S111" s="553"/>
      <c r="T111" s="553"/>
      <c r="U111" s="553"/>
      <c r="V111" s="70"/>
      <c r="W111" s="78"/>
      <c r="X111" s="78"/>
      <c r="Y111" s="79"/>
      <c r="Z111" s="79"/>
      <c r="AA111" s="78"/>
      <c r="AB111" s="78"/>
      <c r="AC111" s="78"/>
      <c r="AD111" s="78"/>
      <c r="AE111" s="78"/>
      <c r="AF111" s="78"/>
      <c r="AG111" s="78"/>
      <c r="AH111" s="78"/>
      <c r="AI111" s="78"/>
      <c r="AJ111" s="78"/>
      <c r="AK111" s="78"/>
      <c r="AL111" s="78"/>
      <c r="AM111" s="81"/>
      <c r="AN111" s="101"/>
      <c r="AO111" s="78"/>
      <c r="AP111" s="78"/>
      <c r="AQ111" s="78"/>
      <c r="AR111" s="78"/>
      <c r="AS111" s="79"/>
    </row>
    <row r="112" spans="1:45" ht="20.25" customHeight="1">
      <c r="A112" s="78"/>
      <c r="B112" s="78"/>
      <c r="C112" s="81"/>
      <c r="D112" s="78"/>
      <c r="E112" s="78"/>
      <c r="F112" s="78"/>
      <c r="G112" s="78"/>
      <c r="H112" s="78"/>
      <c r="I112" s="78"/>
      <c r="J112" s="78"/>
      <c r="K112" s="78"/>
      <c r="L112" s="78"/>
      <c r="M112" s="78"/>
      <c r="N112" s="78"/>
      <c r="O112" s="78"/>
      <c r="P112" s="78"/>
      <c r="Q112" s="103"/>
      <c r="R112" s="553"/>
      <c r="S112" s="553"/>
      <c r="T112" s="553"/>
      <c r="U112" s="553"/>
      <c r="V112" s="70"/>
      <c r="W112" s="78"/>
      <c r="X112" s="78"/>
      <c r="Y112" s="79"/>
      <c r="Z112" s="79"/>
      <c r="AA112" s="78"/>
      <c r="AB112" s="78"/>
      <c r="AC112" s="78"/>
      <c r="AD112" s="78"/>
      <c r="AE112" s="78"/>
      <c r="AF112" s="78"/>
      <c r="AG112" s="78"/>
      <c r="AH112" s="78"/>
      <c r="AI112" s="78"/>
      <c r="AJ112" s="78"/>
      <c r="AK112" s="78"/>
      <c r="AL112" s="78"/>
      <c r="AM112" s="81"/>
      <c r="AN112" s="101"/>
      <c r="AO112" s="78"/>
      <c r="AP112" s="78"/>
      <c r="AQ112" s="78"/>
      <c r="AR112" s="78"/>
      <c r="AS112" s="79"/>
    </row>
    <row r="113" spans="1:45" ht="20.25" customHeight="1">
      <c r="A113" s="78"/>
      <c r="B113" s="78"/>
      <c r="C113" s="81"/>
      <c r="D113" s="78"/>
      <c r="E113" s="78"/>
      <c r="F113" s="78"/>
      <c r="G113" s="78"/>
      <c r="H113" s="78"/>
      <c r="I113" s="78"/>
      <c r="J113" s="78"/>
      <c r="K113" s="78"/>
      <c r="L113" s="78"/>
      <c r="M113" s="78"/>
      <c r="N113" s="78"/>
      <c r="O113" s="78"/>
      <c r="P113" s="78"/>
      <c r="Q113" s="103"/>
      <c r="R113" s="553"/>
      <c r="S113" s="553"/>
      <c r="T113" s="553"/>
      <c r="U113" s="553"/>
      <c r="V113" s="70"/>
      <c r="W113" s="78"/>
      <c r="X113" s="78"/>
      <c r="Y113" s="79"/>
      <c r="Z113" s="79"/>
      <c r="AA113" s="78"/>
      <c r="AB113" s="78"/>
      <c r="AC113" s="78"/>
      <c r="AD113" s="78"/>
      <c r="AE113" s="78"/>
      <c r="AF113" s="78"/>
      <c r="AG113" s="78"/>
      <c r="AH113" s="78"/>
      <c r="AI113" s="78"/>
      <c r="AJ113" s="78"/>
      <c r="AK113" s="78"/>
      <c r="AL113" s="78"/>
      <c r="AM113" s="81"/>
      <c r="AN113" s="101"/>
      <c r="AO113" s="78"/>
      <c r="AP113" s="78"/>
      <c r="AQ113" s="78"/>
      <c r="AR113" s="78"/>
      <c r="AS113" s="79"/>
    </row>
    <row r="114" spans="1:45" ht="20.25" customHeight="1">
      <c r="A114" s="78"/>
      <c r="B114" s="78"/>
      <c r="C114" s="81"/>
      <c r="D114" s="78"/>
      <c r="E114" s="78"/>
      <c r="F114" s="78"/>
      <c r="G114" s="78"/>
      <c r="H114" s="78"/>
      <c r="I114" s="78"/>
      <c r="J114" s="78"/>
      <c r="K114" s="78"/>
      <c r="L114" s="78"/>
      <c r="M114" s="78"/>
      <c r="N114" s="78"/>
      <c r="O114" s="78"/>
      <c r="P114" s="78"/>
      <c r="Q114" s="103"/>
      <c r="R114" s="553"/>
      <c r="S114" s="553"/>
      <c r="T114" s="553"/>
      <c r="U114" s="553"/>
      <c r="V114" s="70"/>
      <c r="W114" s="78"/>
      <c r="X114" s="78"/>
      <c r="Y114" s="79"/>
      <c r="Z114" s="79"/>
      <c r="AA114" s="78"/>
      <c r="AB114" s="78"/>
      <c r="AC114" s="78"/>
      <c r="AD114" s="78"/>
      <c r="AE114" s="78"/>
      <c r="AF114" s="78"/>
      <c r="AG114" s="78"/>
      <c r="AH114" s="78"/>
      <c r="AI114" s="78"/>
      <c r="AJ114" s="78"/>
      <c r="AK114" s="78"/>
      <c r="AL114" s="78"/>
      <c r="AM114" s="81"/>
      <c r="AN114" s="101"/>
      <c r="AO114" s="78"/>
      <c r="AP114" s="78"/>
      <c r="AQ114" s="78"/>
      <c r="AR114" s="78"/>
      <c r="AS114" s="79"/>
    </row>
    <row r="115" spans="1:45" ht="20.25" customHeight="1">
      <c r="A115" s="78"/>
      <c r="B115" s="78"/>
      <c r="C115" s="81"/>
      <c r="D115" s="78"/>
      <c r="E115" s="78"/>
      <c r="F115" s="78"/>
      <c r="G115" s="78"/>
      <c r="H115" s="78"/>
      <c r="I115" s="78"/>
      <c r="J115" s="78"/>
      <c r="K115" s="78"/>
      <c r="L115" s="78"/>
      <c r="M115" s="78"/>
      <c r="N115" s="78"/>
      <c r="O115" s="78"/>
      <c r="P115" s="78"/>
      <c r="Q115" s="103"/>
      <c r="R115" s="553"/>
      <c r="S115" s="553"/>
      <c r="T115" s="553"/>
      <c r="U115" s="553"/>
      <c r="V115" s="70"/>
      <c r="W115" s="78"/>
      <c r="X115" s="78"/>
      <c r="Y115" s="79"/>
      <c r="Z115" s="79"/>
      <c r="AA115" s="78"/>
      <c r="AB115" s="78"/>
      <c r="AC115" s="78"/>
      <c r="AD115" s="78"/>
      <c r="AE115" s="78"/>
      <c r="AF115" s="78"/>
      <c r="AG115" s="78"/>
      <c r="AH115" s="78"/>
      <c r="AI115" s="78"/>
      <c r="AJ115" s="78"/>
      <c r="AK115" s="78"/>
      <c r="AL115" s="78"/>
      <c r="AM115" s="81"/>
      <c r="AN115" s="101"/>
      <c r="AO115" s="78"/>
      <c r="AP115" s="78"/>
      <c r="AQ115" s="78"/>
      <c r="AR115" s="78"/>
      <c r="AS115" s="79"/>
    </row>
    <row r="116" spans="1:45" ht="20.25" customHeight="1">
      <c r="A116" s="78"/>
      <c r="B116" s="78"/>
      <c r="C116" s="81"/>
      <c r="D116" s="78"/>
      <c r="E116" s="78"/>
      <c r="F116" s="78"/>
      <c r="G116" s="78"/>
      <c r="H116" s="78"/>
      <c r="I116" s="78"/>
      <c r="J116" s="78"/>
      <c r="K116" s="78"/>
      <c r="L116" s="78"/>
      <c r="M116" s="78"/>
      <c r="N116" s="78"/>
      <c r="O116" s="78"/>
      <c r="P116" s="78"/>
      <c r="Q116" s="103"/>
      <c r="R116" s="553"/>
      <c r="S116" s="553"/>
      <c r="T116" s="553"/>
      <c r="U116" s="553"/>
      <c r="V116" s="70"/>
      <c r="W116" s="78"/>
      <c r="X116" s="78"/>
      <c r="Y116" s="79"/>
      <c r="Z116" s="79"/>
      <c r="AA116" s="78"/>
      <c r="AB116" s="78"/>
      <c r="AC116" s="78"/>
      <c r="AD116" s="78"/>
      <c r="AE116" s="78"/>
      <c r="AF116" s="78"/>
      <c r="AG116" s="78"/>
      <c r="AH116" s="78"/>
      <c r="AI116" s="78"/>
      <c r="AJ116" s="78"/>
      <c r="AK116" s="78"/>
      <c r="AL116" s="78"/>
      <c r="AM116" s="81"/>
      <c r="AN116" s="101"/>
      <c r="AO116" s="78"/>
      <c r="AP116" s="78"/>
      <c r="AQ116" s="78"/>
      <c r="AR116" s="78"/>
      <c r="AS116" s="79"/>
    </row>
    <row r="117" spans="1:45" ht="20.25" customHeight="1">
      <c r="A117" s="78"/>
      <c r="B117" s="78"/>
      <c r="C117" s="81"/>
      <c r="D117" s="78"/>
      <c r="E117" s="78"/>
      <c r="F117" s="78"/>
      <c r="G117" s="78"/>
      <c r="H117" s="78"/>
      <c r="I117" s="78"/>
      <c r="J117" s="78"/>
      <c r="K117" s="78"/>
      <c r="L117" s="78"/>
      <c r="M117" s="78"/>
      <c r="N117" s="78"/>
      <c r="O117" s="78"/>
      <c r="P117" s="78"/>
      <c r="Q117" s="103"/>
      <c r="R117" s="553"/>
      <c r="S117" s="553"/>
      <c r="T117" s="553"/>
      <c r="U117" s="553"/>
      <c r="V117" s="70"/>
      <c r="W117" s="78"/>
      <c r="X117" s="78"/>
      <c r="Y117" s="79"/>
      <c r="Z117" s="79"/>
      <c r="AA117" s="78"/>
      <c r="AB117" s="78"/>
      <c r="AC117" s="78"/>
      <c r="AD117" s="78"/>
      <c r="AE117" s="78"/>
      <c r="AF117" s="78"/>
      <c r="AG117" s="78"/>
      <c r="AH117" s="78"/>
      <c r="AI117" s="78"/>
      <c r="AJ117" s="78"/>
      <c r="AK117" s="78"/>
      <c r="AL117" s="78"/>
      <c r="AM117" s="81"/>
      <c r="AN117" s="101"/>
      <c r="AO117" s="78"/>
      <c r="AP117" s="78"/>
      <c r="AQ117" s="78"/>
      <c r="AR117" s="78"/>
      <c r="AS117" s="79"/>
    </row>
    <row r="118" spans="1:45" ht="20.25" customHeight="1">
      <c r="A118" s="78"/>
      <c r="B118" s="78"/>
      <c r="C118" s="81"/>
      <c r="D118" s="78"/>
      <c r="E118" s="78"/>
      <c r="F118" s="78"/>
      <c r="G118" s="78"/>
      <c r="H118" s="78"/>
      <c r="I118" s="78"/>
      <c r="J118" s="78"/>
      <c r="K118" s="78"/>
      <c r="L118" s="78"/>
      <c r="M118" s="78"/>
      <c r="N118" s="78"/>
      <c r="O118" s="78"/>
      <c r="P118" s="78"/>
      <c r="Q118" s="103"/>
      <c r="R118" s="553"/>
      <c r="S118" s="553"/>
      <c r="T118" s="553"/>
      <c r="U118" s="553"/>
      <c r="V118" s="70"/>
      <c r="W118" s="78"/>
      <c r="X118" s="78"/>
      <c r="Y118" s="79"/>
      <c r="Z118" s="79"/>
      <c r="AA118" s="78"/>
      <c r="AB118" s="78"/>
      <c r="AC118" s="78"/>
      <c r="AD118" s="78"/>
      <c r="AE118" s="78"/>
      <c r="AF118" s="78"/>
      <c r="AG118" s="78"/>
      <c r="AH118" s="78"/>
      <c r="AI118" s="78"/>
      <c r="AJ118" s="78"/>
      <c r="AK118" s="78"/>
      <c r="AL118" s="78"/>
      <c r="AM118" s="81"/>
      <c r="AN118" s="101"/>
      <c r="AO118" s="78"/>
      <c r="AP118" s="78"/>
      <c r="AQ118" s="78"/>
      <c r="AR118" s="78"/>
      <c r="AS118" s="79"/>
    </row>
    <row r="119" spans="1:45" ht="20.25" customHeight="1">
      <c r="A119" s="78"/>
      <c r="B119" s="78"/>
      <c r="C119" s="81"/>
      <c r="D119" s="78"/>
      <c r="E119" s="78"/>
      <c r="F119" s="78"/>
      <c r="G119" s="78"/>
      <c r="H119" s="78"/>
      <c r="I119" s="78"/>
      <c r="J119" s="78"/>
      <c r="K119" s="78"/>
      <c r="L119" s="78"/>
      <c r="M119" s="78"/>
      <c r="N119" s="78"/>
      <c r="O119" s="78"/>
      <c r="P119" s="78"/>
      <c r="Q119" s="103"/>
      <c r="R119" s="553"/>
      <c r="S119" s="553"/>
      <c r="T119" s="553"/>
      <c r="U119" s="553"/>
      <c r="V119" s="70"/>
      <c r="W119" s="78"/>
      <c r="X119" s="78"/>
      <c r="Y119" s="79"/>
      <c r="Z119" s="79"/>
      <c r="AA119" s="78"/>
      <c r="AB119" s="78"/>
      <c r="AC119" s="78"/>
      <c r="AD119" s="78"/>
      <c r="AE119" s="78"/>
      <c r="AF119" s="78"/>
      <c r="AG119" s="78"/>
      <c r="AH119" s="78"/>
      <c r="AI119" s="78"/>
      <c r="AJ119" s="78"/>
      <c r="AK119" s="78"/>
      <c r="AL119" s="78"/>
      <c r="AM119" s="81"/>
      <c r="AN119" s="101"/>
      <c r="AO119" s="78"/>
      <c r="AP119" s="78"/>
      <c r="AQ119" s="78"/>
      <c r="AR119" s="78"/>
      <c r="AS119" s="79"/>
    </row>
    <row r="120" spans="1:45" ht="20.25" customHeight="1">
      <c r="A120" s="78"/>
      <c r="B120" s="78"/>
      <c r="C120" s="81"/>
      <c r="D120" s="78"/>
      <c r="E120" s="78"/>
      <c r="F120" s="78"/>
      <c r="G120" s="78"/>
      <c r="H120" s="78"/>
      <c r="I120" s="78"/>
      <c r="J120" s="78"/>
      <c r="K120" s="78"/>
      <c r="L120" s="78"/>
      <c r="M120" s="78"/>
      <c r="N120" s="78"/>
      <c r="O120" s="78"/>
      <c r="P120" s="78"/>
      <c r="Q120" s="103"/>
      <c r="R120" s="553"/>
      <c r="S120" s="553"/>
      <c r="T120" s="553"/>
      <c r="U120" s="553"/>
      <c r="V120" s="70"/>
      <c r="W120" s="78"/>
      <c r="X120" s="78"/>
      <c r="Y120" s="79"/>
      <c r="Z120" s="79"/>
      <c r="AA120" s="78"/>
      <c r="AB120" s="78"/>
      <c r="AC120" s="78"/>
      <c r="AD120" s="78"/>
      <c r="AE120" s="78"/>
      <c r="AF120" s="78"/>
      <c r="AG120" s="78"/>
      <c r="AH120" s="78"/>
      <c r="AI120" s="78"/>
      <c r="AJ120" s="78"/>
      <c r="AK120" s="78"/>
      <c r="AL120" s="78"/>
      <c r="AM120" s="81"/>
      <c r="AN120" s="101"/>
      <c r="AO120" s="78"/>
      <c r="AP120" s="78"/>
      <c r="AQ120" s="78"/>
      <c r="AR120" s="78"/>
      <c r="AS120" s="79"/>
    </row>
    <row r="121" spans="1:45" ht="20.25" customHeight="1">
      <c r="A121" s="78"/>
      <c r="B121" s="78"/>
      <c r="C121" s="81"/>
      <c r="D121" s="78"/>
      <c r="E121" s="78"/>
      <c r="F121" s="78"/>
      <c r="G121" s="78"/>
      <c r="H121" s="78"/>
      <c r="I121" s="78"/>
      <c r="J121" s="78"/>
      <c r="K121" s="78"/>
      <c r="L121" s="78"/>
      <c r="M121" s="78"/>
      <c r="N121" s="78"/>
      <c r="O121" s="78"/>
      <c r="P121" s="78"/>
      <c r="Q121" s="103"/>
      <c r="R121" s="553"/>
      <c r="S121" s="553"/>
      <c r="T121" s="553"/>
      <c r="U121" s="553"/>
      <c r="V121" s="70"/>
      <c r="W121" s="78"/>
      <c r="X121" s="78"/>
      <c r="Y121" s="79"/>
      <c r="Z121" s="79"/>
      <c r="AA121" s="78"/>
      <c r="AB121" s="78"/>
      <c r="AC121" s="78"/>
      <c r="AD121" s="78"/>
      <c r="AE121" s="78"/>
      <c r="AF121" s="78"/>
      <c r="AG121" s="78"/>
      <c r="AH121" s="78"/>
      <c r="AI121" s="78"/>
      <c r="AJ121" s="78"/>
      <c r="AK121" s="78"/>
      <c r="AL121" s="78"/>
      <c r="AM121" s="81"/>
      <c r="AN121" s="101"/>
      <c r="AO121" s="78"/>
      <c r="AP121" s="78"/>
      <c r="AQ121" s="78"/>
      <c r="AR121" s="78"/>
      <c r="AS121" s="79"/>
    </row>
    <row r="122" spans="1:45" ht="20.25" customHeight="1">
      <c r="A122" s="78"/>
      <c r="B122" s="78"/>
      <c r="C122" s="81"/>
      <c r="D122" s="78"/>
      <c r="E122" s="78"/>
      <c r="F122" s="78"/>
      <c r="G122" s="78"/>
      <c r="H122" s="78"/>
      <c r="I122" s="78"/>
      <c r="J122" s="78"/>
      <c r="K122" s="78"/>
      <c r="L122" s="78"/>
      <c r="M122" s="78"/>
      <c r="N122" s="78"/>
      <c r="O122" s="78"/>
      <c r="P122" s="78"/>
      <c r="Q122" s="103"/>
      <c r="R122" s="553"/>
      <c r="S122" s="553"/>
      <c r="T122" s="553"/>
      <c r="U122" s="553"/>
      <c r="V122" s="70"/>
      <c r="W122" s="78"/>
      <c r="X122" s="78"/>
      <c r="Y122" s="79"/>
      <c r="Z122" s="79"/>
      <c r="AA122" s="78"/>
      <c r="AB122" s="78"/>
      <c r="AC122" s="78"/>
      <c r="AD122" s="78"/>
      <c r="AE122" s="78"/>
      <c r="AF122" s="78"/>
      <c r="AG122" s="78"/>
      <c r="AH122" s="78"/>
      <c r="AI122" s="78"/>
      <c r="AJ122" s="78"/>
      <c r="AK122" s="78"/>
      <c r="AL122" s="78"/>
      <c r="AM122" s="81"/>
      <c r="AN122" s="101"/>
      <c r="AO122" s="78"/>
      <c r="AP122" s="78"/>
      <c r="AQ122" s="78"/>
      <c r="AR122" s="78"/>
      <c r="AS122" s="79"/>
    </row>
    <row r="123" spans="1:45" ht="20.25" customHeight="1">
      <c r="A123" s="78"/>
      <c r="B123" s="78"/>
      <c r="C123" s="81"/>
      <c r="D123" s="78"/>
      <c r="E123" s="78"/>
      <c r="F123" s="78"/>
      <c r="G123" s="78"/>
      <c r="H123" s="78"/>
      <c r="I123" s="78"/>
      <c r="J123" s="78"/>
      <c r="K123" s="78"/>
      <c r="L123" s="78"/>
      <c r="M123" s="78"/>
      <c r="N123" s="78"/>
      <c r="O123" s="78"/>
      <c r="P123" s="78"/>
      <c r="Q123" s="103"/>
      <c r="R123" s="553"/>
      <c r="S123" s="553"/>
      <c r="T123" s="553"/>
      <c r="U123" s="553"/>
      <c r="V123" s="70"/>
      <c r="W123" s="78"/>
      <c r="X123" s="78"/>
      <c r="Y123" s="79"/>
      <c r="Z123" s="79"/>
      <c r="AA123" s="78"/>
      <c r="AB123" s="78"/>
      <c r="AC123" s="78"/>
      <c r="AD123" s="78"/>
      <c r="AE123" s="78"/>
      <c r="AF123" s="78"/>
      <c r="AG123" s="78"/>
      <c r="AH123" s="78"/>
      <c r="AI123" s="78"/>
      <c r="AJ123" s="78"/>
      <c r="AK123" s="78"/>
      <c r="AL123" s="78"/>
      <c r="AM123" s="81"/>
      <c r="AN123" s="101"/>
      <c r="AO123" s="78"/>
      <c r="AP123" s="78"/>
      <c r="AQ123" s="78"/>
      <c r="AR123" s="78"/>
      <c r="AS123" s="79"/>
    </row>
    <row r="124" spans="1:45" ht="20.25" customHeight="1">
      <c r="A124" s="78"/>
      <c r="B124" s="78"/>
      <c r="C124" s="81"/>
      <c r="D124" s="78"/>
      <c r="E124" s="78"/>
      <c r="F124" s="78"/>
      <c r="G124" s="78"/>
      <c r="H124" s="78"/>
      <c r="I124" s="78"/>
      <c r="J124" s="78"/>
      <c r="K124" s="78"/>
      <c r="L124" s="78"/>
      <c r="M124" s="78"/>
      <c r="N124" s="78"/>
      <c r="O124" s="78"/>
      <c r="P124" s="78"/>
      <c r="Q124" s="103"/>
      <c r="R124" s="553"/>
      <c r="S124" s="553"/>
      <c r="T124" s="553"/>
      <c r="U124" s="553"/>
      <c r="V124" s="70"/>
      <c r="W124" s="78"/>
      <c r="X124" s="78"/>
      <c r="Y124" s="79"/>
      <c r="Z124" s="79"/>
      <c r="AA124" s="78"/>
      <c r="AB124" s="78"/>
      <c r="AC124" s="78"/>
      <c r="AD124" s="78"/>
      <c r="AE124" s="78"/>
      <c r="AF124" s="78"/>
      <c r="AG124" s="78"/>
      <c r="AH124" s="78"/>
      <c r="AI124" s="78"/>
      <c r="AJ124" s="78"/>
      <c r="AK124" s="78"/>
      <c r="AL124" s="78"/>
      <c r="AM124" s="81"/>
      <c r="AN124" s="101"/>
      <c r="AO124" s="78"/>
      <c r="AP124" s="78"/>
      <c r="AQ124" s="78"/>
      <c r="AR124" s="78"/>
      <c r="AS124" s="79"/>
    </row>
    <row r="125" spans="1:45" ht="20.25" customHeight="1">
      <c r="A125" s="78"/>
      <c r="B125" s="78"/>
      <c r="C125" s="81"/>
      <c r="D125" s="78"/>
      <c r="E125" s="78"/>
      <c r="F125" s="78"/>
      <c r="G125" s="78"/>
      <c r="H125" s="78"/>
      <c r="I125" s="78"/>
      <c r="J125" s="78"/>
      <c r="K125" s="78"/>
      <c r="L125" s="78"/>
      <c r="M125" s="78"/>
      <c r="N125" s="78"/>
      <c r="O125" s="78"/>
      <c r="P125" s="78"/>
      <c r="Q125" s="103"/>
      <c r="R125" s="553"/>
      <c r="S125" s="553"/>
      <c r="T125" s="553"/>
      <c r="U125" s="553"/>
      <c r="V125" s="70"/>
      <c r="W125" s="78"/>
      <c r="X125" s="78"/>
      <c r="Y125" s="79"/>
      <c r="Z125" s="79"/>
      <c r="AA125" s="78"/>
      <c r="AB125" s="78"/>
      <c r="AC125" s="78"/>
      <c r="AD125" s="78"/>
      <c r="AE125" s="78"/>
      <c r="AF125" s="78"/>
      <c r="AG125" s="78"/>
      <c r="AH125" s="78"/>
      <c r="AI125" s="78"/>
      <c r="AJ125" s="78"/>
      <c r="AK125" s="78"/>
      <c r="AL125" s="78"/>
      <c r="AM125" s="81"/>
      <c r="AN125" s="101"/>
      <c r="AO125" s="78"/>
      <c r="AP125" s="78"/>
      <c r="AQ125" s="78"/>
      <c r="AR125" s="78"/>
      <c r="AS125" s="79"/>
    </row>
    <row r="126" spans="1:45" ht="20.25" customHeight="1">
      <c r="A126" s="78"/>
      <c r="B126" s="78"/>
      <c r="C126" s="81"/>
      <c r="D126" s="78"/>
      <c r="E126" s="78"/>
      <c r="F126" s="78"/>
      <c r="G126" s="78"/>
      <c r="H126" s="78"/>
      <c r="I126" s="78"/>
      <c r="J126" s="78"/>
      <c r="K126" s="78"/>
      <c r="L126" s="78"/>
      <c r="M126" s="78"/>
      <c r="N126" s="78"/>
      <c r="O126" s="78"/>
      <c r="P126" s="78"/>
      <c r="Q126" s="103"/>
      <c r="R126" s="553"/>
      <c r="S126" s="553"/>
      <c r="T126" s="553"/>
      <c r="U126" s="553"/>
      <c r="V126" s="70"/>
      <c r="W126" s="78"/>
      <c r="X126" s="78"/>
      <c r="Y126" s="79"/>
      <c r="Z126" s="79"/>
      <c r="AA126" s="78"/>
      <c r="AB126" s="78"/>
      <c r="AC126" s="78"/>
      <c r="AD126" s="78"/>
      <c r="AE126" s="78"/>
      <c r="AF126" s="78"/>
      <c r="AG126" s="78"/>
      <c r="AH126" s="78"/>
      <c r="AI126" s="78"/>
      <c r="AJ126" s="78"/>
      <c r="AK126" s="78"/>
      <c r="AL126" s="78"/>
      <c r="AM126" s="81"/>
      <c r="AN126" s="101"/>
      <c r="AO126" s="78"/>
      <c r="AP126" s="78"/>
      <c r="AQ126" s="78"/>
      <c r="AR126" s="78"/>
      <c r="AS126" s="79"/>
    </row>
    <row r="127" spans="1:45" ht="20.25" customHeight="1">
      <c r="A127" s="78"/>
      <c r="B127" s="78"/>
      <c r="C127" s="81"/>
      <c r="D127" s="78"/>
      <c r="E127" s="78"/>
      <c r="F127" s="78"/>
      <c r="G127" s="78"/>
      <c r="H127" s="78"/>
      <c r="I127" s="78"/>
      <c r="J127" s="78"/>
      <c r="K127" s="78"/>
      <c r="L127" s="78"/>
      <c r="M127" s="78"/>
      <c r="N127" s="78"/>
      <c r="O127" s="78"/>
      <c r="P127" s="78"/>
      <c r="Q127" s="103"/>
      <c r="R127" s="553"/>
      <c r="S127" s="553"/>
      <c r="T127" s="553"/>
      <c r="U127" s="553"/>
      <c r="V127" s="70"/>
      <c r="W127" s="78"/>
      <c r="X127" s="78"/>
      <c r="Y127" s="79"/>
      <c r="Z127" s="79"/>
      <c r="AA127" s="78"/>
      <c r="AB127" s="78"/>
      <c r="AC127" s="78"/>
      <c r="AD127" s="78"/>
      <c r="AE127" s="78"/>
      <c r="AF127" s="78"/>
      <c r="AG127" s="78"/>
      <c r="AH127" s="78"/>
      <c r="AI127" s="78"/>
      <c r="AJ127" s="78"/>
      <c r="AK127" s="78"/>
      <c r="AL127" s="78"/>
      <c r="AM127" s="81"/>
      <c r="AN127" s="101"/>
      <c r="AO127" s="78"/>
      <c r="AP127" s="78"/>
      <c r="AQ127" s="78"/>
      <c r="AR127" s="78"/>
      <c r="AS127" s="79"/>
    </row>
    <row r="128" spans="1:45" ht="20.25" customHeight="1">
      <c r="A128" s="78"/>
      <c r="B128" s="78"/>
      <c r="C128" s="81"/>
      <c r="D128" s="78"/>
      <c r="E128" s="78"/>
      <c r="F128" s="78"/>
      <c r="G128" s="78"/>
      <c r="H128" s="78"/>
      <c r="I128" s="78"/>
      <c r="J128" s="78"/>
      <c r="K128" s="78"/>
      <c r="L128" s="78"/>
      <c r="M128" s="78"/>
      <c r="N128" s="78"/>
      <c r="O128" s="78"/>
      <c r="P128" s="78"/>
      <c r="Q128" s="103"/>
      <c r="R128" s="553"/>
      <c r="S128" s="553"/>
      <c r="T128" s="553"/>
      <c r="U128" s="553"/>
      <c r="V128" s="70"/>
      <c r="W128" s="78"/>
      <c r="X128" s="78"/>
      <c r="Y128" s="79"/>
      <c r="Z128" s="79"/>
      <c r="AA128" s="78"/>
      <c r="AB128" s="78"/>
      <c r="AC128" s="78"/>
      <c r="AD128" s="78"/>
      <c r="AE128" s="78"/>
      <c r="AF128" s="78"/>
      <c r="AG128" s="78"/>
      <c r="AH128" s="78"/>
      <c r="AI128" s="78"/>
      <c r="AJ128" s="78"/>
      <c r="AK128" s="78"/>
      <c r="AL128" s="78"/>
      <c r="AM128" s="81"/>
      <c r="AN128" s="101"/>
      <c r="AO128" s="78"/>
      <c r="AP128" s="78"/>
      <c r="AQ128" s="78"/>
      <c r="AR128" s="78"/>
      <c r="AS128" s="79"/>
    </row>
    <row r="129" spans="1:45" ht="20.25" customHeight="1">
      <c r="A129" s="78"/>
      <c r="B129" s="78"/>
      <c r="C129" s="81"/>
      <c r="D129" s="78"/>
      <c r="E129" s="78"/>
      <c r="F129" s="78"/>
      <c r="G129" s="78"/>
      <c r="H129" s="78"/>
      <c r="I129" s="78"/>
      <c r="J129" s="78"/>
      <c r="K129" s="78"/>
      <c r="L129" s="78"/>
      <c r="M129" s="78"/>
      <c r="N129" s="78"/>
      <c r="O129" s="78"/>
      <c r="P129" s="78"/>
      <c r="Q129" s="103"/>
      <c r="R129" s="553"/>
      <c r="S129" s="553"/>
      <c r="T129" s="553"/>
      <c r="U129" s="553"/>
      <c r="V129" s="70"/>
      <c r="W129" s="78"/>
      <c r="X129" s="78"/>
      <c r="Y129" s="79"/>
      <c r="Z129" s="79"/>
      <c r="AA129" s="78"/>
      <c r="AB129" s="78"/>
      <c r="AC129" s="78"/>
      <c r="AD129" s="78"/>
      <c r="AE129" s="78"/>
      <c r="AF129" s="78"/>
      <c r="AG129" s="78"/>
      <c r="AH129" s="78"/>
      <c r="AI129" s="78"/>
      <c r="AJ129" s="78"/>
      <c r="AK129" s="78"/>
      <c r="AL129" s="78"/>
      <c r="AM129" s="81"/>
      <c r="AN129" s="101"/>
      <c r="AO129" s="78"/>
      <c r="AP129" s="78"/>
      <c r="AQ129" s="78"/>
      <c r="AR129" s="78"/>
      <c r="AS129" s="79"/>
    </row>
    <row r="130" spans="1:45" ht="20.25" customHeight="1">
      <c r="A130" s="78"/>
      <c r="B130" s="78"/>
      <c r="C130" s="81"/>
      <c r="D130" s="78"/>
      <c r="E130" s="78"/>
      <c r="F130" s="78"/>
      <c r="G130" s="78"/>
      <c r="H130" s="78"/>
      <c r="I130" s="78"/>
      <c r="J130" s="78"/>
      <c r="K130" s="78"/>
      <c r="L130" s="78"/>
      <c r="M130" s="78"/>
      <c r="N130" s="78"/>
      <c r="O130" s="78"/>
      <c r="P130" s="78"/>
      <c r="Q130" s="103"/>
      <c r="R130" s="553"/>
      <c r="S130" s="553"/>
      <c r="T130" s="553"/>
      <c r="U130" s="553"/>
      <c r="V130" s="70"/>
      <c r="W130" s="78"/>
      <c r="X130" s="78"/>
      <c r="Y130" s="79"/>
      <c r="Z130" s="79"/>
      <c r="AA130" s="78"/>
      <c r="AB130" s="78"/>
      <c r="AC130" s="78"/>
      <c r="AD130" s="78"/>
      <c r="AE130" s="78"/>
      <c r="AF130" s="78"/>
      <c r="AG130" s="78"/>
      <c r="AH130" s="78"/>
      <c r="AI130" s="78"/>
      <c r="AJ130" s="78"/>
      <c r="AK130" s="78"/>
      <c r="AL130" s="78"/>
      <c r="AM130" s="81"/>
      <c r="AN130" s="101"/>
      <c r="AO130" s="78"/>
      <c r="AP130" s="78"/>
      <c r="AQ130" s="78"/>
      <c r="AR130" s="78"/>
      <c r="AS130" s="79"/>
    </row>
    <row r="131" spans="1:45" ht="20.25" customHeight="1">
      <c r="A131" s="78"/>
      <c r="B131" s="78"/>
      <c r="C131" s="81"/>
      <c r="D131" s="78"/>
      <c r="E131" s="78"/>
      <c r="F131" s="78"/>
      <c r="G131" s="78"/>
      <c r="H131" s="78"/>
      <c r="I131" s="78"/>
      <c r="J131" s="78"/>
      <c r="K131" s="78"/>
      <c r="L131" s="78"/>
      <c r="M131" s="78"/>
      <c r="N131" s="78"/>
      <c r="O131" s="78"/>
      <c r="P131" s="78"/>
      <c r="Q131" s="103"/>
      <c r="R131" s="553"/>
      <c r="S131" s="553"/>
      <c r="T131" s="553"/>
      <c r="U131" s="553"/>
      <c r="V131" s="70"/>
      <c r="W131" s="78"/>
      <c r="X131" s="78"/>
      <c r="Y131" s="79"/>
      <c r="Z131" s="79"/>
      <c r="AA131" s="78"/>
      <c r="AB131" s="78"/>
      <c r="AC131" s="78"/>
      <c r="AD131" s="78"/>
      <c r="AE131" s="78"/>
      <c r="AF131" s="78"/>
      <c r="AG131" s="78"/>
      <c r="AH131" s="78"/>
      <c r="AI131" s="78"/>
      <c r="AJ131" s="78"/>
      <c r="AK131" s="78"/>
      <c r="AL131" s="78"/>
      <c r="AM131" s="81"/>
      <c r="AN131" s="101"/>
      <c r="AO131" s="78"/>
      <c r="AP131" s="78"/>
      <c r="AQ131" s="78"/>
      <c r="AR131" s="78"/>
      <c r="AS131" s="79"/>
    </row>
    <row r="132" spans="1:45" ht="20.25" customHeight="1">
      <c r="A132" s="78"/>
      <c r="B132" s="78"/>
      <c r="C132" s="81"/>
      <c r="D132" s="78"/>
      <c r="E132" s="78"/>
      <c r="F132" s="78"/>
      <c r="G132" s="78"/>
      <c r="H132" s="78"/>
      <c r="I132" s="78"/>
      <c r="J132" s="78"/>
      <c r="K132" s="78"/>
      <c r="L132" s="78"/>
      <c r="M132" s="78"/>
      <c r="N132" s="78"/>
      <c r="O132" s="78"/>
      <c r="P132" s="78"/>
      <c r="Q132" s="103"/>
      <c r="R132" s="553"/>
      <c r="S132" s="553"/>
      <c r="T132" s="553"/>
      <c r="U132" s="553"/>
      <c r="V132" s="70"/>
      <c r="W132" s="78"/>
      <c r="X132" s="78"/>
      <c r="Y132" s="79"/>
      <c r="Z132" s="79"/>
      <c r="AA132" s="78"/>
      <c r="AB132" s="78"/>
      <c r="AC132" s="78"/>
      <c r="AD132" s="78"/>
      <c r="AE132" s="78"/>
      <c r="AF132" s="78"/>
      <c r="AG132" s="78"/>
      <c r="AH132" s="78"/>
      <c r="AI132" s="78"/>
      <c r="AJ132" s="78"/>
      <c r="AK132" s="78"/>
      <c r="AL132" s="78"/>
      <c r="AM132" s="81"/>
      <c r="AN132" s="101"/>
      <c r="AO132" s="78"/>
      <c r="AP132" s="78"/>
      <c r="AQ132" s="78"/>
      <c r="AR132" s="78"/>
      <c r="AS132" s="79"/>
    </row>
    <row r="133" spans="1:45" ht="20.25" customHeight="1">
      <c r="A133" s="78"/>
      <c r="B133" s="78"/>
      <c r="C133" s="81"/>
      <c r="D133" s="78"/>
      <c r="E133" s="78"/>
      <c r="F133" s="78"/>
      <c r="G133" s="78"/>
      <c r="H133" s="78"/>
      <c r="I133" s="78"/>
      <c r="J133" s="78"/>
      <c r="K133" s="78"/>
      <c r="L133" s="78"/>
      <c r="M133" s="78"/>
      <c r="N133" s="78"/>
      <c r="O133" s="78"/>
      <c r="P133" s="78"/>
      <c r="Q133" s="103"/>
      <c r="R133" s="553"/>
      <c r="S133" s="553"/>
      <c r="T133" s="553"/>
      <c r="U133" s="553"/>
      <c r="V133" s="70"/>
      <c r="W133" s="78"/>
      <c r="X133" s="78"/>
      <c r="Y133" s="79"/>
      <c r="Z133" s="79"/>
      <c r="AA133" s="78"/>
      <c r="AB133" s="78"/>
      <c r="AC133" s="78"/>
      <c r="AD133" s="78"/>
      <c r="AE133" s="78"/>
      <c r="AF133" s="78"/>
      <c r="AG133" s="78"/>
      <c r="AH133" s="78"/>
      <c r="AI133" s="78"/>
      <c r="AJ133" s="78"/>
      <c r="AK133" s="78"/>
      <c r="AL133" s="78"/>
      <c r="AM133" s="81"/>
      <c r="AN133" s="101"/>
      <c r="AO133" s="78"/>
      <c r="AP133" s="78"/>
      <c r="AQ133" s="78"/>
      <c r="AR133" s="78"/>
      <c r="AS133" s="79"/>
    </row>
    <row r="134" spans="1:45" ht="20.25" customHeight="1">
      <c r="A134" s="78"/>
      <c r="B134" s="78"/>
      <c r="C134" s="81"/>
      <c r="D134" s="78"/>
      <c r="E134" s="78"/>
      <c r="F134" s="78"/>
      <c r="G134" s="78"/>
      <c r="H134" s="78"/>
      <c r="I134" s="78"/>
      <c r="J134" s="78"/>
      <c r="K134" s="78"/>
      <c r="L134" s="78"/>
      <c r="M134" s="78"/>
      <c r="N134" s="78"/>
      <c r="O134" s="78"/>
      <c r="P134" s="78"/>
      <c r="Q134" s="103"/>
      <c r="R134" s="553"/>
      <c r="S134" s="553"/>
      <c r="T134" s="553"/>
      <c r="U134" s="553"/>
      <c r="V134" s="70"/>
      <c r="W134" s="78"/>
      <c r="X134" s="78"/>
      <c r="Y134" s="79"/>
      <c r="Z134" s="79"/>
      <c r="AA134" s="78"/>
      <c r="AB134" s="78"/>
      <c r="AC134" s="78"/>
      <c r="AD134" s="78"/>
      <c r="AE134" s="78"/>
      <c r="AF134" s="78"/>
      <c r="AG134" s="78"/>
      <c r="AH134" s="78"/>
      <c r="AI134" s="78"/>
      <c r="AJ134" s="78"/>
      <c r="AK134" s="78"/>
      <c r="AL134" s="78"/>
      <c r="AM134" s="81"/>
      <c r="AN134" s="101"/>
      <c r="AO134" s="78"/>
      <c r="AP134" s="78"/>
      <c r="AQ134" s="78"/>
      <c r="AR134" s="78"/>
      <c r="AS134" s="79"/>
    </row>
    <row r="135" spans="1:45" ht="20.25" customHeight="1">
      <c r="A135" s="78"/>
      <c r="B135" s="78"/>
      <c r="C135" s="81"/>
      <c r="D135" s="78"/>
      <c r="E135" s="78"/>
      <c r="F135" s="78"/>
      <c r="G135" s="78"/>
      <c r="H135" s="78"/>
      <c r="I135" s="78"/>
      <c r="J135" s="78"/>
      <c r="K135" s="78"/>
      <c r="L135" s="78"/>
      <c r="M135" s="78"/>
      <c r="N135" s="78"/>
      <c r="O135" s="78"/>
      <c r="P135" s="78"/>
      <c r="Q135" s="103"/>
      <c r="R135" s="553"/>
      <c r="S135" s="553"/>
      <c r="T135" s="553"/>
      <c r="U135" s="553"/>
      <c r="V135" s="70"/>
      <c r="W135" s="78"/>
      <c r="X135" s="78"/>
      <c r="Y135" s="79"/>
      <c r="Z135" s="79"/>
      <c r="AA135" s="78"/>
      <c r="AB135" s="78"/>
      <c r="AC135" s="78"/>
      <c r="AD135" s="78"/>
      <c r="AE135" s="78"/>
      <c r="AF135" s="78"/>
      <c r="AG135" s="78"/>
      <c r="AH135" s="78"/>
      <c r="AI135" s="78"/>
      <c r="AJ135" s="78"/>
      <c r="AK135" s="78"/>
      <c r="AL135" s="78"/>
      <c r="AM135" s="81"/>
      <c r="AN135" s="101"/>
      <c r="AO135" s="78"/>
      <c r="AP135" s="78"/>
      <c r="AQ135" s="78"/>
      <c r="AR135" s="78"/>
      <c r="AS135" s="79"/>
    </row>
    <row r="136" spans="1:45" ht="20.25" customHeight="1">
      <c r="A136" s="78"/>
      <c r="B136" s="78"/>
      <c r="C136" s="81"/>
      <c r="D136" s="78"/>
      <c r="E136" s="78"/>
      <c r="F136" s="78"/>
      <c r="G136" s="78"/>
      <c r="H136" s="78"/>
      <c r="I136" s="78"/>
      <c r="J136" s="78"/>
      <c r="K136" s="78"/>
      <c r="L136" s="78"/>
      <c r="M136" s="78"/>
      <c r="N136" s="78"/>
      <c r="O136" s="78"/>
      <c r="P136" s="78"/>
      <c r="Q136" s="103"/>
      <c r="R136" s="553"/>
      <c r="S136" s="553"/>
      <c r="T136" s="553"/>
      <c r="U136" s="553"/>
      <c r="V136" s="70"/>
      <c r="W136" s="78"/>
      <c r="X136" s="78"/>
      <c r="Y136" s="79"/>
      <c r="Z136" s="79"/>
      <c r="AA136" s="78"/>
      <c r="AB136" s="78"/>
      <c r="AC136" s="78"/>
      <c r="AD136" s="78"/>
      <c r="AE136" s="78"/>
      <c r="AF136" s="78"/>
      <c r="AG136" s="78"/>
      <c r="AH136" s="78"/>
      <c r="AI136" s="78"/>
      <c r="AJ136" s="78"/>
      <c r="AK136" s="78"/>
      <c r="AL136" s="78"/>
      <c r="AM136" s="81"/>
      <c r="AN136" s="101"/>
      <c r="AO136" s="78"/>
      <c r="AP136" s="78"/>
      <c r="AQ136" s="78"/>
      <c r="AR136" s="78"/>
      <c r="AS136" s="79"/>
    </row>
    <row r="137" spans="1:45" ht="20.25" customHeight="1">
      <c r="A137" s="78"/>
      <c r="B137" s="78"/>
      <c r="C137" s="81"/>
      <c r="D137" s="78"/>
      <c r="E137" s="78"/>
      <c r="F137" s="78"/>
      <c r="G137" s="78"/>
      <c r="H137" s="78"/>
      <c r="I137" s="78"/>
      <c r="J137" s="78"/>
      <c r="K137" s="78"/>
      <c r="L137" s="78"/>
      <c r="M137" s="78"/>
      <c r="N137" s="78"/>
      <c r="O137" s="78"/>
      <c r="P137" s="78"/>
      <c r="Q137" s="103"/>
      <c r="R137" s="553"/>
      <c r="S137" s="553"/>
      <c r="T137" s="553"/>
      <c r="U137" s="553"/>
      <c r="V137" s="70"/>
      <c r="W137" s="78"/>
      <c r="X137" s="78"/>
      <c r="Y137" s="79"/>
      <c r="Z137" s="79"/>
      <c r="AA137" s="78"/>
      <c r="AB137" s="78"/>
      <c r="AC137" s="78"/>
      <c r="AD137" s="78"/>
      <c r="AE137" s="78"/>
      <c r="AF137" s="78"/>
      <c r="AG137" s="78"/>
      <c r="AH137" s="78"/>
      <c r="AI137" s="78"/>
      <c r="AJ137" s="78"/>
      <c r="AK137" s="78"/>
      <c r="AL137" s="78"/>
      <c r="AM137" s="81"/>
      <c r="AN137" s="101"/>
      <c r="AO137" s="78"/>
      <c r="AP137" s="78"/>
      <c r="AQ137" s="78"/>
      <c r="AR137" s="78"/>
      <c r="AS137" s="79"/>
    </row>
    <row r="138" spans="1:45" ht="20.25" customHeight="1">
      <c r="A138" s="78"/>
      <c r="B138" s="78"/>
      <c r="C138" s="81"/>
      <c r="D138" s="78"/>
      <c r="E138" s="78"/>
      <c r="F138" s="78"/>
      <c r="G138" s="78"/>
      <c r="H138" s="78"/>
      <c r="I138" s="78"/>
      <c r="J138" s="78"/>
      <c r="K138" s="78"/>
      <c r="L138" s="78"/>
      <c r="M138" s="78"/>
      <c r="N138" s="78"/>
      <c r="O138" s="78"/>
      <c r="P138" s="78"/>
      <c r="Q138" s="103"/>
      <c r="R138" s="553"/>
      <c r="S138" s="553"/>
      <c r="T138" s="553"/>
      <c r="U138" s="553"/>
      <c r="V138" s="70"/>
      <c r="W138" s="78"/>
      <c r="X138" s="78"/>
      <c r="Y138" s="79"/>
      <c r="Z138" s="79"/>
      <c r="AA138" s="78"/>
      <c r="AB138" s="78"/>
      <c r="AC138" s="78"/>
      <c r="AD138" s="78"/>
      <c r="AE138" s="78"/>
      <c r="AF138" s="78"/>
      <c r="AG138" s="78"/>
      <c r="AH138" s="78"/>
      <c r="AI138" s="78"/>
      <c r="AJ138" s="78"/>
      <c r="AK138" s="78"/>
      <c r="AL138" s="78"/>
      <c r="AM138" s="81"/>
      <c r="AN138" s="101"/>
      <c r="AO138" s="78"/>
      <c r="AP138" s="78"/>
      <c r="AQ138" s="78"/>
      <c r="AR138" s="78"/>
      <c r="AS138" s="79"/>
    </row>
    <row r="139" spans="1:45" ht="20.25" customHeight="1">
      <c r="A139" s="78"/>
      <c r="B139" s="78"/>
      <c r="C139" s="81"/>
      <c r="D139" s="78"/>
      <c r="E139" s="78"/>
      <c r="F139" s="78"/>
      <c r="G139" s="78"/>
      <c r="H139" s="78"/>
      <c r="I139" s="78"/>
      <c r="J139" s="78"/>
      <c r="K139" s="78"/>
      <c r="L139" s="78"/>
      <c r="M139" s="78"/>
      <c r="N139" s="78"/>
      <c r="O139" s="78"/>
      <c r="P139" s="78"/>
      <c r="Q139" s="103"/>
      <c r="R139" s="553"/>
      <c r="S139" s="553"/>
      <c r="T139" s="553"/>
      <c r="U139" s="553"/>
      <c r="V139" s="70"/>
      <c r="W139" s="78"/>
      <c r="X139" s="78"/>
      <c r="Y139" s="79"/>
      <c r="Z139" s="79"/>
      <c r="AA139" s="78"/>
      <c r="AB139" s="78"/>
      <c r="AC139" s="78"/>
      <c r="AD139" s="78"/>
      <c r="AE139" s="78"/>
      <c r="AF139" s="78"/>
      <c r="AG139" s="78"/>
      <c r="AH139" s="78"/>
      <c r="AI139" s="78"/>
      <c r="AJ139" s="78"/>
      <c r="AK139" s="78"/>
      <c r="AL139" s="78"/>
      <c r="AM139" s="81"/>
      <c r="AN139" s="101"/>
      <c r="AO139" s="78"/>
      <c r="AP139" s="78"/>
      <c r="AQ139" s="78"/>
      <c r="AR139" s="78"/>
      <c r="AS139" s="79"/>
    </row>
    <row r="140" spans="1:45" ht="20.25" customHeight="1">
      <c r="A140" s="78"/>
      <c r="B140" s="78"/>
      <c r="C140" s="81"/>
      <c r="D140" s="78"/>
      <c r="E140" s="78"/>
      <c r="F140" s="78"/>
      <c r="G140" s="78"/>
      <c r="H140" s="78"/>
      <c r="I140" s="78"/>
      <c r="J140" s="78"/>
      <c r="K140" s="78"/>
      <c r="L140" s="78"/>
      <c r="M140" s="78"/>
      <c r="N140" s="78"/>
      <c r="O140" s="78"/>
      <c r="P140" s="78"/>
      <c r="Q140" s="103"/>
      <c r="R140" s="553"/>
      <c r="S140" s="553"/>
      <c r="T140" s="553"/>
      <c r="U140" s="553"/>
      <c r="V140" s="70"/>
      <c r="W140" s="78"/>
      <c r="X140" s="78"/>
      <c r="Y140" s="79"/>
      <c r="Z140" s="79"/>
      <c r="AA140" s="78"/>
      <c r="AB140" s="78"/>
      <c r="AC140" s="78"/>
      <c r="AD140" s="78"/>
      <c r="AE140" s="78"/>
      <c r="AF140" s="78"/>
      <c r="AG140" s="78"/>
      <c r="AH140" s="78"/>
      <c r="AI140" s="78"/>
      <c r="AJ140" s="78"/>
      <c r="AK140" s="78"/>
      <c r="AL140" s="78"/>
      <c r="AM140" s="81"/>
      <c r="AN140" s="101"/>
      <c r="AO140" s="78"/>
      <c r="AP140" s="78"/>
      <c r="AQ140" s="78"/>
      <c r="AR140" s="78"/>
      <c r="AS140" s="79"/>
    </row>
    <row r="141" spans="1:45" ht="20.25" customHeight="1">
      <c r="A141" s="78"/>
      <c r="B141" s="78"/>
      <c r="C141" s="81"/>
      <c r="D141" s="78"/>
      <c r="E141" s="78"/>
      <c r="F141" s="78"/>
      <c r="G141" s="78"/>
      <c r="H141" s="78"/>
      <c r="I141" s="78"/>
      <c r="J141" s="78"/>
      <c r="K141" s="78"/>
      <c r="L141" s="78"/>
      <c r="M141" s="78"/>
      <c r="N141" s="78"/>
      <c r="O141" s="78"/>
      <c r="P141" s="78"/>
      <c r="Q141" s="103"/>
      <c r="R141" s="553"/>
      <c r="S141" s="553"/>
      <c r="T141" s="553"/>
      <c r="U141" s="553"/>
      <c r="V141" s="70"/>
      <c r="W141" s="78"/>
      <c r="X141" s="78"/>
      <c r="Y141" s="79"/>
      <c r="Z141" s="79"/>
      <c r="AA141" s="78"/>
      <c r="AB141" s="78"/>
      <c r="AC141" s="78"/>
      <c r="AD141" s="78"/>
      <c r="AE141" s="78"/>
      <c r="AF141" s="78"/>
      <c r="AG141" s="78"/>
      <c r="AH141" s="78"/>
      <c r="AI141" s="78"/>
      <c r="AJ141" s="78"/>
      <c r="AK141" s="78"/>
      <c r="AL141" s="78"/>
      <c r="AM141" s="81"/>
      <c r="AN141" s="101"/>
      <c r="AO141" s="78"/>
      <c r="AP141" s="78"/>
      <c r="AQ141" s="78"/>
      <c r="AR141" s="78"/>
      <c r="AS141" s="79"/>
    </row>
    <row r="142" spans="1:45" ht="20.25" customHeight="1">
      <c r="A142" s="78"/>
      <c r="B142" s="78"/>
      <c r="C142" s="81"/>
      <c r="D142" s="78"/>
      <c r="E142" s="78"/>
      <c r="F142" s="78"/>
      <c r="G142" s="78"/>
      <c r="H142" s="78"/>
      <c r="I142" s="78"/>
      <c r="J142" s="78"/>
      <c r="K142" s="78"/>
      <c r="L142" s="78"/>
      <c r="M142" s="78"/>
      <c r="N142" s="78"/>
      <c r="O142" s="78"/>
      <c r="P142" s="78"/>
      <c r="Q142" s="103"/>
      <c r="R142" s="553"/>
      <c r="S142" s="553"/>
      <c r="T142" s="553"/>
      <c r="U142" s="553"/>
      <c r="V142" s="70"/>
      <c r="W142" s="78"/>
      <c r="X142" s="78"/>
      <c r="Y142" s="79"/>
      <c r="Z142" s="79"/>
      <c r="AA142" s="78"/>
      <c r="AB142" s="78"/>
      <c r="AC142" s="78"/>
      <c r="AD142" s="78"/>
      <c r="AE142" s="78"/>
      <c r="AF142" s="78"/>
      <c r="AG142" s="78"/>
      <c r="AH142" s="78"/>
      <c r="AI142" s="78"/>
      <c r="AJ142" s="78"/>
      <c r="AK142" s="78"/>
      <c r="AL142" s="78"/>
      <c r="AM142" s="81"/>
      <c r="AN142" s="101"/>
      <c r="AO142" s="78"/>
      <c r="AP142" s="78"/>
      <c r="AQ142" s="78"/>
      <c r="AR142" s="78"/>
      <c r="AS142" s="79"/>
    </row>
    <row r="143" spans="1:45" ht="20.25" customHeight="1">
      <c r="A143" s="78"/>
      <c r="B143" s="78"/>
      <c r="C143" s="81"/>
      <c r="D143" s="78"/>
      <c r="E143" s="78"/>
      <c r="F143" s="78"/>
      <c r="G143" s="78"/>
      <c r="H143" s="78"/>
      <c r="I143" s="78"/>
      <c r="J143" s="78"/>
      <c r="K143" s="78"/>
      <c r="L143" s="78"/>
      <c r="M143" s="78"/>
      <c r="N143" s="78"/>
      <c r="O143" s="78"/>
      <c r="P143" s="78"/>
      <c r="Q143" s="103"/>
      <c r="R143" s="553"/>
      <c r="S143" s="553"/>
      <c r="T143" s="553"/>
      <c r="U143" s="553"/>
      <c r="V143" s="70"/>
      <c r="W143" s="78"/>
      <c r="X143" s="78"/>
      <c r="Y143" s="79"/>
      <c r="Z143" s="79"/>
      <c r="AA143" s="78"/>
      <c r="AB143" s="78"/>
      <c r="AC143" s="78"/>
      <c r="AD143" s="78"/>
      <c r="AE143" s="78"/>
      <c r="AF143" s="78"/>
      <c r="AG143" s="78"/>
      <c r="AH143" s="78"/>
      <c r="AI143" s="78"/>
      <c r="AJ143" s="78"/>
      <c r="AK143" s="78"/>
      <c r="AL143" s="78"/>
      <c r="AM143" s="81"/>
      <c r="AN143" s="101"/>
      <c r="AO143" s="78"/>
      <c r="AP143" s="78"/>
      <c r="AQ143" s="78"/>
      <c r="AR143" s="78"/>
      <c r="AS143" s="79"/>
    </row>
    <row r="144" spans="1:45" ht="20.25" customHeight="1">
      <c r="A144" s="78"/>
      <c r="B144" s="78"/>
      <c r="C144" s="81"/>
      <c r="D144" s="78"/>
      <c r="E144" s="78"/>
      <c r="F144" s="78"/>
      <c r="G144" s="78"/>
      <c r="H144" s="78"/>
      <c r="I144" s="78"/>
      <c r="J144" s="78"/>
      <c r="K144" s="78"/>
      <c r="L144" s="78"/>
      <c r="M144" s="78"/>
      <c r="N144" s="78"/>
      <c r="O144" s="78"/>
      <c r="P144" s="78"/>
      <c r="Q144" s="103"/>
      <c r="R144" s="553"/>
      <c r="S144" s="553"/>
      <c r="T144" s="553"/>
      <c r="U144" s="553"/>
      <c r="V144" s="70"/>
      <c r="W144" s="78"/>
      <c r="X144" s="78"/>
      <c r="Y144" s="79"/>
      <c r="Z144" s="79"/>
      <c r="AA144" s="78"/>
      <c r="AB144" s="78"/>
      <c r="AC144" s="78"/>
      <c r="AD144" s="78"/>
      <c r="AE144" s="78"/>
      <c r="AF144" s="78"/>
      <c r="AG144" s="78"/>
      <c r="AH144" s="78"/>
      <c r="AI144" s="78"/>
      <c r="AJ144" s="78"/>
      <c r="AK144" s="78"/>
      <c r="AL144" s="78"/>
      <c r="AM144" s="81"/>
      <c r="AN144" s="101"/>
      <c r="AO144" s="78"/>
      <c r="AP144" s="78"/>
      <c r="AQ144" s="78"/>
      <c r="AR144" s="78"/>
      <c r="AS144" s="79"/>
    </row>
    <row r="145" spans="1:45" ht="20.25" customHeight="1">
      <c r="A145" s="78"/>
      <c r="B145" s="78"/>
      <c r="C145" s="81"/>
      <c r="D145" s="78"/>
      <c r="E145" s="78"/>
      <c r="F145" s="78"/>
      <c r="G145" s="78"/>
      <c r="H145" s="78"/>
      <c r="I145" s="78"/>
      <c r="J145" s="78"/>
      <c r="K145" s="78"/>
      <c r="L145" s="78"/>
      <c r="M145" s="78"/>
      <c r="N145" s="78"/>
      <c r="O145" s="78"/>
      <c r="P145" s="78"/>
      <c r="Q145" s="103"/>
      <c r="R145" s="553"/>
      <c r="S145" s="553"/>
      <c r="T145" s="553"/>
      <c r="U145" s="553"/>
      <c r="V145" s="70"/>
      <c r="W145" s="78"/>
      <c r="X145" s="78"/>
      <c r="Y145" s="79"/>
      <c r="Z145" s="79"/>
      <c r="AA145" s="78"/>
      <c r="AB145" s="78"/>
      <c r="AC145" s="78"/>
      <c r="AD145" s="78"/>
      <c r="AE145" s="78"/>
      <c r="AF145" s="78"/>
      <c r="AG145" s="78"/>
      <c r="AH145" s="78"/>
      <c r="AI145" s="78"/>
      <c r="AJ145" s="78"/>
      <c r="AK145" s="78"/>
      <c r="AL145" s="78"/>
      <c r="AM145" s="81"/>
      <c r="AN145" s="101"/>
      <c r="AO145" s="78"/>
      <c r="AP145" s="78"/>
      <c r="AQ145" s="78"/>
      <c r="AR145" s="78"/>
      <c r="AS145" s="79"/>
    </row>
    <row r="146" spans="1:45" ht="20.25" customHeight="1">
      <c r="A146" s="78"/>
      <c r="B146" s="78"/>
      <c r="C146" s="81"/>
      <c r="D146" s="78"/>
      <c r="E146" s="78"/>
      <c r="F146" s="78"/>
      <c r="G146" s="78"/>
      <c r="H146" s="78"/>
      <c r="I146" s="78"/>
      <c r="J146" s="78"/>
      <c r="K146" s="78"/>
      <c r="L146" s="78"/>
      <c r="M146" s="78"/>
      <c r="N146" s="78"/>
      <c r="O146" s="78"/>
      <c r="P146" s="78"/>
      <c r="Q146" s="103"/>
      <c r="R146" s="553"/>
      <c r="S146" s="553"/>
      <c r="T146" s="553"/>
      <c r="U146" s="553"/>
      <c r="V146" s="70"/>
      <c r="W146" s="78"/>
      <c r="X146" s="78"/>
      <c r="Y146" s="79"/>
      <c r="Z146" s="79"/>
      <c r="AA146" s="78"/>
      <c r="AB146" s="78"/>
      <c r="AC146" s="78"/>
      <c r="AD146" s="78"/>
      <c r="AE146" s="78"/>
      <c r="AF146" s="78"/>
      <c r="AG146" s="78"/>
      <c r="AH146" s="78"/>
      <c r="AI146" s="78"/>
      <c r="AJ146" s="78"/>
      <c r="AK146" s="78"/>
      <c r="AL146" s="78"/>
      <c r="AM146" s="81"/>
      <c r="AN146" s="101"/>
      <c r="AO146" s="78"/>
      <c r="AP146" s="78"/>
      <c r="AQ146" s="78"/>
      <c r="AR146" s="78"/>
      <c r="AS146" s="79"/>
    </row>
    <row r="147" spans="1:45" ht="20.25" customHeight="1">
      <c r="A147" s="78"/>
      <c r="B147" s="78"/>
      <c r="C147" s="81"/>
      <c r="D147" s="78"/>
      <c r="E147" s="78"/>
      <c r="F147" s="78"/>
      <c r="G147" s="78"/>
      <c r="H147" s="78"/>
      <c r="I147" s="78"/>
      <c r="J147" s="78"/>
      <c r="K147" s="78"/>
      <c r="L147" s="78"/>
      <c r="M147" s="78"/>
      <c r="N147" s="78"/>
      <c r="O147" s="78"/>
      <c r="P147" s="78"/>
      <c r="Q147" s="103"/>
      <c r="R147" s="553"/>
      <c r="S147" s="553"/>
      <c r="T147" s="553"/>
      <c r="U147" s="553"/>
      <c r="V147" s="70"/>
      <c r="W147" s="78"/>
      <c r="X147" s="78"/>
      <c r="Y147" s="79"/>
      <c r="Z147" s="79"/>
      <c r="AA147" s="78"/>
      <c r="AB147" s="78"/>
      <c r="AC147" s="78"/>
      <c r="AD147" s="78"/>
      <c r="AE147" s="78"/>
      <c r="AF147" s="78"/>
      <c r="AG147" s="78"/>
      <c r="AH147" s="78"/>
      <c r="AI147" s="78"/>
      <c r="AJ147" s="78"/>
      <c r="AK147" s="78"/>
      <c r="AL147" s="78"/>
      <c r="AM147" s="81"/>
      <c r="AN147" s="101"/>
      <c r="AO147" s="78"/>
      <c r="AP147" s="78"/>
      <c r="AQ147" s="78"/>
      <c r="AR147" s="78"/>
      <c r="AS147" s="79"/>
    </row>
    <row r="148" spans="1:45" ht="20.25" customHeight="1">
      <c r="A148" s="78"/>
      <c r="B148" s="78"/>
      <c r="C148" s="81"/>
      <c r="D148" s="78"/>
      <c r="E148" s="78"/>
      <c r="F148" s="78"/>
      <c r="G148" s="78"/>
      <c r="H148" s="78"/>
      <c r="I148" s="78"/>
      <c r="J148" s="78"/>
      <c r="K148" s="78"/>
      <c r="L148" s="78"/>
      <c r="M148" s="78"/>
      <c r="N148" s="78"/>
      <c r="O148" s="78"/>
      <c r="P148" s="78"/>
      <c r="Q148" s="103"/>
      <c r="R148" s="553"/>
      <c r="S148" s="553"/>
      <c r="T148" s="553"/>
      <c r="U148" s="553"/>
      <c r="V148" s="70"/>
      <c r="W148" s="78"/>
      <c r="X148" s="78"/>
      <c r="Y148" s="79"/>
      <c r="Z148" s="79"/>
      <c r="AA148" s="78"/>
      <c r="AB148" s="78"/>
      <c r="AC148" s="78"/>
      <c r="AD148" s="78"/>
      <c r="AE148" s="78"/>
      <c r="AF148" s="78"/>
      <c r="AG148" s="78"/>
      <c r="AH148" s="78"/>
      <c r="AI148" s="78"/>
      <c r="AJ148" s="78"/>
      <c r="AK148" s="78"/>
      <c r="AL148" s="78"/>
      <c r="AM148" s="81"/>
      <c r="AN148" s="101"/>
      <c r="AO148" s="78"/>
      <c r="AP148" s="78"/>
      <c r="AQ148" s="78"/>
      <c r="AR148" s="78"/>
      <c r="AS148" s="79"/>
    </row>
    <row r="149" spans="1:45" ht="20.25" customHeight="1">
      <c r="A149" s="78"/>
      <c r="B149" s="78"/>
      <c r="C149" s="81"/>
      <c r="D149" s="78"/>
      <c r="E149" s="78"/>
      <c r="F149" s="78"/>
      <c r="G149" s="78"/>
      <c r="H149" s="78"/>
      <c r="I149" s="78"/>
      <c r="J149" s="78"/>
      <c r="K149" s="78"/>
      <c r="L149" s="78"/>
      <c r="M149" s="78"/>
      <c r="N149" s="78"/>
      <c r="O149" s="78"/>
      <c r="P149" s="78"/>
      <c r="Q149" s="103"/>
      <c r="R149" s="553"/>
      <c r="S149" s="553"/>
      <c r="T149" s="553"/>
      <c r="U149" s="553"/>
      <c r="V149" s="70"/>
      <c r="W149" s="78"/>
      <c r="X149" s="78"/>
      <c r="Y149" s="79"/>
      <c r="Z149" s="79"/>
      <c r="AA149" s="78"/>
      <c r="AB149" s="78"/>
      <c r="AC149" s="78"/>
      <c r="AD149" s="78"/>
      <c r="AE149" s="78"/>
      <c r="AF149" s="78"/>
      <c r="AG149" s="78"/>
      <c r="AH149" s="78"/>
      <c r="AI149" s="78"/>
      <c r="AJ149" s="78"/>
      <c r="AK149" s="78"/>
      <c r="AL149" s="78"/>
      <c r="AM149" s="81"/>
      <c r="AN149" s="101"/>
      <c r="AO149" s="78"/>
      <c r="AP149" s="78"/>
      <c r="AQ149" s="78"/>
      <c r="AR149" s="78"/>
      <c r="AS149" s="79"/>
    </row>
    <row r="150" spans="1:45" ht="20.25" customHeight="1">
      <c r="A150" s="78"/>
      <c r="B150" s="78"/>
      <c r="C150" s="81"/>
      <c r="D150" s="78"/>
      <c r="E150" s="78"/>
      <c r="F150" s="78"/>
      <c r="G150" s="78"/>
      <c r="H150" s="78"/>
      <c r="I150" s="78"/>
      <c r="J150" s="78"/>
      <c r="K150" s="78"/>
      <c r="L150" s="78"/>
      <c r="M150" s="78"/>
      <c r="N150" s="78"/>
      <c r="O150" s="78"/>
      <c r="P150" s="78"/>
      <c r="Q150" s="103"/>
      <c r="R150" s="553"/>
      <c r="S150" s="553"/>
      <c r="T150" s="553"/>
      <c r="U150" s="553"/>
      <c r="V150" s="70"/>
      <c r="W150" s="78"/>
      <c r="X150" s="78"/>
      <c r="Y150" s="79"/>
      <c r="Z150" s="79"/>
      <c r="AA150" s="78"/>
      <c r="AB150" s="78"/>
      <c r="AC150" s="78"/>
      <c r="AD150" s="78"/>
      <c r="AE150" s="78"/>
      <c r="AF150" s="78"/>
      <c r="AG150" s="78"/>
      <c r="AH150" s="78"/>
      <c r="AI150" s="78"/>
      <c r="AJ150" s="78"/>
      <c r="AK150" s="78"/>
      <c r="AL150" s="78"/>
      <c r="AM150" s="81"/>
      <c r="AN150" s="101"/>
      <c r="AO150" s="78"/>
      <c r="AP150" s="78"/>
      <c r="AQ150" s="78"/>
      <c r="AR150" s="78"/>
      <c r="AS150" s="79"/>
    </row>
    <row r="151" spans="1:45" ht="20.25" customHeight="1">
      <c r="A151" s="78"/>
      <c r="B151" s="78"/>
      <c r="C151" s="81"/>
      <c r="D151" s="78"/>
      <c r="E151" s="78"/>
      <c r="F151" s="78"/>
      <c r="G151" s="78"/>
      <c r="H151" s="78"/>
      <c r="I151" s="78"/>
      <c r="J151" s="78"/>
      <c r="K151" s="78"/>
      <c r="L151" s="78"/>
      <c r="M151" s="78"/>
      <c r="N151" s="78"/>
      <c r="O151" s="78"/>
      <c r="P151" s="78"/>
      <c r="Q151" s="103"/>
      <c r="R151" s="553"/>
      <c r="S151" s="553"/>
      <c r="T151" s="553"/>
      <c r="U151" s="553"/>
      <c r="V151" s="70"/>
      <c r="W151" s="78"/>
      <c r="X151" s="78"/>
      <c r="Y151" s="79"/>
      <c r="Z151" s="79"/>
      <c r="AA151" s="78"/>
      <c r="AB151" s="78"/>
      <c r="AC151" s="78"/>
      <c r="AD151" s="78"/>
      <c r="AE151" s="78"/>
      <c r="AF151" s="78"/>
      <c r="AG151" s="78"/>
      <c r="AH151" s="78"/>
      <c r="AI151" s="78"/>
      <c r="AJ151" s="78"/>
      <c r="AK151" s="78"/>
      <c r="AL151" s="78"/>
      <c r="AM151" s="81"/>
      <c r="AN151" s="101"/>
      <c r="AO151" s="78"/>
      <c r="AP151" s="78"/>
      <c r="AQ151" s="78"/>
      <c r="AR151" s="78"/>
      <c r="AS151" s="79"/>
    </row>
    <row r="152" spans="1:45" ht="20.25" customHeight="1">
      <c r="A152" s="78"/>
      <c r="B152" s="78"/>
      <c r="C152" s="81"/>
      <c r="D152" s="78"/>
      <c r="E152" s="78"/>
      <c r="F152" s="78"/>
      <c r="G152" s="78"/>
      <c r="H152" s="78"/>
      <c r="I152" s="78"/>
      <c r="J152" s="78"/>
      <c r="K152" s="78"/>
      <c r="L152" s="78"/>
      <c r="M152" s="78"/>
      <c r="N152" s="78"/>
      <c r="O152" s="78"/>
      <c r="P152" s="78"/>
      <c r="Q152" s="103"/>
      <c r="R152" s="553"/>
      <c r="S152" s="553"/>
      <c r="T152" s="553"/>
      <c r="U152" s="553"/>
      <c r="V152" s="70"/>
      <c r="W152" s="78"/>
      <c r="X152" s="78"/>
      <c r="Y152" s="79"/>
      <c r="Z152" s="79"/>
      <c r="AA152" s="78"/>
      <c r="AB152" s="78"/>
      <c r="AC152" s="78"/>
      <c r="AD152" s="78"/>
      <c r="AE152" s="78"/>
      <c r="AF152" s="78"/>
      <c r="AG152" s="78"/>
      <c r="AH152" s="78"/>
      <c r="AI152" s="78"/>
      <c r="AJ152" s="78"/>
      <c r="AK152" s="78"/>
      <c r="AL152" s="78"/>
      <c r="AM152" s="81"/>
      <c r="AN152" s="101"/>
      <c r="AO152" s="78"/>
      <c r="AP152" s="78"/>
      <c r="AQ152" s="78"/>
      <c r="AR152" s="78"/>
      <c r="AS152" s="79"/>
    </row>
    <row r="153" spans="1:45" ht="20.25" customHeight="1">
      <c r="A153" s="78"/>
      <c r="B153" s="78"/>
      <c r="C153" s="81"/>
      <c r="D153" s="78"/>
      <c r="E153" s="78"/>
      <c r="F153" s="78"/>
      <c r="G153" s="78"/>
      <c r="H153" s="78"/>
      <c r="I153" s="78"/>
      <c r="J153" s="78"/>
      <c r="K153" s="78"/>
      <c r="L153" s="78"/>
      <c r="M153" s="78"/>
      <c r="N153" s="78"/>
      <c r="O153" s="78"/>
      <c r="P153" s="78"/>
      <c r="Q153" s="103"/>
      <c r="R153" s="553"/>
      <c r="S153" s="553"/>
      <c r="T153" s="553"/>
      <c r="U153" s="553"/>
      <c r="V153" s="70"/>
      <c r="W153" s="78"/>
      <c r="X153" s="78"/>
      <c r="Y153" s="79"/>
      <c r="Z153" s="79"/>
      <c r="AA153" s="78"/>
      <c r="AB153" s="78"/>
      <c r="AC153" s="78"/>
      <c r="AD153" s="78"/>
      <c r="AE153" s="78"/>
      <c r="AF153" s="78"/>
      <c r="AG153" s="78"/>
      <c r="AH153" s="78"/>
      <c r="AI153" s="78"/>
      <c r="AJ153" s="78"/>
      <c r="AK153" s="78"/>
      <c r="AL153" s="78"/>
      <c r="AM153" s="81"/>
      <c r="AN153" s="101"/>
      <c r="AO153" s="78"/>
      <c r="AP153" s="78"/>
      <c r="AQ153" s="78"/>
      <c r="AR153" s="78"/>
      <c r="AS153" s="79"/>
    </row>
    <row r="154" spans="1:45" ht="20.25" customHeight="1">
      <c r="A154" s="78"/>
      <c r="B154" s="78"/>
      <c r="C154" s="81"/>
      <c r="D154" s="78"/>
      <c r="E154" s="78"/>
      <c r="F154" s="78"/>
      <c r="G154" s="78"/>
      <c r="H154" s="78"/>
      <c r="I154" s="78"/>
      <c r="J154" s="78"/>
      <c r="K154" s="78"/>
      <c r="L154" s="78"/>
      <c r="M154" s="78"/>
      <c r="N154" s="78"/>
      <c r="O154" s="78"/>
      <c r="P154" s="78"/>
      <c r="Q154" s="103"/>
      <c r="R154" s="553"/>
      <c r="S154" s="553"/>
      <c r="T154" s="553"/>
      <c r="U154" s="553"/>
      <c r="V154" s="70"/>
      <c r="W154" s="78"/>
      <c r="X154" s="78"/>
      <c r="Y154" s="79"/>
      <c r="Z154" s="79"/>
      <c r="AA154" s="78"/>
      <c r="AB154" s="78"/>
      <c r="AC154" s="78"/>
      <c r="AD154" s="78"/>
      <c r="AE154" s="78"/>
      <c r="AF154" s="78"/>
      <c r="AG154" s="78"/>
      <c r="AH154" s="78"/>
      <c r="AI154" s="78"/>
      <c r="AJ154" s="78"/>
      <c r="AK154" s="78"/>
      <c r="AL154" s="78"/>
      <c r="AM154" s="81"/>
      <c r="AN154" s="101"/>
      <c r="AO154" s="78"/>
      <c r="AP154" s="78"/>
      <c r="AQ154" s="78"/>
      <c r="AR154" s="78"/>
      <c r="AS154" s="79"/>
    </row>
    <row r="155" spans="1:45" ht="20.25" customHeight="1">
      <c r="A155" s="78"/>
      <c r="B155" s="78"/>
      <c r="C155" s="81"/>
      <c r="D155" s="78"/>
      <c r="E155" s="78"/>
      <c r="F155" s="78"/>
      <c r="G155" s="78"/>
      <c r="H155" s="78"/>
      <c r="I155" s="78"/>
      <c r="J155" s="78"/>
      <c r="K155" s="78"/>
      <c r="L155" s="78"/>
      <c r="M155" s="78"/>
      <c r="N155" s="78"/>
      <c r="O155" s="78"/>
      <c r="P155" s="78"/>
      <c r="Q155" s="103"/>
      <c r="R155" s="553"/>
      <c r="S155" s="553"/>
      <c r="T155" s="553"/>
      <c r="U155" s="553"/>
      <c r="V155" s="70"/>
      <c r="W155" s="78"/>
      <c r="X155" s="78"/>
      <c r="Y155" s="79"/>
      <c r="Z155" s="79"/>
      <c r="AA155" s="78"/>
      <c r="AB155" s="78"/>
      <c r="AC155" s="78"/>
      <c r="AD155" s="78"/>
      <c r="AE155" s="78"/>
      <c r="AF155" s="78"/>
      <c r="AG155" s="78"/>
      <c r="AH155" s="78"/>
      <c r="AI155" s="78"/>
      <c r="AJ155" s="78"/>
      <c r="AK155" s="78"/>
      <c r="AL155" s="78"/>
      <c r="AM155" s="81"/>
      <c r="AN155" s="101"/>
      <c r="AO155" s="78"/>
      <c r="AP155" s="78"/>
      <c r="AQ155" s="78"/>
      <c r="AR155" s="78"/>
      <c r="AS155" s="79"/>
    </row>
    <row r="156" spans="1:45" ht="20.25" customHeight="1">
      <c r="A156" s="78"/>
      <c r="B156" s="78"/>
      <c r="C156" s="81"/>
      <c r="D156" s="78"/>
      <c r="E156" s="78"/>
      <c r="F156" s="78"/>
      <c r="G156" s="78"/>
      <c r="H156" s="78"/>
      <c r="I156" s="78"/>
      <c r="J156" s="78"/>
      <c r="K156" s="78"/>
      <c r="L156" s="78"/>
      <c r="M156" s="78"/>
      <c r="N156" s="78"/>
      <c r="O156" s="78"/>
      <c r="P156" s="78"/>
      <c r="Q156" s="103"/>
      <c r="R156" s="553"/>
      <c r="S156" s="553"/>
      <c r="T156" s="553"/>
      <c r="U156" s="553"/>
      <c r="V156" s="70"/>
      <c r="W156" s="78"/>
      <c r="X156" s="78"/>
      <c r="Y156" s="79"/>
      <c r="Z156" s="79"/>
      <c r="AA156" s="78"/>
      <c r="AB156" s="78"/>
      <c r="AC156" s="78"/>
      <c r="AD156" s="78"/>
      <c r="AE156" s="78"/>
      <c r="AF156" s="78"/>
      <c r="AG156" s="78"/>
      <c r="AH156" s="78"/>
      <c r="AI156" s="78"/>
      <c r="AJ156" s="78"/>
      <c r="AK156" s="78"/>
      <c r="AL156" s="78"/>
      <c r="AM156" s="81"/>
      <c r="AN156" s="101"/>
      <c r="AO156" s="78"/>
      <c r="AP156" s="78"/>
      <c r="AQ156" s="78"/>
      <c r="AR156" s="78"/>
      <c r="AS156" s="79"/>
    </row>
    <row r="157" spans="1:45" ht="20.25" customHeight="1">
      <c r="A157" s="78"/>
      <c r="B157" s="78"/>
      <c r="C157" s="81"/>
      <c r="D157" s="78"/>
      <c r="E157" s="78"/>
      <c r="F157" s="78"/>
      <c r="G157" s="78"/>
      <c r="H157" s="78"/>
      <c r="I157" s="78"/>
      <c r="J157" s="78"/>
      <c r="K157" s="78"/>
      <c r="L157" s="78"/>
      <c r="M157" s="78"/>
      <c r="N157" s="78"/>
      <c r="O157" s="78"/>
      <c r="P157" s="78"/>
      <c r="Q157" s="103"/>
      <c r="R157" s="553"/>
      <c r="S157" s="553"/>
      <c r="T157" s="553"/>
      <c r="U157" s="553"/>
      <c r="V157" s="70"/>
      <c r="W157" s="78"/>
      <c r="X157" s="78"/>
      <c r="Y157" s="79"/>
      <c r="Z157" s="79"/>
      <c r="AA157" s="78"/>
      <c r="AB157" s="78"/>
      <c r="AC157" s="78"/>
      <c r="AD157" s="78"/>
      <c r="AE157" s="78"/>
      <c r="AF157" s="78"/>
      <c r="AG157" s="78"/>
      <c r="AH157" s="78"/>
      <c r="AI157" s="78"/>
      <c r="AJ157" s="78"/>
      <c r="AK157" s="78"/>
      <c r="AL157" s="78"/>
      <c r="AM157" s="81"/>
      <c r="AN157" s="101"/>
      <c r="AO157" s="78"/>
      <c r="AP157" s="78"/>
      <c r="AQ157" s="78"/>
      <c r="AR157" s="78"/>
      <c r="AS157" s="79"/>
    </row>
    <row r="158" spans="1:45" ht="20.25" customHeight="1">
      <c r="A158" s="78"/>
      <c r="B158" s="78"/>
      <c r="C158" s="81"/>
      <c r="D158" s="78"/>
      <c r="E158" s="78"/>
      <c r="F158" s="78"/>
      <c r="G158" s="78"/>
      <c r="H158" s="78"/>
      <c r="I158" s="78"/>
      <c r="J158" s="78"/>
      <c r="K158" s="78"/>
      <c r="L158" s="78"/>
      <c r="M158" s="78"/>
      <c r="N158" s="78"/>
      <c r="O158" s="78"/>
      <c r="P158" s="78"/>
      <c r="Q158" s="103"/>
      <c r="R158" s="553"/>
      <c r="S158" s="553"/>
      <c r="T158" s="553"/>
      <c r="U158" s="553"/>
      <c r="V158" s="70"/>
      <c r="W158" s="78"/>
      <c r="X158" s="78"/>
      <c r="Y158" s="79"/>
      <c r="Z158" s="79"/>
      <c r="AA158" s="78"/>
      <c r="AB158" s="78"/>
      <c r="AC158" s="78"/>
      <c r="AD158" s="78"/>
      <c r="AE158" s="78"/>
      <c r="AF158" s="78"/>
      <c r="AG158" s="78"/>
      <c r="AH158" s="78"/>
      <c r="AI158" s="78"/>
      <c r="AJ158" s="78"/>
      <c r="AK158" s="78"/>
      <c r="AL158" s="78"/>
      <c r="AM158" s="81"/>
      <c r="AN158" s="101"/>
      <c r="AO158" s="78"/>
      <c r="AP158" s="78"/>
      <c r="AQ158" s="78"/>
      <c r="AR158" s="78"/>
      <c r="AS158" s="79"/>
    </row>
    <row r="159" spans="1:45" ht="20.25" customHeight="1">
      <c r="A159" s="78"/>
      <c r="B159" s="78"/>
      <c r="C159" s="81"/>
      <c r="D159" s="78"/>
      <c r="E159" s="78"/>
      <c r="F159" s="78"/>
      <c r="G159" s="78"/>
      <c r="H159" s="78"/>
      <c r="I159" s="78"/>
      <c r="J159" s="78"/>
      <c r="K159" s="78"/>
      <c r="L159" s="78"/>
      <c r="M159" s="78"/>
      <c r="N159" s="78"/>
      <c r="O159" s="78"/>
      <c r="P159" s="78"/>
      <c r="Q159" s="103"/>
      <c r="R159" s="553"/>
      <c r="S159" s="553"/>
      <c r="T159" s="553"/>
      <c r="U159" s="553"/>
      <c r="V159" s="70"/>
      <c r="W159" s="78"/>
      <c r="X159" s="78"/>
      <c r="Y159" s="79"/>
      <c r="Z159" s="79"/>
      <c r="AA159" s="78"/>
      <c r="AB159" s="78"/>
      <c r="AC159" s="78"/>
      <c r="AD159" s="78"/>
      <c r="AE159" s="78"/>
      <c r="AF159" s="78"/>
      <c r="AG159" s="78"/>
      <c r="AH159" s="78"/>
      <c r="AI159" s="78"/>
      <c r="AJ159" s="78"/>
      <c r="AK159" s="78"/>
      <c r="AL159" s="78"/>
      <c r="AM159" s="81"/>
      <c r="AN159" s="101"/>
      <c r="AO159" s="78"/>
      <c r="AP159" s="78"/>
      <c r="AQ159" s="78"/>
      <c r="AR159" s="78"/>
      <c r="AS159" s="79"/>
    </row>
    <row r="160" spans="1:45" ht="20.25" customHeight="1">
      <c r="A160" s="78"/>
      <c r="B160" s="78"/>
      <c r="C160" s="81"/>
      <c r="D160" s="78"/>
      <c r="E160" s="78"/>
      <c r="F160" s="78"/>
      <c r="G160" s="78"/>
      <c r="H160" s="78"/>
      <c r="I160" s="78"/>
      <c r="J160" s="78"/>
      <c r="K160" s="78"/>
      <c r="L160" s="78"/>
      <c r="M160" s="78"/>
      <c r="N160" s="78"/>
      <c r="O160" s="78"/>
      <c r="P160" s="78"/>
      <c r="Q160" s="103"/>
      <c r="R160" s="553"/>
      <c r="S160" s="553"/>
      <c r="T160" s="553"/>
      <c r="U160" s="553"/>
      <c r="V160" s="70"/>
      <c r="W160" s="78"/>
      <c r="X160" s="78"/>
      <c r="Y160" s="79"/>
      <c r="Z160" s="79"/>
      <c r="AA160" s="78"/>
      <c r="AB160" s="78"/>
      <c r="AC160" s="78"/>
      <c r="AD160" s="78"/>
      <c r="AE160" s="78"/>
      <c r="AF160" s="78"/>
      <c r="AG160" s="78"/>
      <c r="AH160" s="78"/>
      <c r="AI160" s="78"/>
      <c r="AJ160" s="78"/>
      <c r="AK160" s="78"/>
      <c r="AL160" s="78"/>
      <c r="AM160" s="81"/>
      <c r="AN160" s="101"/>
      <c r="AO160" s="78"/>
      <c r="AP160" s="78"/>
      <c r="AQ160" s="78"/>
      <c r="AR160" s="78"/>
      <c r="AS160" s="79"/>
    </row>
    <row r="161" spans="1:45" ht="20.25" customHeight="1">
      <c r="A161" s="78"/>
      <c r="B161" s="78"/>
      <c r="C161" s="81"/>
      <c r="D161" s="78"/>
      <c r="E161" s="78"/>
      <c r="F161" s="78"/>
      <c r="G161" s="78"/>
      <c r="H161" s="78"/>
      <c r="I161" s="78"/>
      <c r="J161" s="78"/>
      <c r="K161" s="78"/>
      <c r="L161" s="78"/>
      <c r="M161" s="78"/>
      <c r="N161" s="78"/>
      <c r="O161" s="78"/>
      <c r="P161" s="78"/>
      <c r="Q161" s="103"/>
      <c r="R161" s="553"/>
      <c r="S161" s="553"/>
      <c r="T161" s="553"/>
      <c r="U161" s="553"/>
      <c r="V161" s="70"/>
      <c r="W161" s="78"/>
      <c r="X161" s="78"/>
      <c r="Y161" s="79"/>
      <c r="Z161" s="79"/>
      <c r="AA161" s="78"/>
      <c r="AB161" s="78"/>
      <c r="AC161" s="78"/>
      <c r="AD161" s="78"/>
      <c r="AE161" s="78"/>
      <c r="AF161" s="78"/>
      <c r="AG161" s="78"/>
      <c r="AH161" s="78"/>
      <c r="AI161" s="78"/>
      <c r="AJ161" s="78"/>
      <c r="AK161" s="78"/>
      <c r="AL161" s="78"/>
      <c r="AM161" s="81"/>
      <c r="AN161" s="101"/>
      <c r="AO161" s="78"/>
      <c r="AP161" s="78"/>
      <c r="AQ161" s="78"/>
      <c r="AR161" s="78"/>
      <c r="AS161" s="79"/>
    </row>
    <row r="162" spans="1:45" ht="20.25" customHeight="1">
      <c r="A162" s="78"/>
      <c r="B162" s="78"/>
      <c r="C162" s="81"/>
      <c r="D162" s="78"/>
      <c r="E162" s="78"/>
      <c r="F162" s="78"/>
      <c r="G162" s="78"/>
      <c r="H162" s="78"/>
      <c r="I162" s="78"/>
      <c r="J162" s="78"/>
      <c r="K162" s="78"/>
      <c r="L162" s="78"/>
      <c r="M162" s="78"/>
      <c r="N162" s="78"/>
      <c r="O162" s="78"/>
      <c r="P162" s="78"/>
      <c r="Q162" s="103"/>
      <c r="R162" s="553"/>
      <c r="S162" s="553"/>
      <c r="T162" s="553"/>
      <c r="U162" s="553"/>
      <c r="V162" s="70"/>
      <c r="W162" s="78"/>
      <c r="X162" s="78"/>
      <c r="Y162" s="79"/>
      <c r="Z162" s="79"/>
      <c r="AA162" s="78"/>
      <c r="AB162" s="78"/>
      <c r="AC162" s="78"/>
      <c r="AD162" s="78"/>
      <c r="AE162" s="78"/>
      <c r="AF162" s="78"/>
      <c r="AG162" s="78"/>
      <c r="AH162" s="78"/>
      <c r="AI162" s="78"/>
      <c r="AJ162" s="78"/>
      <c r="AK162" s="78"/>
      <c r="AL162" s="78"/>
      <c r="AM162" s="81"/>
      <c r="AN162" s="101"/>
      <c r="AO162" s="78"/>
      <c r="AP162" s="78"/>
      <c r="AQ162" s="78"/>
      <c r="AR162" s="78"/>
      <c r="AS162" s="79"/>
    </row>
    <row r="163" spans="1:45" ht="20.25" customHeight="1">
      <c r="A163" s="78"/>
      <c r="B163" s="78"/>
      <c r="C163" s="81"/>
      <c r="D163" s="78"/>
      <c r="E163" s="78"/>
      <c r="F163" s="78"/>
      <c r="G163" s="78"/>
      <c r="H163" s="78"/>
      <c r="I163" s="78"/>
      <c r="J163" s="78"/>
      <c r="K163" s="78"/>
      <c r="L163" s="78"/>
      <c r="M163" s="78"/>
      <c r="N163" s="78"/>
      <c r="O163" s="78"/>
      <c r="P163" s="78"/>
      <c r="Q163" s="103"/>
      <c r="R163" s="553"/>
      <c r="S163" s="553"/>
      <c r="T163" s="553"/>
      <c r="U163" s="553"/>
      <c r="V163" s="70"/>
      <c r="W163" s="78"/>
      <c r="X163" s="78"/>
      <c r="Y163" s="79"/>
      <c r="Z163" s="79"/>
      <c r="AA163" s="78"/>
      <c r="AB163" s="78"/>
      <c r="AC163" s="78"/>
      <c r="AD163" s="78"/>
      <c r="AE163" s="78"/>
      <c r="AF163" s="78"/>
      <c r="AG163" s="78"/>
      <c r="AH163" s="78"/>
      <c r="AI163" s="78"/>
      <c r="AJ163" s="78"/>
      <c r="AK163" s="78"/>
      <c r="AL163" s="78"/>
      <c r="AM163" s="81"/>
      <c r="AN163" s="101"/>
      <c r="AO163" s="78"/>
      <c r="AP163" s="78"/>
      <c r="AQ163" s="78"/>
      <c r="AR163" s="78"/>
      <c r="AS163" s="79"/>
    </row>
    <row r="164" spans="1:45" ht="20.25" customHeight="1">
      <c r="A164" s="78"/>
      <c r="B164" s="78"/>
      <c r="C164" s="81"/>
      <c r="D164" s="78"/>
      <c r="E164" s="78"/>
      <c r="F164" s="78"/>
      <c r="G164" s="78"/>
      <c r="H164" s="78"/>
      <c r="I164" s="78"/>
      <c r="J164" s="78"/>
      <c r="K164" s="78"/>
      <c r="L164" s="78"/>
      <c r="M164" s="78"/>
      <c r="N164" s="78"/>
      <c r="O164" s="78"/>
      <c r="P164" s="78"/>
      <c r="Q164" s="103"/>
      <c r="R164" s="553"/>
      <c r="S164" s="553"/>
      <c r="T164" s="553"/>
      <c r="U164" s="553"/>
      <c r="V164" s="70"/>
      <c r="W164" s="78"/>
      <c r="X164" s="78"/>
      <c r="Y164" s="79"/>
      <c r="Z164" s="79"/>
      <c r="AA164" s="78"/>
      <c r="AB164" s="78"/>
      <c r="AC164" s="78"/>
      <c r="AD164" s="78"/>
      <c r="AE164" s="78"/>
      <c r="AF164" s="78"/>
      <c r="AG164" s="78"/>
      <c r="AH164" s="78"/>
      <c r="AI164" s="78"/>
      <c r="AJ164" s="78"/>
      <c r="AK164" s="78"/>
      <c r="AL164" s="78"/>
      <c r="AM164" s="81"/>
      <c r="AN164" s="101"/>
      <c r="AO164" s="78"/>
      <c r="AP164" s="78"/>
      <c r="AQ164" s="78"/>
      <c r="AR164" s="78"/>
      <c r="AS164" s="79"/>
    </row>
    <row r="165" spans="1:45" ht="20.25" customHeight="1">
      <c r="A165" s="78"/>
      <c r="B165" s="78"/>
      <c r="C165" s="81"/>
      <c r="D165" s="78"/>
      <c r="E165" s="78"/>
      <c r="F165" s="78"/>
      <c r="G165" s="78"/>
      <c r="H165" s="78"/>
      <c r="I165" s="78"/>
      <c r="J165" s="78"/>
      <c r="K165" s="78"/>
      <c r="L165" s="78"/>
      <c r="M165" s="78"/>
      <c r="N165" s="78"/>
      <c r="O165" s="78"/>
      <c r="P165" s="78"/>
      <c r="Q165" s="103"/>
      <c r="R165" s="553"/>
      <c r="S165" s="553"/>
      <c r="T165" s="553"/>
      <c r="U165" s="553"/>
      <c r="V165" s="70"/>
      <c r="W165" s="78"/>
      <c r="X165" s="78"/>
      <c r="Y165" s="79"/>
      <c r="Z165" s="79"/>
      <c r="AA165" s="78"/>
      <c r="AB165" s="78"/>
      <c r="AC165" s="78"/>
      <c r="AD165" s="78"/>
      <c r="AE165" s="78"/>
      <c r="AF165" s="78"/>
      <c r="AG165" s="78"/>
      <c r="AH165" s="78"/>
      <c r="AI165" s="78"/>
      <c r="AJ165" s="78"/>
      <c r="AK165" s="78"/>
      <c r="AL165" s="78"/>
      <c r="AM165" s="81"/>
      <c r="AN165" s="101"/>
      <c r="AO165" s="78"/>
      <c r="AP165" s="78"/>
      <c r="AQ165" s="78"/>
      <c r="AR165" s="78"/>
      <c r="AS165" s="79"/>
    </row>
    <row r="166" spans="1:45" ht="20.25" customHeight="1">
      <c r="A166" s="78"/>
      <c r="B166" s="78"/>
      <c r="C166" s="81"/>
      <c r="D166" s="78"/>
      <c r="E166" s="78"/>
      <c r="F166" s="78"/>
      <c r="G166" s="78"/>
      <c r="H166" s="78"/>
      <c r="I166" s="78"/>
      <c r="J166" s="78"/>
      <c r="K166" s="78"/>
      <c r="L166" s="78"/>
      <c r="M166" s="78"/>
      <c r="N166" s="78"/>
      <c r="O166" s="78"/>
      <c r="P166" s="78"/>
      <c r="Q166" s="103"/>
      <c r="R166" s="553"/>
      <c r="S166" s="553"/>
      <c r="T166" s="553"/>
      <c r="U166" s="553"/>
      <c r="V166" s="70"/>
      <c r="W166" s="78"/>
      <c r="X166" s="78"/>
      <c r="Y166" s="79"/>
      <c r="Z166" s="79"/>
      <c r="AA166" s="78"/>
      <c r="AB166" s="78"/>
      <c r="AC166" s="78"/>
      <c r="AD166" s="78"/>
      <c r="AE166" s="78"/>
      <c r="AF166" s="78"/>
      <c r="AG166" s="78"/>
      <c r="AH166" s="78"/>
      <c r="AI166" s="78"/>
      <c r="AJ166" s="78"/>
      <c r="AK166" s="78"/>
      <c r="AL166" s="78"/>
      <c r="AM166" s="81"/>
      <c r="AN166" s="101"/>
      <c r="AO166" s="78"/>
      <c r="AP166" s="78"/>
      <c r="AQ166" s="78"/>
      <c r="AR166" s="78"/>
      <c r="AS166" s="79"/>
    </row>
    <row r="167" spans="1:45" ht="20.25" customHeight="1">
      <c r="A167" s="78"/>
      <c r="B167" s="78"/>
      <c r="C167" s="81"/>
      <c r="D167" s="78"/>
      <c r="E167" s="78"/>
      <c r="F167" s="78"/>
      <c r="G167" s="78"/>
      <c r="H167" s="78"/>
      <c r="I167" s="78"/>
      <c r="J167" s="78"/>
      <c r="K167" s="78"/>
      <c r="L167" s="78"/>
      <c r="M167" s="78"/>
      <c r="N167" s="78"/>
      <c r="O167" s="78"/>
      <c r="P167" s="78"/>
      <c r="Q167" s="103"/>
      <c r="R167" s="553"/>
      <c r="S167" s="553"/>
      <c r="T167" s="553"/>
      <c r="U167" s="553"/>
      <c r="V167" s="70"/>
      <c r="W167" s="78"/>
      <c r="X167" s="78"/>
      <c r="Y167" s="79"/>
      <c r="Z167" s="79"/>
      <c r="AA167" s="78"/>
      <c r="AB167" s="78"/>
      <c r="AC167" s="78"/>
      <c r="AD167" s="78"/>
      <c r="AE167" s="78"/>
      <c r="AF167" s="78"/>
      <c r="AG167" s="78"/>
      <c r="AH167" s="78"/>
      <c r="AI167" s="78"/>
      <c r="AJ167" s="78"/>
      <c r="AK167" s="78"/>
      <c r="AL167" s="78"/>
      <c r="AM167" s="81"/>
      <c r="AN167" s="101"/>
      <c r="AO167" s="78"/>
      <c r="AP167" s="78"/>
      <c r="AQ167" s="78"/>
      <c r="AR167" s="78"/>
      <c r="AS167" s="79"/>
    </row>
    <row r="168" spans="1:45" ht="20.25" customHeight="1">
      <c r="A168" s="78"/>
      <c r="B168" s="78"/>
      <c r="C168" s="81"/>
      <c r="D168" s="78"/>
      <c r="E168" s="78"/>
      <c r="F168" s="78"/>
      <c r="G168" s="78"/>
      <c r="H168" s="78"/>
      <c r="I168" s="78"/>
      <c r="J168" s="78"/>
      <c r="K168" s="78"/>
      <c r="L168" s="78"/>
      <c r="M168" s="78"/>
      <c r="N168" s="78"/>
      <c r="O168" s="78"/>
      <c r="P168" s="78"/>
      <c r="Q168" s="103"/>
      <c r="R168" s="553"/>
      <c r="S168" s="553"/>
      <c r="T168" s="553"/>
      <c r="U168" s="553"/>
      <c r="V168" s="70"/>
      <c r="W168" s="78"/>
      <c r="X168" s="78"/>
      <c r="Y168" s="79"/>
      <c r="Z168" s="79"/>
      <c r="AA168" s="78"/>
      <c r="AB168" s="78"/>
      <c r="AC168" s="78"/>
      <c r="AD168" s="78"/>
      <c r="AE168" s="78"/>
      <c r="AF168" s="78"/>
      <c r="AG168" s="78"/>
      <c r="AH168" s="78"/>
      <c r="AI168" s="78"/>
      <c r="AJ168" s="78"/>
      <c r="AK168" s="78"/>
      <c r="AL168" s="78"/>
      <c r="AM168" s="81"/>
      <c r="AN168" s="101"/>
      <c r="AO168" s="78"/>
      <c r="AP168" s="78"/>
      <c r="AQ168" s="78"/>
      <c r="AR168" s="78"/>
      <c r="AS168" s="79"/>
    </row>
    <row r="169" spans="1:45" ht="20.25" customHeight="1">
      <c r="A169" s="78"/>
      <c r="B169" s="78"/>
      <c r="C169" s="81"/>
      <c r="D169" s="78"/>
      <c r="E169" s="78"/>
      <c r="F169" s="78"/>
      <c r="G169" s="78"/>
      <c r="H169" s="78"/>
      <c r="I169" s="78"/>
      <c r="J169" s="78"/>
      <c r="K169" s="78"/>
      <c r="L169" s="78"/>
      <c r="M169" s="78"/>
      <c r="N169" s="78"/>
      <c r="O169" s="78"/>
      <c r="P169" s="78"/>
      <c r="Q169" s="103"/>
      <c r="R169" s="553"/>
      <c r="S169" s="553"/>
      <c r="T169" s="553"/>
      <c r="U169" s="553"/>
      <c r="V169" s="70"/>
      <c r="W169" s="78"/>
      <c r="X169" s="78"/>
      <c r="Y169" s="79"/>
      <c r="Z169" s="79"/>
      <c r="AA169" s="78"/>
      <c r="AB169" s="78"/>
      <c r="AC169" s="78"/>
      <c r="AD169" s="78"/>
      <c r="AE169" s="78"/>
      <c r="AF169" s="78"/>
      <c r="AG169" s="78"/>
      <c r="AH169" s="78"/>
      <c r="AI169" s="78"/>
      <c r="AJ169" s="78"/>
      <c r="AK169" s="78"/>
      <c r="AL169" s="78"/>
      <c r="AM169" s="81"/>
      <c r="AN169" s="101"/>
      <c r="AO169" s="78"/>
      <c r="AP169" s="78"/>
      <c r="AQ169" s="78"/>
      <c r="AR169" s="78"/>
      <c r="AS169" s="79"/>
    </row>
    <row r="170" spans="1:45" ht="20.25" customHeight="1">
      <c r="A170" s="78"/>
      <c r="B170" s="78"/>
      <c r="C170" s="81"/>
      <c r="D170" s="78"/>
      <c r="E170" s="78"/>
      <c r="F170" s="78"/>
      <c r="G170" s="78"/>
      <c r="H170" s="78"/>
      <c r="I170" s="78"/>
      <c r="J170" s="78"/>
      <c r="K170" s="78"/>
      <c r="L170" s="78"/>
      <c r="M170" s="78"/>
      <c r="N170" s="78"/>
      <c r="O170" s="78"/>
      <c r="P170" s="78"/>
      <c r="Q170" s="103"/>
      <c r="R170" s="553"/>
      <c r="S170" s="553"/>
      <c r="T170" s="553"/>
      <c r="U170" s="553"/>
      <c r="V170" s="70"/>
      <c r="W170" s="78"/>
      <c r="X170" s="78"/>
      <c r="Y170" s="79"/>
      <c r="Z170" s="79"/>
      <c r="AA170" s="78"/>
      <c r="AB170" s="78"/>
      <c r="AC170" s="78"/>
      <c r="AD170" s="78"/>
      <c r="AE170" s="78"/>
      <c r="AF170" s="78"/>
      <c r="AG170" s="78"/>
      <c r="AH170" s="78"/>
      <c r="AI170" s="78"/>
      <c r="AJ170" s="78"/>
      <c r="AK170" s="78"/>
      <c r="AL170" s="78"/>
      <c r="AM170" s="81"/>
      <c r="AN170" s="101"/>
      <c r="AO170" s="78"/>
      <c r="AP170" s="78"/>
      <c r="AQ170" s="78"/>
      <c r="AR170" s="78"/>
      <c r="AS170" s="79"/>
    </row>
    <row r="171" spans="1:45" ht="20.25" customHeight="1">
      <c r="A171" s="78"/>
      <c r="B171" s="78"/>
      <c r="C171" s="81"/>
      <c r="D171" s="78"/>
      <c r="E171" s="78"/>
      <c r="F171" s="78"/>
      <c r="G171" s="78"/>
      <c r="H171" s="78"/>
      <c r="I171" s="78"/>
      <c r="J171" s="78"/>
      <c r="K171" s="78"/>
      <c r="L171" s="78"/>
      <c r="M171" s="78"/>
      <c r="N171" s="78"/>
      <c r="O171" s="78"/>
      <c r="P171" s="78"/>
      <c r="Q171" s="103"/>
      <c r="R171" s="553"/>
      <c r="S171" s="553"/>
      <c r="T171" s="553"/>
      <c r="U171" s="553"/>
      <c r="V171" s="70"/>
      <c r="W171" s="78"/>
      <c r="X171" s="78"/>
      <c r="Y171" s="79"/>
      <c r="Z171" s="79"/>
      <c r="AA171" s="78"/>
      <c r="AB171" s="78"/>
      <c r="AC171" s="78"/>
      <c r="AD171" s="78"/>
      <c r="AE171" s="78"/>
      <c r="AF171" s="78"/>
      <c r="AG171" s="78"/>
      <c r="AH171" s="78"/>
      <c r="AI171" s="78"/>
      <c r="AJ171" s="78"/>
      <c r="AK171" s="78"/>
      <c r="AL171" s="78"/>
      <c r="AM171" s="81"/>
      <c r="AN171" s="101"/>
      <c r="AO171" s="78"/>
      <c r="AP171" s="78"/>
      <c r="AQ171" s="78"/>
      <c r="AR171" s="78"/>
      <c r="AS171" s="79"/>
    </row>
    <row r="172" spans="1:45" ht="20.25" customHeight="1">
      <c r="A172" s="78"/>
      <c r="B172" s="78"/>
      <c r="C172" s="81"/>
      <c r="D172" s="78"/>
      <c r="E172" s="78"/>
      <c r="F172" s="78"/>
      <c r="G172" s="78"/>
      <c r="H172" s="78"/>
      <c r="I172" s="78"/>
      <c r="J172" s="78"/>
      <c r="K172" s="78"/>
      <c r="L172" s="78"/>
      <c r="M172" s="78"/>
      <c r="N172" s="78"/>
      <c r="O172" s="78"/>
      <c r="P172" s="78"/>
      <c r="Q172" s="103"/>
      <c r="R172" s="553"/>
      <c r="S172" s="553"/>
      <c r="T172" s="553"/>
      <c r="U172" s="553"/>
      <c r="V172" s="70"/>
      <c r="W172" s="78"/>
      <c r="X172" s="78"/>
      <c r="Y172" s="79"/>
      <c r="Z172" s="79"/>
      <c r="AA172" s="78"/>
      <c r="AB172" s="78"/>
      <c r="AC172" s="78"/>
      <c r="AD172" s="78"/>
      <c r="AE172" s="78"/>
      <c r="AF172" s="78"/>
      <c r="AG172" s="78"/>
      <c r="AH172" s="78"/>
      <c r="AI172" s="78"/>
      <c r="AJ172" s="78"/>
      <c r="AK172" s="78"/>
      <c r="AL172" s="78"/>
      <c r="AM172" s="81"/>
      <c r="AN172" s="101"/>
      <c r="AO172" s="78"/>
      <c r="AP172" s="78"/>
      <c r="AQ172" s="78"/>
      <c r="AR172" s="78"/>
      <c r="AS172" s="79"/>
    </row>
    <row r="173" spans="1:45" ht="20.25" customHeight="1">
      <c r="A173" s="78"/>
      <c r="B173" s="78"/>
      <c r="C173" s="81"/>
      <c r="D173" s="78"/>
      <c r="E173" s="78"/>
      <c r="F173" s="78"/>
      <c r="G173" s="78"/>
      <c r="H173" s="78"/>
      <c r="I173" s="78"/>
      <c r="J173" s="78"/>
      <c r="K173" s="78"/>
      <c r="L173" s="78"/>
      <c r="M173" s="78"/>
      <c r="N173" s="78"/>
      <c r="O173" s="78"/>
      <c r="P173" s="78"/>
      <c r="Q173" s="103"/>
      <c r="R173" s="553"/>
      <c r="S173" s="553"/>
      <c r="T173" s="553"/>
      <c r="U173" s="553"/>
      <c r="V173" s="70"/>
      <c r="W173" s="78"/>
      <c r="X173" s="78"/>
      <c r="Y173" s="79"/>
      <c r="Z173" s="79"/>
      <c r="AA173" s="78"/>
      <c r="AB173" s="78"/>
      <c r="AC173" s="78"/>
      <c r="AD173" s="78"/>
      <c r="AE173" s="78"/>
      <c r="AF173" s="78"/>
      <c r="AG173" s="78"/>
      <c r="AH173" s="78"/>
      <c r="AI173" s="78"/>
      <c r="AJ173" s="78"/>
      <c r="AK173" s="78"/>
      <c r="AL173" s="78"/>
      <c r="AM173" s="81"/>
      <c r="AN173" s="101"/>
      <c r="AO173" s="78"/>
      <c r="AP173" s="78"/>
      <c r="AQ173" s="78"/>
      <c r="AR173" s="78"/>
      <c r="AS173" s="79"/>
    </row>
    <row r="174" spans="1:45" ht="20.25" customHeight="1">
      <c r="A174" s="78"/>
      <c r="B174" s="78"/>
      <c r="C174" s="81"/>
      <c r="D174" s="78"/>
      <c r="E174" s="78"/>
      <c r="F174" s="78"/>
      <c r="G174" s="78"/>
      <c r="H174" s="78"/>
      <c r="I174" s="78"/>
      <c r="J174" s="78"/>
      <c r="K174" s="78"/>
      <c r="L174" s="78"/>
      <c r="M174" s="78"/>
      <c r="N174" s="78"/>
      <c r="O174" s="78"/>
      <c r="P174" s="78"/>
      <c r="Q174" s="103"/>
      <c r="R174" s="553"/>
      <c r="S174" s="553"/>
      <c r="T174" s="553"/>
      <c r="U174" s="553"/>
      <c r="V174" s="70"/>
      <c r="W174" s="78"/>
      <c r="X174" s="78"/>
      <c r="Y174" s="79"/>
      <c r="Z174" s="79"/>
      <c r="AA174" s="78"/>
      <c r="AB174" s="78"/>
      <c r="AC174" s="78"/>
      <c r="AD174" s="78"/>
      <c r="AE174" s="78"/>
      <c r="AF174" s="78"/>
      <c r="AG174" s="78"/>
      <c r="AH174" s="78"/>
      <c r="AI174" s="78"/>
      <c r="AJ174" s="78"/>
      <c r="AK174" s="78"/>
      <c r="AL174" s="78"/>
      <c r="AM174" s="81"/>
      <c r="AN174" s="101"/>
      <c r="AO174" s="78"/>
      <c r="AP174" s="78"/>
      <c r="AQ174" s="78"/>
      <c r="AR174" s="78"/>
      <c r="AS174" s="79"/>
    </row>
    <row r="175" spans="1:45" ht="20.25" customHeight="1">
      <c r="A175" s="78"/>
      <c r="B175" s="78"/>
      <c r="C175" s="81"/>
      <c r="D175" s="78"/>
      <c r="E175" s="78"/>
      <c r="F175" s="78"/>
      <c r="G175" s="78"/>
      <c r="H175" s="78"/>
      <c r="I175" s="78"/>
      <c r="J175" s="78"/>
      <c r="K175" s="78"/>
      <c r="L175" s="78"/>
      <c r="M175" s="78"/>
      <c r="N175" s="78"/>
      <c r="O175" s="78"/>
      <c r="P175" s="78"/>
      <c r="Q175" s="103"/>
      <c r="R175" s="553"/>
      <c r="S175" s="553"/>
      <c r="T175" s="553"/>
      <c r="U175" s="553"/>
      <c r="V175" s="70"/>
      <c r="W175" s="78"/>
      <c r="X175" s="78"/>
      <c r="Y175" s="79"/>
      <c r="Z175" s="79"/>
      <c r="AA175" s="78"/>
      <c r="AB175" s="78"/>
      <c r="AC175" s="78"/>
      <c r="AD175" s="78"/>
      <c r="AE175" s="78"/>
      <c r="AF175" s="78"/>
      <c r="AG175" s="78"/>
      <c r="AH175" s="78"/>
      <c r="AI175" s="78"/>
      <c r="AJ175" s="78"/>
      <c r="AK175" s="78"/>
      <c r="AL175" s="78"/>
      <c r="AM175" s="81"/>
      <c r="AN175" s="101"/>
      <c r="AO175" s="78"/>
      <c r="AP175" s="78"/>
      <c r="AQ175" s="78"/>
      <c r="AR175" s="78"/>
      <c r="AS175" s="79"/>
    </row>
    <row r="176" spans="1:45" ht="20.25" customHeight="1">
      <c r="A176" s="78"/>
      <c r="B176" s="78"/>
      <c r="C176" s="81"/>
      <c r="D176" s="78"/>
      <c r="E176" s="78"/>
      <c r="F176" s="78"/>
      <c r="G176" s="78"/>
      <c r="H176" s="78"/>
      <c r="I176" s="78"/>
      <c r="J176" s="78"/>
      <c r="K176" s="78"/>
      <c r="L176" s="78"/>
      <c r="M176" s="78"/>
      <c r="N176" s="78"/>
      <c r="O176" s="78"/>
      <c r="P176" s="78"/>
      <c r="Q176" s="103"/>
      <c r="R176" s="553"/>
      <c r="S176" s="553"/>
      <c r="T176" s="553"/>
      <c r="U176" s="553"/>
      <c r="V176" s="70"/>
      <c r="W176" s="78"/>
      <c r="X176" s="78"/>
      <c r="Y176" s="79"/>
      <c r="Z176" s="79"/>
      <c r="AA176" s="78"/>
      <c r="AB176" s="78"/>
      <c r="AC176" s="78"/>
      <c r="AD176" s="78"/>
      <c r="AE176" s="78"/>
      <c r="AF176" s="78"/>
      <c r="AG176" s="78"/>
      <c r="AH176" s="78"/>
      <c r="AI176" s="78"/>
      <c r="AJ176" s="78"/>
      <c r="AK176" s="78"/>
      <c r="AL176" s="78"/>
      <c r="AM176" s="81"/>
      <c r="AN176" s="101"/>
      <c r="AO176" s="78"/>
      <c r="AP176" s="78"/>
      <c r="AQ176" s="78"/>
      <c r="AR176" s="78"/>
      <c r="AS176" s="79"/>
    </row>
    <row r="177" spans="1:45" ht="20.25" customHeight="1">
      <c r="A177" s="78"/>
      <c r="B177" s="78"/>
      <c r="C177" s="81"/>
      <c r="D177" s="78"/>
      <c r="E177" s="78"/>
      <c r="F177" s="78"/>
      <c r="G177" s="78"/>
      <c r="H177" s="78"/>
      <c r="I177" s="78"/>
      <c r="J177" s="78"/>
      <c r="K177" s="78"/>
      <c r="L177" s="78"/>
      <c r="M177" s="78"/>
      <c r="N177" s="78"/>
      <c r="O177" s="78"/>
      <c r="P177" s="78"/>
      <c r="Q177" s="103"/>
      <c r="R177" s="553"/>
      <c r="S177" s="553"/>
      <c r="T177" s="553"/>
      <c r="U177" s="553"/>
      <c r="V177" s="70"/>
      <c r="W177" s="78"/>
      <c r="X177" s="78"/>
      <c r="Y177" s="79"/>
      <c r="Z177" s="79"/>
      <c r="AA177" s="78"/>
      <c r="AB177" s="78"/>
      <c r="AC177" s="78"/>
      <c r="AD177" s="78"/>
      <c r="AE177" s="78"/>
      <c r="AF177" s="78"/>
      <c r="AG177" s="78"/>
      <c r="AH177" s="78"/>
      <c r="AI177" s="78"/>
      <c r="AJ177" s="78"/>
      <c r="AK177" s="78"/>
      <c r="AL177" s="78"/>
      <c r="AM177" s="81"/>
      <c r="AN177" s="101"/>
      <c r="AO177" s="78"/>
      <c r="AP177" s="78"/>
      <c r="AQ177" s="78"/>
      <c r="AR177" s="78"/>
      <c r="AS177" s="79"/>
    </row>
    <row r="178" spans="1:45" ht="20.25" customHeight="1">
      <c r="A178" s="78"/>
      <c r="B178" s="78"/>
      <c r="C178" s="81"/>
      <c r="D178" s="78"/>
      <c r="E178" s="78"/>
      <c r="F178" s="78"/>
      <c r="G178" s="78"/>
      <c r="H178" s="78"/>
      <c r="I178" s="78"/>
      <c r="J178" s="78"/>
      <c r="K178" s="78"/>
      <c r="L178" s="78"/>
      <c r="M178" s="78"/>
      <c r="N178" s="78"/>
      <c r="O178" s="78"/>
      <c r="P178" s="78"/>
      <c r="Q178" s="103"/>
      <c r="R178" s="553"/>
      <c r="S178" s="553"/>
      <c r="T178" s="553"/>
      <c r="U178" s="553"/>
      <c r="V178" s="70"/>
      <c r="W178" s="78"/>
      <c r="X178" s="78"/>
      <c r="Y178" s="79"/>
      <c r="Z178" s="79"/>
      <c r="AA178" s="78"/>
      <c r="AB178" s="78"/>
      <c r="AC178" s="78"/>
      <c r="AD178" s="78"/>
      <c r="AE178" s="78"/>
      <c r="AF178" s="78"/>
      <c r="AG178" s="78"/>
      <c r="AH178" s="78"/>
      <c r="AI178" s="78"/>
      <c r="AJ178" s="78"/>
      <c r="AK178" s="78"/>
      <c r="AL178" s="78"/>
      <c r="AM178" s="81"/>
      <c r="AN178" s="101"/>
      <c r="AO178" s="78"/>
      <c r="AP178" s="78"/>
      <c r="AQ178" s="78"/>
      <c r="AR178" s="78"/>
      <c r="AS178" s="79"/>
    </row>
    <row r="179" spans="1:45" ht="20.25" customHeight="1">
      <c r="A179" s="78"/>
      <c r="B179" s="78"/>
      <c r="C179" s="81"/>
      <c r="D179" s="78"/>
      <c r="E179" s="78"/>
      <c r="F179" s="78"/>
      <c r="G179" s="78"/>
      <c r="H179" s="78"/>
      <c r="I179" s="78"/>
      <c r="J179" s="78"/>
      <c r="K179" s="78"/>
      <c r="L179" s="78"/>
      <c r="M179" s="78"/>
      <c r="N179" s="78"/>
      <c r="O179" s="78"/>
      <c r="P179" s="78"/>
      <c r="Q179" s="103"/>
      <c r="R179" s="553"/>
      <c r="S179" s="553"/>
      <c r="T179" s="553"/>
      <c r="U179" s="553"/>
      <c r="V179" s="70"/>
      <c r="W179" s="78"/>
      <c r="X179" s="78"/>
      <c r="Y179" s="79"/>
      <c r="Z179" s="79"/>
      <c r="AA179" s="78"/>
      <c r="AB179" s="78"/>
      <c r="AC179" s="78"/>
      <c r="AD179" s="78"/>
      <c r="AE179" s="78"/>
      <c r="AF179" s="78"/>
      <c r="AG179" s="78"/>
      <c r="AH179" s="78"/>
      <c r="AI179" s="78"/>
      <c r="AJ179" s="78"/>
      <c r="AK179" s="78"/>
      <c r="AL179" s="78"/>
      <c r="AM179" s="81"/>
      <c r="AN179" s="101"/>
      <c r="AO179" s="78"/>
      <c r="AP179" s="78"/>
      <c r="AQ179" s="78"/>
      <c r="AR179" s="78"/>
      <c r="AS179" s="79"/>
    </row>
    <row r="180" spans="1:45" ht="20.25" customHeight="1">
      <c r="A180" s="78"/>
      <c r="B180" s="78"/>
      <c r="C180" s="81"/>
      <c r="D180" s="78"/>
      <c r="E180" s="78"/>
      <c r="F180" s="78"/>
      <c r="G180" s="78"/>
      <c r="H180" s="78"/>
      <c r="I180" s="78"/>
      <c r="J180" s="78"/>
      <c r="K180" s="78"/>
      <c r="L180" s="78"/>
      <c r="M180" s="78"/>
      <c r="N180" s="78"/>
      <c r="O180" s="78"/>
      <c r="P180" s="78"/>
      <c r="Q180" s="103"/>
      <c r="R180" s="553"/>
      <c r="S180" s="553"/>
      <c r="T180" s="553"/>
      <c r="U180" s="553"/>
      <c r="V180" s="70"/>
      <c r="W180" s="78"/>
      <c r="X180" s="78"/>
      <c r="Y180" s="79"/>
      <c r="Z180" s="79"/>
      <c r="AA180" s="78"/>
      <c r="AB180" s="78"/>
      <c r="AC180" s="78"/>
      <c r="AD180" s="78"/>
      <c r="AE180" s="78"/>
      <c r="AF180" s="78"/>
      <c r="AG180" s="78"/>
      <c r="AH180" s="78"/>
      <c r="AI180" s="78"/>
      <c r="AJ180" s="78"/>
      <c r="AK180" s="78"/>
      <c r="AL180" s="78"/>
      <c r="AM180" s="81"/>
      <c r="AN180" s="101"/>
      <c r="AO180" s="78"/>
      <c r="AP180" s="78"/>
      <c r="AQ180" s="78"/>
      <c r="AR180" s="78"/>
      <c r="AS180" s="79"/>
    </row>
    <row r="181" spans="1:45" ht="20.25" customHeight="1">
      <c r="A181" s="78"/>
      <c r="B181" s="78"/>
      <c r="C181" s="81"/>
      <c r="D181" s="78"/>
      <c r="E181" s="78"/>
      <c r="F181" s="78"/>
      <c r="G181" s="78"/>
      <c r="H181" s="78"/>
      <c r="I181" s="78"/>
      <c r="J181" s="78"/>
      <c r="K181" s="78"/>
      <c r="L181" s="78"/>
      <c r="M181" s="78"/>
      <c r="N181" s="78"/>
      <c r="O181" s="78"/>
      <c r="P181" s="78"/>
      <c r="Q181" s="103"/>
      <c r="R181" s="553"/>
      <c r="S181" s="553"/>
      <c r="T181" s="553"/>
      <c r="U181" s="553"/>
      <c r="V181" s="70"/>
      <c r="W181" s="78"/>
      <c r="X181" s="78"/>
      <c r="Y181" s="79"/>
      <c r="Z181" s="79"/>
      <c r="AA181" s="78"/>
      <c r="AB181" s="78"/>
      <c r="AC181" s="78"/>
      <c r="AD181" s="78"/>
      <c r="AE181" s="78"/>
      <c r="AF181" s="78"/>
      <c r="AG181" s="78"/>
      <c r="AH181" s="78"/>
      <c r="AI181" s="78"/>
      <c r="AJ181" s="78"/>
      <c r="AK181" s="78"/>
      <c r="AL181" s="78"/>
      <c r="AM181" s="81"/>
      <c r="AN181" s="101"/>
      <c r="AO181" s="78"/>
      <c r="AP181" s="78"/>
      <c r="AQ181" s="78"/>
      <c r="AR181" s="78"/>
      <c r="AS181" s="79"/>
    </row>
    <row r="182" spans="1:45" ht="20.25" customHeight="1">
      <c r="A182" s="78"/>
      <c r="B182" s="78"/>
      <c r="C182" s="81"/>
      <c r="D182" s="78"/>
      <c r="E182" s="78"/>
      <c r="F182" s="78"/>
      <c r="G182" s="78"/>
      <c r="H182" s="78"/>
      <c r="I182" s="78"/>
      <c r="J182" s="78"/>
      <c r="K182" s="78"/>
      <c r="L182" s="78"/>
      <c r="M182" s="78"/>
      <c r="N182" s="78"/>
      <c r="O182" s="78"/>
      <c r="P182" s="78"/>
      <c r="Q182" s="103"/>
      <c r="R182" s="553"/>
      <c r="S182" s="553"/>
      <c r="T182" s="553"/>
      <c r="U182" s="553"/>
      <c r="V182" s="70"/>
      <c r="W182" s="78"/>
      <c r="X182" s="78"/>
      <c r="Y182" s="79"/>
      <c r="Z182" s="79"/>
      <c r="AA182" s="78"/>
      <c r="AB182" s="78"/>
      <c r="AC182" s="78"/>
      <c r="AD182" s="78"/>
      <c r="AE182" s="78"/>
      <c r="AF182" s="78"/>
      <c r="AG182" s="78"/>
      <c r="AH182" s="78"/>
      <c r="AI182" s="78"/>
      <c r="AJ182" s="78"/>
      <c r="AK182" s="78"/>
      <c r="AL182" s="78"/>
      <c r="AM182" s="81"/>
      <c r="AN182" s="101"/>
      <c r="AO182" s="78"/>
      <c r="AP182" s="78"/>
      <c r="AQ182" s="78"/>
      <c r="AR182" s="78"/>
      <c r="AS182" s="79"/>
    </row>
    <row r="183" spans="1:45" ht="20.25" customHeight="1">
      <c r="A183" s="78"/>
      <c r="B183" s="78"/>
      <c r="C183" s="81"/>
      <c r="D183" s="78"/>
      <c r="E183" s="78"/>
      <c r="F183" s="78"/>
      <c r="G183" s="78"/>
      <c r="H183" s="78"/>
      <c r="I183" s="78"/>
      <c r="J183" s="78"/>
      <c r="K183" s="78"/>
      <c r="L183" s="78"/>
      <c r="M183" s="78"/>
      <c r="N183" s="78"/>
      <c r="O183" s="78"/>
      <c r="P183" s="78"/>
      <c r="Q183" s="103"/>
      <c r="R183" s="553"/>
      <c r="S183" s="553"/>
      <c r="T183" s="553"/>
      <c r="U183" s="553"/>
      <c r="V183" s="70"/>
      <c r="W183" s="78"/>
      <c r="X183" s="78"/>
      <c r="Y183" s="79"/>
      <c r="Z183" s="79"/>
      <c r="AA183" s="78"/>
      <c r="AB183" s="78"/>
      <c r="AC183" s="78"/>
      <c r="AD183" s="78"/>
      <c r="AE183" s="78"/>
      <c r="AF183" s="78"/>
      <c r="AG183" s="78"/>
      <c r="AH183" s="78"/>
      <c r="AI183" s="78"/>
      <c r="AJ183" s="78"/>
      <c r="AK183" s="78"/>
      <c r="AL183" s="78"/>
      <c r="AM183" s="81"/>
      <c r="AN183" s="101"/>
      <c r="AO183" s="78"/>
      <c r="AP183" s="78"/>
      <c r="AQ183" s="78"/>
      <c r="AR183" s="78"/>
      <c r="AS183" s="79"/>
    </row>
    <row r="184" spans="1:45" ht="20.25" customHeight="1">
      <c r="A184" s="78"/>
      <c r="B184" s="78"/>
      <c r="C184" s="81"/>
      <c r="D184" s="78"/>
      <c r="E184" s="78"/>
      <c r="F184" s="78"/>
      <c r="G184" s="78"/>
      <c r="H184" s="78"/>
      <c r="I184" s="78"/>
      <c r="J184" s="78"/>
      <c r="K184" s="78"/>
      <c r="L184" s="78"/>
      <c r="M184" s="78"/>
      <c r="N184" s="78"/>
      <c r="O184" s="78"/>
      <c r="P184" s="78"/>
      <c r="Q184" s="103"/>
      <c r="R184" s="553"/>
      <c r="S184" s="553"/>
      <c r="T184" s="553"/>
      <c r="U184" s="553"/>
      <c r="V184" s="70"/>
      <c r="W184" s="78"/>
      <c r="X184" s="78"/>
      <c r="Y184" s="79"/>
      <c r="Z184" s="79"/>
      <c r="AA184" s="78"/>
      <c r="AB184" s="78"/>
      <c r="AC184" s="78"/>
      <c r="AD184" s="78"/>
      <c r="AE184" s="78"/>
      <c r="AF184" s="78"/>
      <c r="AG184" s="78"/>
      <c r="AH184" s="78"/>
      <c r="AI184" s="78"/>
      <c r="AJ184" s="78"/>
      <c r="AK184" s="78"/>
      <c r="AL184" s="78"/>
      <c r="AM184" s="81"/>
      <c r="AN184" s="101"/>
      <c r="AO184" s="78"/>
      <c r="AP184" s="78"/>
      <c r="AQ184" s="78"/>
      <c r="AR184" s="78"/>
      <c r="AS184" s="79"/>
    </row>
    <row r="185" spans="1:45" ht="20.25" customHeight="1">
      <c r="A185" s="78"/>
      <c r="B185" s="78"/>
      <c r="C185" s="81"/>
      <c r="D185" s="78"/>
      <c r="E185" s="78"/>
      <c r="F185" s="78"/>
      <c r="G185" s="78"/>
      <c r="H185" s="78"/>
      <c r="I185" s="78"/>
      <c r="J185" s="78"/>
      <c r="K185" s="78"/>
      <c r="L185" s="78"/>
      <c r="M185" s="78"/>
      <c r="N185" s="78"/>
      <c r="O185" s="78"/>
      <c r="P185" s="78"/>
      <c r="Q185" s="103"/>
      <c r="R185" s="553"/>
      <c r="S185" s="553"/>
      <c r="T185" s="553"/>
      <c r="U185" s="553"/>
      <c r="V185" s="70"/>
      <c r="W185" s="78"/>
      <c r="X185" s="78"/>
      <c r="Y185" s="79"/>
      <c r="Z185" s="79"/>
      <c r="AA185" s="78"/>
      <c r="AB185" s="78"/>
      <c r="AC185" s="78"/>
      <c r="AD185" s="78"/>
      <c r="AE185" s="78"/>
      <c r="AF185" s="78"/>
      <c r="AG185" s="78"/>
      <c r="AH185" s="78"/>
      <c r="AI185" s="78"/>
      <c r="AJ185" s="78"/>
      <c r="AK185" s="78"/>
      <c r="AL185" s="78"/>
      <c r="AM185" s="81"/>
      <c r="AN185" s="101"/>
      <c r="AO185" s="78"/>
      <c r="AP185" s="78"/>
      <c r="AQ185" s="78"/>
      <c r="AR185" s="78"/>
      <c r="AS185" s="79"/>
    </row>
    <row r="186" spans="1:45" ht="20.25" customHeight="1">
      <c r="A186" s="78"/>
      <c r="B186" s="78"/>
      <c r="C186" s="81"/>
      <c r="D186" s="78"/>
      <c r="E186" s="78"/>
      <c r="F186" s="78"/>
      <c r="G186" s="78"/>
      <c r="H186" s="78"/>
      <c r="I186" s="78"/>
      <c r="J186" s="78"/>
      <c r="K186" s="78"/>
      <c r="L186" s="78"/>
      <c r="M186" s="78"/>
      <c r="N186" s="78"/>
      <c r="O186" s="78"/>
      <c r="P186" s="78"/>
      <c r="Q186" s="103"/>
      <c r="R186" s="553"/>
      <c r="S186" s="553"/>
      <c r="T186" s="553"/>
      <c r="U186" s="553"/>
      <c r="V186" s="70"/>
      <c r="W186" s="78"/>
      <c r="X186" s="78"/>
      <c r="Y186" s="79"/>
      <c r="Z186" s="79"/>
      <c r="AA186" s="78"/>
      <c r="AB186" s="78"/>
      <c r="AC186" s="78"/>
      <c r="AD186" s="78"/>
      <c r="AE186" s="78"/>
      <c r="AF186" s="78"/>
      <c r="AG186" s="78"/>
      <c r="AH186" s="78"/>
      <c r="AI186" s="78"/>
      <c r="AJ186" s="78"/>
      <c r="AK186" s="78"/>
      <c r="AL186" s="78"/>
      <c r="AM186" s="81"/>
      <c r="AN186" s="101"/>
      <c r="AO186" s="78"/>
      <c r="AP186" s="78"/>
      <c r="AQ186" s="78"/>
      <c r="AR186" s="78"/>
      <c r="AS186" s="79"/>
    </row>
    <row r="187" spans="1:45" ht="20.25" customHeight="1">
      <c r="A187" s="78"/>
      <c r="B187" s="78"/>
      <c r="C187" s="81"/>
      <c r="D187" s="78"/>
      <c r="E187" s="78"/>
      <c r="F187" s="78"/>
      <c r="G187" s="78"/>
      <c r="H187" s="78"/>
      <c r="I187" s="78"/>
      <c r="J187" s="78"/>
      <c r="K187" s="78"/>
      <c r="L187" s="78"/>
      <c r="M187" s="78"/>
      <c r="N187" s="78"/>
      <c r="O187" s="78"/>
      <c r="P187" s="78"/>
      <c r="Q187" s="103"/>
      <c r="R187" s="553"/>
      <c r="S187" s="553"/>
      <c r="T187" s="553"/>
      <c r="U187" s="553"/>
      <c r="V187" s="70"/>
      <c r="W187" s="78"/>
      <c r="X187" s="78"/>
      <c r="Y187" s="79"/>
      <c r="Z187" s="79"/>
      <c r="AA187" s="78"/>
      <c r="AB187" s="78"/>
      <c r="AC187" s="78"/>
      <c r="AD187" s="78"/>
      <c r="AE187" s="78"/>
      <c r="AF187" s="78"/>
      <c r="AG187" s="78"/>
      <c r="AH187" s="78"/>
      <c r="AI187" s="78"/>
      <c r="AJ187" s="78"/>
      <c r="AK187" s="78"/>
      <c r="AL187" s="78"/>
      <c r="AM187" s="81"/>
      <c r="AN187" s="101"/>
      <c r="AO187" s="78"/>
      <c r="AP187" s="78"/>
      <c r="AQ187" s="78"/>
      <c r="AR187" s="78"/>
      <c r="AS187" s="79"/>
    </row>
    <row r="188" spans="1:45" ht="20.25" customHeight="1">
      <c r="A188" s="78"/>
      <c r="B188" s="78"/>
      <c r="C188" s="81"/>
      <c r="D188" s="78"/>
      <c r="E188" s="78"/>
      <c r="F188" s="78"/>
      <c r="G188" s="78"/>
      <c r="H188" s="78"/>
      <c r="I188" s="78"/>
      <c r="J188" s="78"/>
      <c r="K188" s="78"/>
      <c r="L188" s="78"/>
      <c r="M188" s="78"/>
      <c r="N188" s="78"/>
      <c r="O188" s="78"/>
      <c r="P188" s="78"/>
      <c r="Q188" s="103"/>
      <c r="R188" s="553"/>
      <c r="S188" s="553"/>
      <c r="T188" s="553"/>
      <c r="U188" s="553"/>
      <c r="V188" s="70"/>
      <c r="W188" s="78"/>
      <c r="X188" s="78"/>
      <c r="Y188" s="79"/>
      <c r="Z188" s="79"/>
      <c r="AA188" s="78"/>
      <c r="AB188" s="78"/>
      <c r="AC188" s="78"/>
      <c r="AD188" s="78"/>
      <c r="AE188" s="78"/>
      <c r="AF188" s="78"/>
      <c r="AG188" s="78"/>
      <c r="AH188" s="78"/>
      <c r="AI188" s="78"/>
      <c r="AJ188" s="78"/>
      <c r="AK188" s="78"/>
      <c r="AL188" s="78"/>
      <c r="AM188" s="81"/>
      <c r="AN188" s="101"/>
      <c r="AO188" s="78"/>
      <c r="AP188" s="78"/>
      <c r="AQ188" s="78"/>
      <c r="AR188" s="78"/>
      <c r="AS188" s="79"/>
    </row>
    <row r="189" spans="1:45" ht="20.25" customHeight="1">
      <c r="A189" s="78"/>
      <c r="B189" s="78"/>
      <c r="C189" s="81"/>
      <c r="D189" s="78"/>
      <c r="E189" s="78"/>
      <c r="F189" s="78"/>
      <c r="G189" s="78"/>
      <c r="H189" s="78"/>
      <c r="I189" s="78"/>
      <c r="J189" s="78"/>
      <c r="K189" s="78"/>
      <c r="L189" s="78"/>
      <c r="M189" s="78"/>
      <c r="N189" s="78"/>
      <c r="O189" s="78"/>
      <c r="P189" s="78"/>
      <c r="Q189" s="103"/>
      <c r="R189" s="553"/>
      <c r="S189" s="553"/>
      <c r="T189" s="553"/>
      <c r="U189" s="553"/>
      <c r="V189" s="70"/>
      <c r="W189" s="78"/>
      <c r="X189" s="78"/>
      <c r="Y189" s="79"/>
      <c r="Z189" s="79"/>
      <c r="AA189" s="78"/>
      <c r="AB189" s="78"/>
      <c r="AC189" s="78"/>
      <c r="AD189" s="78"/>
      <c r="AE189" s="78"/>
      <c r="AF189" s="78"/>
      <c r="AG189" s="78"/>
      <c r="AH189" s="78"/>
      <c r="AI189" s="78"/>
      <c r="AJ189" s="78"/>
      <c r="AK189" s="78"/>
      <c r="AL189" s="78"/>
      <c r="AM189" s="81"/>
      <c r="AN189" s="101"/>
      <c r="AO189" s="78"/>
      <c r="AP189" s="78"/>
      <c r="AQ189" s="78"/>
      <c r="AR189" s="78"/>
      <c r="AS189" s="79"/>
    </row>
    <row r="190" spans="1:45" ht="20.25" customHeight="1">
      <c r="A190" s="78"/>
      <c r="B190" s="78"/>
      <c r="C190" s="81"/>
      <c r="D190" s="78"/>
      <c r="E190" s="78"/>
      <c r="F190" s="78"/>
      <c r="G190" s="78"/>
      <c r="H190" s="78"/>
      <c r="I190" s="78"/>
      <c r="J190" s="78"/>
      <c r="K190" s="78"/>
      <c r="L190" s="78"/>
      <c r="M190" s="78"/>
      <c r="N190" s="78"/>
      <c r="O190" s="78"/>
      <c r="P190" s="78"/>
      <c r="Q190" s="103"/>
      <c r="R190" s="553"/>
      <c r="S190" s="553"/>
      <c r="T190" s="553"/>
      <c r="U190" s="553"/>
      <c r="V190" s="70"/>
      <c r="W190" s="78"/>
      <c r="X190" s="78"/>
      <c r="Y190" s="79"/>
      <c r="Z190" s="79"/>
      <c r="AA190" s="78"/>
      <c r="AB190" s="78"/>
      <c r="AC190" s="78"/>
      <c r="AD190" s="78"/>
      <c r="AE190" s="78"/>
      <c r="AF190" s="78"/>
      <c r="AG190" s="78"/>
      <c r="AH190" s="78"/>
      <c r="AI190" s="78"/>
      <c r="AJ190" s="78"/>
      <c r="AK190" s="78"/>
      <c r="AL190" s="78"/>
      <c r="AM190" s="81"/>
      <c r="AN190" s="101"/>
      <c r="AO190" s="78"/>
      <c r="AP190" s="78"/>
      <c r="AQ190" s="78"/>
      <c r="AR190" s="78"/>
      <c r="AS190" s="79"/>
    </row>
    <row r="191" spans="1:45" ht="20.25" customHeight="1">
      <c r="A191" s="78"/>
      <c r="B191" s="78"/>
      <c r="C191" s="81"/>
      <c r="D191" s="78"/>
      <c r="E191" s="78"/>
      <c r="F191" s="78"/>
      <c r="G191" s="78"/>
      <c r="H191" s="78"/>
      <c r="I191" s="78"/>
      <c r="J191" s="78"/>
      <c r="K191" s="78"/>
      <c r="L191" s="78"/>
      <c r="M191" s="78"/>
      <c r="N191" s="78"/>
      <c r="O191" s="78"/>
      <c r="P191" s="78"/>
      <c r="Q191" s="103"/>
      <c r="R191" s="553"/>
      <c r="S191" s="553"/>
      <c r="T191" s="553"/>
      <c r="U191" s="553"/>
      <c r="V191" s="70"/>
      <c r="W191" s="78"/>
      <c r="X191" s="78"/>
      <c r="Y191" s="79"/>
      <c r="Z191" s="79"/>
      <c r="AA191" s="78"/>
      <c r="AB191" s="78"/>
      <c r="AC191" s="78"/>
      <c r="AD191" s="78"/>
      <c r="AE191" s="78"/>
      <c r="AF191" s="78"/>
      <c r="AG191" s="78"/>
      <c r="AH191" s="78"/>
      <c r="AI191" s="78"/>
      <c r="AJ191" s="78"/>
      <c r="AK191" s="78"/>
      <c r="AL191" s="78"/>
      <c r="AM191" s="81"/>
      <c r="AN191" s="101"/>
      <c r="AO191" s="78"/>
      <c r="AP191" s="78"/>
      <c r="AQ191" s="78"/>
      <c r="AR191" s="78"/>
      <c r="AS191" s="79"/>
    </row>
    <row r="192" spans="1:45" ht="20.25" customHeight="1">
      <c r="A192" s="78"/>
      <c r="B192" s="78"/>
      <c r="C192" s="81"/>
      <c r="D192" s="78"/>
      <c r="E192" s="78"/>
      <c r="F192" s="78"/>
      <c r="G192" s="78"/>
      <c r="H192" s="78"/>
      <c r="I192" s="78"/>
      <c r="J192" s="78"/>
      <c r="K192" s="78"/>
      <c r="L192" s="78"/>
      <c r="M192" s="78"/>
      <c r="N192" s="78"/>
      <c r="O192" s="78"/>
      <c r="P192" s="78"/>
      <c r="Q192" s="103"/>
      <c r="R192" s="553"/>
      <c r="S192" s="553"/>
      <c r="T192" s="553"/>
      <c r="U192" s="553"/>
      <c r="V192" s="70"/>
      <c r="W192" s="78"/>
      <c r="X192" s="78"/>
      <c r="Y192" s="79"/>
      <c r="Z192" s="79"/>
      <c r="AA192" s="78"/>
      <c r="AB192" s="78"/>
      <c r="AC192" s="78"/>
      <c r="AD192" s="78"/>
      <c r="AE192" s="78"/>
      <c r="AF192" s="78"/>
      <c r="AG192" s="78"/>
      <c r="AH192" s="78"/>
      <c r="AI192" s="78"/>
      <c r="AJ192" s="78"/>
      <c r="AK192" s="78"/>
      <c r="AL192" s="78"/>
      <c r="AM192" s="81"/>
      <c r="AN192" s="101"/>
      <c r="AO192" s="78"/>
      <c r="AP192" s="78"/>
      <c r="AQ192" s="78"/>
      <c r="AR192" s="78"/>
      <c r="AS192" s="79"/>
    </row>
    <row r="193" spans="1:45" ht="20.25" customHeight="1">
      <c r="A193" s="78"/>
      <c r="B193" s="78"/>
      <c r="C193" s="81"/>
      <c r="D193" s="78"/>
      <c r="E193" s="78"/>
      <c r="F193" s="78"/>
      <c r="G193" s="78"/>
      <c r="H193" s="78"/>
      <c r="I193" s="78"/>
      <c r="J193" s="78"/>
      <c r="K193" s="78"/>
      <c r="L193" s="78"/>
      <c r="M193" s="78"/>
      <c r="N193" s="78"/>
      <c r="O193" s="78"/>
      <c r="P193" s="78"/>
      <c r="Q193" s="103"/>
      <c r="R193" s="553"/>
      <c r="S193" s="553"/>
      <c r="T193" s="553"/>
      <c r="U193" s="553"/>
      <c r="V193" s="70"/>
      <c r="W193" s="78"/>
      <c r="X193" s="78"/>
      <c r="Y193" s="79"/>
      <c r="Z193" s="79"/>
      <c r="AA193" s="78"/>
      <c r="AB193" s="78"/>
      <c r="AC193" s="78"/>
      <c r="AD193" s="78"/>
      <c r="AE193" s="78"/>
      <c r="AF193" s="78"/>
      <c r="AG193" s="78"/>
      <c r="AH193" s="78"/>
      <c r="AI193" s="78"/>
      <c r="AJ193" s="78"/>
      <c r="AK193" s="78"/>
      <c r="AL193" s="78"/>
      <c r="AM193" s="81"/>
      <c r="AN193" s="101"/>
      <c r="AO193" s="78"/>
      <c r="AP193" s="78"/>
      <c r="AQ193" s="78"/>
      <c r="AR193" s="78"/>
      <c r="AS193" s="79"/>
    </row>
    <row r="194" spans="1:45" ht="20.25" customHeight="1">
      <c r="A194" s="78"/>
      <c r="B194" s="78"/>
      <c r="C194" s="81"/>
      <c r="D194" s="78"/>
      <c r="E194" s="78"/>
      <c r="F194" s="78"/>
      <c r="G194" s="78"/>
      <c r="H194" s="78"/>
      <c r="I194" s="78"/>
      <c r="J194" s="78"/>
      <c r="K194" s="78"/>
      <c r="L194" s="78"/>
      <c r="M194" s="78"/>
      <c r="N194" s="78"/>
      <c r="O194" s="78"/>
      <c r="P194" s="78"/>
      <c r="Q194" s="103"/>
      <c r="R194" s="553"/>
      <c r="S194" s="553"/>
      <c r="T194" s="553"/>
      <c r="U194" s="553"/>
      <c r="V194" s="70"/>
      <c r="W194" s="78"/>
      <c r="X194" s="78"/>
      <c r="Y194" s="79"/>
      <c r="Z194" s="79"/>
      <c r="AA194" s="78"/>
      <c r="AB194" s="78"/>
      <c r="AC194" s="78"/>
      <c r="AD194" s="78"/>
      <c r="AE194" s="78"/>
      <c r="AF194" s="78"/>
      <c r="AG194" s="78"/>
      <c r="AH194" s="78"/>
      <c r="AI194" s="78"/>
      <c r="AJ194" s="78"/>
      <c r="AK194" s="78"/>
      <c r="AL194" s="78"/>
      <c r="AM194" s="81"/>
      <c r="AN194" s="101"/>
      <c r="AO194" s="78"/>
      <c r="AP194" s="78"/>
      <c r="AQ194" s="78"/>
      <c r="AR194" s="78"/>
      <c r="AS194" s="79"/>
    </row>
    <row r="195" spans="1:45" ht="20.25" customHeight="1">
      <c r="A195" s="78"/>
      <c r="B195" s="78"/>
      <c r="C195" s="81"/>
      <c r="D195" s="78"/>
      <c r="E195" s="78"/>
      <c r="F195" s="78"/>
      <c r="G195" s="78"/>
      <c r="H195" s="78"/>
      <c r="I195" s="78"/>
      <c r="J195" s="78"/>
      <c r="K195" s="78"/>
      <c r="L195" s="78"/>
      <c r="M195" s="78"/>
      <c r="N195" s="78"/>
      <c r="O195" s="78"/>
      <c r="P195" s="78"/>
      <c r="Q195" s="103"/>
      <c r="R195" s="553"/>
      <c r="S195" s="553"/>
      <c r="T195" s="553"/>
      <c r="U195" s="553"/>
      <c r="V195" s="70"/>
      <c r="W195" s="78"/>
      <c r="X195" s="78"/>
      <c r="Y195" s="79"/>
      <c r="Z195" s="79"/>
      <c r="AA195" s="78"/>
      <c r="AB195" s="78"/>
      <c r="AC195" s="78"/>
      <c r="AD195" s="78"/>
      <c r="AE195" s="78"/>
      <c r="AF195" s="78"/>
      <c r="AG195" s="78"/>
      <c r="AH195" s="78"/>
      <c r="AI195" s="78"/>
      <c r="AJ195" s="78"/>
      <c r="AK195" s="78"/>
      <c r="AL195" s="78"/>
      <c r="AM195" s="81"/>
      <c r="AN195" s="101"/>
      <c r="AO195" s="78"/>
      <c r="AP195" s="78"/>
      <c r="AQ195" s="78"/>
      <c r="AR195" s="78"/>
      <c r="AS195" s="79"/>
    </row>
    <row r="196" spans="1:45" ht="20.25" customHeight="1">
      <c r="A196" s="78"/>
      <c r="B196" s="78"/>
      <c r="C196" s="81"/>
      <c r="D196" s="78"/>
      <c r="E196" s="78"/>
      <c r="F196" s="78"/>
      <c r="G196" s="78"/>
      <c r="H196" s="78"/>
      <c r="I196" s="78"/>
      <c r="J196" s="78"/>
      <c r="K196" s="78"/>
      <c r="L196" s="78"/>
      <c r="M196" s="78"/>
      <c r="N196" s="78"/>
      <c r="O196" s="78"/>
      <c r="P196" s="78"/>
      <c r="Q196" s="103"/>
      <c r="R196" s="553"/>
      <c r="S196" s="553"/>
      <c r="T196" s="553"/>
      <c r="U196" s="553"/>
      <c r="V196" s="70"/>
      <c r="W196" s="78"/>
      <c r="X196" s="78"/>
      <c r="Y196" s="79"/>
      <c r="Z196" s="79"/>
      <c r="AA196" s="78"/>
      <c r="AB196" s="78"/>
      <c r="AC196" s="78"/>
      <c r="AD196" s="78"/>
      <c r="AE196" s="78"/>
      <c r="AF196" s="78"/>
      <c r="AG196" s="78"/>
      <c r="AH196" s="78"/>
      <c r="AI196" s="78"/>
      <c r="AJ196" s="78"/>
      <c r="AK196" s="78"/>
      <c r="AL196" s="78"/>
      <c r="AM196" s="81"/>
      <c r="AN196" s="101"/>
      <c r="AO196" s="78"/>
      <c r="AP196" s="78"/>
      <c r="AQ196" s="78"/>
      <c r="AR196" s="78"/>
      <c r="AS196" s="79"/>
    </row>
    <row r="197" spans="1:45" ht="20.25" customHeight="1">
      <c r="A197" s="78"/>
      <c r="B197" s="78"/>
      <c r="C197" s="81"/>
      <c r="D197" s="78"/>
      <c r="E197" s="78"/>
      <c r="F197" s="78"/>
      <c r="G197" s="78"/>
      <c r="H197" s="78"/>
      <c r="I197" s="78"/>
      <c r="J197" s="78"/>
      <c r="K197" s="78"/>
      <c r="L197" s="78"/>
      <c r="M197" s="78"/>
      <c r="N197" s="78"/>
      <c r="O197" s="78"/>
      <c r="P197" s="78"/>
      <c r="Q197" s="103"/>
      <c r="R197" s="553"/>
      <c r="S197" s="553"/>
      <c r="T197" s="553"/>
      <c r="U197" s="553"/>
      <c r="V197" s="70"/>
      <c r="W197" s="78"/>
      <c r="X197" s="78"/>
      <c r="Y197" s="79"/>
      <c r="Z197" s="79"/>
      <c r="AA197" s="78"/>
      <c r="AB197" s="78"/>
      <c r="AC197" s="78"/>
      <c r="AD197" s="78"/>
      <c r="AE197" s="78"/>
      <c r="AF197" s="78"/>
      <c r="AG197" s="78"/>
      <c r="AH197" s="78"/>
      <c r="AI197" s="78"/>
      <c r="AJ197" s="78"/>
      <c r="AK197" s="78"/>
      <c r="AL197" s="78"/>
      <c r="AM197" s="81"/>
      <c r="AN197" s="101"/>
      <c r="AO197" s="78"/>
      <c r="AP197" s="78"/>
      <c r="AQ197" s="78"/>
      <c r="AR197" s="78"/>
      <c r="AS197" s="79"/>
    </row>
  </sheetData>
  <mergeCells count="10">
    <mergeCell ref="A7:Q7"/>
    <mergeCell ref="A9:B9"/>
    <mergeCell ref="AL9:AM9"/>
    <mergeCell ref="A1:AM1"/>
    <mergeCell ref="A2:AM2"/>
    <mergeCell ref="D3:Q3"/>
    <mergeCell ref="R3:U3"/>
    <mergeCell ref="AB3:AI3"/>
    <mergeCell ref="AK3:AL3"/>
    <mergeCell ref="A8:AM8"/>
  </mergeCells>
  <conditionalFormatting sqref="J5:J6">
    <cfRule type="cellIs" dxfId="23" priority="1" stopIfTrue="1" operator="equal">
      <formula>"ER"</formula>
    </cfRule>
  </conditionalFormatting>
  <printOptions horizontalCentered="1"/>
  <pageMargins left="0" right="0" top="0.23622047244094499" bottom="0" header="0" footer="0"/>
  <pageSetup paperSize="9" scale="24" fitToHeight="0" orientation="landscape"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5623"/>
    <pageSetUpPr fitToPage="1"/>
  </sheetPr>
  <dimension ref="A1:AU98"/>
  <sheetViews>
    <sheetView zoomScale="40" zoomScaleNormal="40" workbookViewId="0">
      <pane ySplit="4" topLeftCell="A5" activePane="bottomLeft" state="frozen"/>
      <selection pane="bottomLeft" activeCell="A7" sqref="A7:XFD10"/>
    </sheetView>
  </sheetViews>
  <sheetFormatPr defaultColWidth="16.81640625" defaultRowHeight="15" customHeight="1"/>
  <cols>
    <col min="1" max="1" width="5.1796875" customWidth="1"/>
    <col min="2" max="2" width="29.26953125" customWidth="1"/>
    <col min="3" max="3" width="18" customWidth="1"/>
    <col min="4" max="5" width="6" customWidth="1"/>
    <col min="6" max="7" width="7.453125" customWidth="1"/>
    <col min="8" max="10" width="6" customWidth="1"/>
    <col min="11" max="11" width="14" customWidth="1"/>
    <col min="12" max="12" width="8.1796875" customWidth="1"/>
    <col min="13" max="13" width="10.81640625" customWidth="1"/>
    <col min="14" max="14" width="7.453125" customWidth="1"/>
    <col min="15" max="15" width="6" customWidth="1"/>
    <col min="16" max="16" width="7.453125" customWidth="1"/>
    <col min="17" max="17" width="8.26953125" bestFit="1" customWidth="1"/>
    <col min="18" max="18" width="10.7265625" hidden="1" customWidth="1"/>
    <col min="19" max="19" width="11.26953125" hidden="1" customWidth="1"/>
    <col min="20" max="20" width="12.1796875" hidden="1" customWidth="1"/>
    <col min="21" max="21" width="14" hidden="1" customWidth="1"/>
    <col min="22" max="22" width="18" customWidth="1"/>
    <col min="23" max="23" width="24.7265625" customWidth="1"/>
    <col min="24" max="24" width="11.7265625" customWidth="1"/>
    <col min="25" max="25" width="16.1796875" customWidth="1"/>
    <col min="26" max="26" width="26.1796875" customWidth="1"/>
    <col min="27" max="27" width="15.7265625" customWidth="1"/>
    <col min="28" max="28" width="13.26953125" customWidth="1"/>
    <col min="29" max="30" width="10.7265625" hidden="1" customWidth="1"/>
    <col min="31" max="31" width="12.81640625" hidden="1" customWidth="1"/>
    <col min="32" max="32" width="15.7265625" hidden="1" customWidth="1"/>
    <col min="33" max="34" width="10.7265625" hidden="1" customWidth="1"/>
    <col min="35" max="35" width="13.81640625" customWidth="1"/>
    <col min="36" max="36" width="18.7265625" style="616" customWidth="1"/>
    <col min="37" max="38" width="10.7265625" hidden="1" customWidth="1"/>
    <col min="39" max="39" width="40.1796875" customWidth="1"/>
    <col min="40" max="40" width="30.1796875" customWidth="1"/>
    <col min="41" max="47" width="11" customWidth="1"/>
  </cols>
  <sheetData>
    <row r="1" spans="1:47" ht="20.25" customHeight="1">
      <c r="A1" s="709" t="s">
        <v>0</v>
      </c>
      <c r="B1" s="710"/>
      <c r="C1" s="710"/>
      <c r="D1" s="710"/>
      <c r="E1" s="710"/>
      <c r="F1" s="710"/>
      <c r="G1" s="710"/>
      <c r="H1" s="710"/>
      <c r="I1" s="710"/>
      <c r="J1" s="710"/>
      <c r="K1" s="710"/>
      <c r="L1" s="710"/>
      <c r="M1" s="710"/>
      <c r="N1" s="710"/>
      <c r="O1" s="710"/>
      <c r="P1" s="710"/>
      <c r="Q1" s="710"/>
      <c r="R1" s="710"/>
      <c r="S1" s="710"/>
      <c r="T1" s="710"/>
      <c r="U1" s="710"/>
      <c r="V1" s="710"/>
      <c r="W1" s="710"/>
      <c r="X1" s="710"/>
      <c r="Y1" s="710"/>
      <c r="Z1" s="710"/>
      <c r="AA1" s="710"/>
      <c r="AB1" s="710"/>
      <c r="AC1" s="710"/>
      <c r="AD1" s="710"/>
      <c r="AE1" s="710"/>
      <c r="AF1" s="710"/>
      <c r="AG1" s="710"/>
      <c r="AH1" s="710"/>
      <c r="AI1" s="710"/>
      <c r="AJ1" s="710"/>
      <c r="AK1" s="710"/>
      <c r="AL1" s="710"/>
      <c r="AM1" s="711"/>
      <c r="AN1" s="78"/>
      <c r="AO1" s="78"/>
      <c r="AP1" s="78"/>
      <c r="AQ1" s="78"/>
      <c r="AR1" s="78"/>
      <c r="AS1" s="78"/>
      <c r="AT1" s="78"/>
      <c r="AU1" s="78"/>
    </row>
    <row r="2" spans="1:47" ht="20.25" customHeight="1">
      <c r="A2" s="712" t="s">
        <v>572</v>
      </c>
      <c r="B2" s="713"/>
      <c r="C2" s="713"/>
      <c r="D2" s="713"/>
      <c r="E2" s="713"/>
      <c r="F2" s="713"/>
      <c r="G2" s="713"/>
      <c r="H2" s="713"/>
      <c r="I2" s="713"/>
      <c r="J2" s="713"/>
      <c r="K2" s="713"/>
      <c r="L2" s="713"/>
      <c r="M2" s="713"/>
      <c r="N2" s="713"/>
      <c r="O2" s="713"/>
      <c r="P2" s="713"/>
      <c r="Q2" s="713"/>
      <c r="R2" s="713"/>
      <c r="S2" s="713"/>
      <c r="T2" s="713"/>
      <c r="U2" s="713"/>
      <c r="V2" s="713"/>
      <c r="W2" s="713"/>
      <c r="X2" s="713"/>
      <c r="Y2" s="713"/>
      <c r="Z2" s="713"/>
      <c r="AA2" s="713"/>
      <c r="AB2" s="713"/>
      <c r="AC2" s="713"/>
      <c r="AD2" s="713"/>
      <c r="AE2" s="713"/>
      <c r="AF2" s="713"/>
      <c r="AG2" s="713"/>
      <c r="AH2" s="713"/>
      <c r="AI2" s="713"/>
      <c r="AJ2" s="713"/>
      <c r="AK2" s="713"/>
      <c r="AL2" s="713"/>
      <c r="AM2" s="714"/>
      <c r="AN2" s="78"/>
      <c r="AO2" s="78"/>
      <c r="AP2" s="78"/>
      <c r="AQ2" s="78"/>
      <c r="AR2" s="78"/>
      <c r="AS2" s="78"/>
      <c r="AT2" s="78"/>
      <c r="AU2" s="78"/>
    </row>
    <row r="3" spans="1:47" ht="29.25" customHeight="1">
      <c r="A3" s="717" t="s">
        <v>39</v>
      </c>
      <c r="B3" s="707" t="s">
        <v>40</v>
      </c>
      <c r="C3" s="707" t="s">
        <v>41</v>
      </c>
      <c r="D3" s="715" t="s">
        <v>42</v>
      </c>
      <c r="E3" s="713"/>
      <c r="F3" s="713"/>
      <c r="G3" s="713"/>
      <c r="H3" s="713"/>
      <c r="I3" s="713"/>
      <c r="J3" s="713"/>
      <c r="K3" s="713"/>
      <c r="L3" s="713"/>
      <c r="M3" s="713"/>
      <c r="N3" s="713"/>
      <c r="O3" s="713"/>
      <c r="P3" s="713"/>
      <c r="Q3" s="716"/>
      <c r="R3" s="715" t="s">
        <v>43</v>
      </c>
      <c r="S3" s="713"/>
      <c r="T3" s="713"/>
      <c r="U3" s="716"/>
      <c r="V3" s="707" t="s">
        <v>157</v>
      </c>
      <c r="W3" s="707" t="s">
        <v>45</v>
      </c>
      <c r="X3" s="707" t="s">
        <v>46</v>
      </c>
      <c r="Y3" s="719" t="s">
        <v>47</v>
      </c>
      <c r="Z3" s="719" t="s">
        <v>48</v>
      </c>
      <c r="AA3" s="720" t="s">
        <v>49</v>
      </c>
      <c r="AB3" s="715" t="s">
        <v>6</v>
      </c>
      <c r="AC3" s="713"/>
      <c r="AD3" s="713"/>
      <c r="AE3" s="713"/>
      <c r="AF3" s="713"/>
      <c r="AG3" s="713"/>
      <c r="AH3" s="713"/>
      <c r="AI3" s="716"/>
      <c r="AJ3" s="721" t="s">
        <v>50</v>
      </c>
      <c r="AK3" s="715" t="s">
        <v>51</v>
      </c>
      <c r="AL3" s="716"/>
      <c r="AM3" s="704" t="s">
        <v>52</v>
      </c>
      <c r="AN3" s="81"/>
      <c r="AO3" s="81"/>
      <c r="AP3" s="81"/>
      <c r="AQ3" s="81"/>
      <c r="AR3" s="81"/>
      <c r="AS3" s="81"/>
      <c r="AT3" s="81"/>
      <c r="AU3" s="81"/>
    </row>
    <row r="4" spans="1:47" ht="147" customHeight="1">
      <c r="A4" s="718"/>
      <c r="B4" s="708"/>
      <c r="C4" s="708"/>
      <c r="D4" s="557" t="s">
        <v>53</v>
      </c>
      <c r="E4" s="557" t="s">
        <v>54</v>
      </c>
      <c r="F4" s="559" t="s">
        <v>55</v>
      </c>
      <c r="G4" s="559" t="s">
        <v>56</v>
      </c>
      <c r="H4" s="557" t="s">
        <v>57</v>
      </c>
      <c r="I4" s="559" t="s">
        <v>58</v>
      </c>
      <c r="J4" s="559" t="s">
        <v>59</v>
      </c>
      <c r="K4" s="557" t="s">
        <v>60</v>
      </c>
      <c r="L4" s="557" t="s">
        <v>116</v>
      </c>
      <c r="M4" s="557" t="s">
        <v>117</v>
      </c>
      <c r="N4" s="557" t="s">
        <v>63</v>
      </c>
      <c r="O4" s="557" t="s">
        <v>64</v>
      </c>
      <c r="P4" s="559" t="s">
        <v>65</v>
      </c>
      <c r="Q4" s="560" t="s">
        <v>66</v>
      </c>
      <c r="R4" s="590" t="s">
        <v>67</v>
      </c>
      <c r="S4" s="590" t="s">
        <v>68</v>
      </c>
      <c r="T4" s="591" t="s">
        <v>69</v>
      </c>
      <c r="U4" s="592" t="s">
        <v>70</v>
      </c>
      <c r="V4" s="708"/>
      <c r="W4" s="708"/>
      <c r="X4" s="708"/>
      <c r="Y4" s="708"/>
      <c r="Z4" s="708"/>
      <c r="AA4" s="708"/>
      <c r="AB4" s="564" t="s">
        <v>71</v>
      </c>
      <c r="AC4" s="565" t="s">
        <v>72</v>
      </c>
      <c r="AD4" s="564" t="s">
        <v>11</v>
      </c>
      <c r="AE4" s="564" t="s">
        <v>12</v>
      </c>
      <c r="AF4" s="565" t="s">
        <v>13</v>
      </c>
      <c r="AG4" s="564" t="s">
        <v>74</v>
      </c>
      <c r="AH4" s="564" t="s">
        <v>75</v>
      </c>
      <c r="AI4" s="566" t="s">
        <v>32</v>
      </c>
      <c r="AJ4" s="722"/>
      <c r="AK4" s="564" t="s">
        <v>76</v>
      </c>
      <c r="AL4" s="564" t="s">
        <v>77</v>
      </c>
      <c r="AM4" s="705"/>
      <c r="AN4" s="84"/>
      <c r="AO4" s="84"/>
      <c r="AP4" s="84"/>
      <c r="AQ4" s="84"/>
      <c r="AR4" s="84"/>
      <c r="AS4" s="84"/>
      <c r="AT4" s="84"/>
      <c r="AU4" s="84"/>
    </row>
    <row r="5" spans="1:47" s="378" customFormat="1" ht="66" customHeight="1">
      <c r="A5" s="593">
        <v>1</v>
      </c>
      <c r="B5" s="569" t="s">
        <v>138</v>
      </c>
      <c r="C5" s="569" t="s">
        <v>139</v>
      </c>
      <c r="D5" s="569">
        <v>10</v>
      </c>
      <c r="E5" s="594">
        <v>0</v>
      </c>
      <c r="F5" s="569">
        <f t="shared" ref="F5:F6" si="0">IF((E5/3)&gt;=1,TRUNC(E5/3,0),0)</f>
        <v>0</v>
      </c>
      <c r="G5" s="569">
        <f t="shared" ref="G5:G6" si="1">E5-F5*3</f>
        <v>0</v>
      </c>
      <c r="H5" s="594">
        <v>0</v>
      </c>
      <c r="I5" s="569">
        <f>IF(H5&lt;1,H5,H5-1)</f>
        <v>0</v>
      </c>
      <c r="J5" s="569">
        <f t="shared" ref="J5:J6" si="2">H5-I5</f>
        <v>0</v>
      </c>
      <c r="K5" s="569">
        <v>0</v>
      </c>
      <c r="L5" s="594">
        <v>1</v>
      </c>
      <c r="M5" s="569">
        <v>0</v>
      </c>
      <c r="N5" s="569">
        <v>0</v>
      </c>
      <c r="O5" s="569">
        <v>0</v>
      </c>
      <c r="P5" s="595">
        <f t="shared" ref="P5:P6" si="3">L5+M5+N5+O5</f>
        <v>1</v>
      </c>
      <c r="Q5" s="596">
        <f t="shared" ref="Q5:Q6" si="4">(F5*0.5)+(I5*0.5)+M5+(N5*2)</f>
        <v>0</v>
      </c>
      <c r="R5" s="576"/>
      <c r="S5" s="576"/>
      <c r="T5" s="576"/>
      <c r="U5" s="576">
        <f t="shared" ref="U5:U6" si="5">R5-(S5+T5)</f>
        <v>0</v>
      </c>
      <c r="V5" s="576">
        <v>20000</v>
      </c>
      <c r="W5" s="576">
        <f>V5/30*10</f>
        <v>6666.6666666666661</v>
      </c>
      <c r="X5" s="576"/>
      <c r="Y5" s="576">
        <f>W5-AB5</f>
        <v>6666.6666666666661</v>
      </c>
      <c r="Z5" s="576">
        <f>V5/30</f>
        <v>666.66666666666663</v>
      </c>
      <c r="AA5" s="576">
        <f t="shared" ref="AA5:AA6" si="6">W5*45%</f>
        <v>3000</v>
      </c>
      <c r="AB5" s="576">
        <f t="shared" ref="AB5:AB6" si="7">Q5*Z5</f>
        <v>0</v>
      </c>
      <c r="AC5" s="576"/>
      <c r="AD5" s="576">
        <f t="shared" ref="AD5:AD6" si="8">(AC5)*Z5</f>
        <v>0</v>
      </c>
      <c r="AE5" s="576">
        <f t="shared" ref="AE5:AE6" si="9">T5</f>
        <v>0</v>
      </c>
      <c r="AF5" s="597"/>
      <c r="AG5" s="576">
        <v>0</v>
      </c>
      <c r="AH5" s="576">
        <v>0</v>
      </c>
      <c r="AI5" s="576">
        <f t="shared" ref="AI5:AI6" si="10">SUM(AB5,AD5:AH5)</f>
        <v>0</v>
      </c>
      <c r="AJ5" s="609">
        <f t="shared" ref="AJ5:AJ6" si="11">ROUND(SUM(W5:X5)-AI5,0)</f>
        <v>6667</v>
      </c>
      <c r="AK5" s="576">
        <v>0</v>
      </c>
      <c r="AL5" s="576">
        <v>0</v>
      </c>
      <c r="AM5" s="598" t="s">
        <v>586</v>
      </c>
      <c r="AN5" s="376" t="s">
        <v>140</v>
      </c>
      <c r="AO5" s="377"/>
      <c r="AP5" s="377"/>
      <c r="AQ5" s="377"/>
      <c r="AR5" s="377"/>
      <c r="AS5" s="377"/>
    </row>
    <row r="6" spans="1:47" s="378" customFormat="1" ht="75.75" customHeight="1">
      <c r="A6" s="593">
        <v>2</v>
      </c>
      <c r="B6" s="599" t="s">
        <v>154</v>
      </c>
      <c r="C6" s="600" t="s">
        <v>147</v>
      </c>
      <c r="D6" s="569">
        <v>6</v>
      </c>
      <c r="E6" s="594">
        <v>0</v>
      </c>
      <c r="F6" s="571">
        <f t="shared" si="0"/>
        <v>0</v>
      </c>
      <c r="G6" s="571">
        <f t="shared" si="1"/>
        <v>0</v>
      </c>
      <c r="H6" s="594">
        <v>0</v>
      </c>
      <c r="I6" s="571">
        <f>IF(H6&lt;1,H6,H6-1)</f>
        <v>0</v>
      </c>
      <c r="J6" s="571">
        <f t="shared" si="2"/>
        <v>0</v>
      </c>
      <c r="K6" s="569">
        <v>0</v>
      </c>
      <c r="L6" s="594">
        <v>0</v>
      </c>
      <c r="M6" s="569">
        <v>0</v>
      </c>
      <c r="N6" s="569">
        <v>0</v>
      </c>
      <c r="O6" s="569">
        <v>0</v>
      </c>
      <c r="P6" s="595">
        <f t="shared" si="3"/>
        <v>0</v>
      </c>
      <c r="Q6" s="574">
        <f t="shared" si="4"/>
        <v>0</v>
      </c>
      <c r="R6" s="576"/>
      <c r="S6" s="576"/>
      <c r="T6" s="576"/>
      <c r="U6" s="576">
        <f t="shared" si="5"/>
        <v>0</v>
      </c>
      <c r="V6" s="576">
        <v>14000</v>
      </c>
      <c r="W6" s="577">
        <f>V6/30*6</f>
        <v>2800</v>
      </c>
      <c r="X6" s="576">
        <v>0</v>
      </c>
      <c r="Y6" s="576">
        <f>W6-AB6</f>
        <v>2800</v>
      </c>
      <c r="Z6" s="576">
        <f>V6/30</f>
        <v>466.66666666666669</v>
      </c>
      <c r="AA6" s="576">
        <f t="shared" si="6"/>
        <v>1260</v>
      </c>
      <c r="AB6" s="576">
        <f t="shared" si="7"/>
        <v>0</v>
      </c>
      <c r="AC6" s="576"/>
      <c r="AD6" s="576">
        <f t="shared" si="8"/>
        <v>0</v>
      </c>
      <c r="AE6" s="576">
        <f t="shared" si="9"/>
        <v>0</v>
      </c>
      <c r="AF6" s="601">
        <v>0</v>
      </c>
      <c r="AG6" s="576">
        <v>0</v>
      </c>
      <c r="AH6" s="576">
        <v>0</v>
      </c>
      <c r="AI6" s="576">
        <f t="shared" si="10"/>
        <v>0</v>
      </c>
      <c r="AJ6" s="609">
        <f t="shared" si="11"/>
        <v>2800</v>
      </c>
      <c r="AK6" s="576"/>
      <c r="AL6" s="576"/>
      <c r="AM6" s="602"/>
      <c r="AN6" s="386" t="s">
        <v>155</v>
      </c>
      <c r="AO6" s="387"/>
      <c r="AP6" s="387"/>
      <c r="AQ6" s="387"/>
      <c r="AR6" s="387"/>
      <c r="AS6" s="387"/>
    </row>
    <row r="7" spans="1:47" s="430" customFormat="1" ht="71.25" customHeight="1">
      <c r="A7" s="697" t="s">
        <v>123</v>
      </c>
      <c r="B7" s="698"/>
      <c r="C7" s="698"/>
      <c r="D7" s="698"/>
      <c r="E7" s="698"/>
      <c r="F7" s="698"/>
      <c r="G7" s="698"/>
      <c r="H7" s="698"/>
      <c r="I7" s="698"/>
      <c r="J7" s="698"/>
      <c r="K7" s="698"/>
      <c r="L7" s="698"/>
      <c r="M7" s="698"/>
      <c r="N7" s="698"/>
      <c r="O7" s="698"/>
      <c r="P7" s="698"/>
      <c r="Q7" s="699"/>
      <c r="R7" s="580">
        <f>SUM(R5:R6)</f>
        <v>0</v>
      </c>
      <c r="S7" s="580">
        <f>SUM(S5:S6)</f>
        <v>0</v>
      </c>
      <c r="T7" s="580">
        <f>SUM(T5:T6)</f>
        <v>0</v>
      </c>
      <c r="U7" s="580">
        <f>SUM(U5:U6)</f>
        <v>0</v>
      </c>
      <c r="V7" s="580">
        <f>SUM(V5:V6)</f>
        <v>34000</v>
      </c>
      <c r="W7" s="580">
        <f>SUM(W5:W6)</f>
        <v>9466.6666666666661</v>
      </c>
      <c r="X7" s="580">
        <f>SUM(X5:X6)</f>
        <v>0</v>
      </c>
      <c r="Y7" s="580">
        <f>SUM(Y5:Y6)</f>
        <v>9466.6666666666661</v>
      </c>
      <c r="Z7" s="580">
        <f>SUM(Z5:Z6)</f>
        <v>1133.3333333333333</v>
      </c>
      <c r="AA7" s="580">
        <f>SUM(AA5:AA6)</f>
        <v>4260</v>
      </c>
      <c r="AB7" s="580">
        <f>SUM(AB5:AB6)</f>
        <v>0</v>
      </c>
      <c r="AC7" s="580">
        <f>SUM(AC5:AC6)</f>
        <v>0</v>
      </c>
      <c r="AD7" s="580">
        <f>SUM(AD5:AD6)</f>
        <v>0</v>
      </c>
      <c r="AE7" s="580">
        <f>SUM(AE5:AE6)</f>
        <v>0</v>
      </c>
      <c r="AF7" s="580">
        <f>SUM(AF5:AF6)</f>
        <v>0</v>
      </c>
      <c r="AG7" s="580">
        <f>SUM(AG5:AG6)</f>
        <v>0</v>
      </c>
      <c r="AH7" s="580">
        <f>SUM(AH5:AH6)</f>
        <v>0</v>
      </c>
      <c r="AI7" s="580">
        <f>SUM(AI5:AI6)</f>
        <v>0</v>
      </c>
      <c r="AJ7" s="610">
        <f>SUM(AJ5:AJ6)</f>
        <v>9467</v>
      </c>
      <c r="AK7" s="580">
        <f>SUM(AK5:AK6)</f>
        <v>0</v>
      </c>
      <c r="AL7" s="580">
        <f>SUM(AL5:AL6)</f>
        <v>0</v>
      </c>
      <c r="AM7" s="603"/>
      <c r="AN7" s="428"/>
      <c r="AO7" s="428"/>
      <c r="AP7" s="428"/>
      <c r="AQ7" s="428"/>
      <c r="AR7" s="428"/>
      <c r="AS7" s="428"/>
      <c r="AT7" s="428"/>
      <c r="AU7" s="428"/>
    </row>
    <row r="8" spans="1:47" ht="45.75" customHeight="1">
      <c r="A8" s="604"/>
      <c r="B8" s="605"/>
      <c r="C8" s="605"/>
      <c r="D8" s="605"/>
      <c r="E8" s="605"/>
      <c r="F8" s="605"/>
      <c r="G8" s="605"/>
      <c r="H8" s="605"/>
      <c r="I8" s="605"/>
      <c r="J8" s="605"/>
      <c r="K8" s="605"/>
      <c r="L8" s="605"/>
      <c r="M8" s="605"/>
      <c r="N8" s="605"/>
      <c r="O8" s="605"/>
      <c r="P8" s="605"/>
      <c r="Q8" s="605"/>
      <c r="R8" s="606"/>
      <c r="S8" s="606"/>
      <c r="T8" s="606"/>
      <c r="U8" s="606"/>
      <c r="V8" s="606"/>
      <c r="W8" s="606"/>
      <c r="X8" s="606"/>
      <c r="Y8" s="606"/>
      <c r="Z8" s="606"/>
      <c r="AA8" s="606"/>
      <c r="AB8" s="606"/>
      <c r="AC8" s="606"/>
      <c r="AD8" s="106" t="s">
        <v>124</v>
      </c>
      <c r="AE8" s="106"/>
      <c r="AF8" s="106"/>
      <c r="AG8" s="106"/>
      <c r="AH8" s="106"/>
      <c r="AI8" s="106"/>
      <c r="AJ8" s="611">
        <f>+AJ7</f>
        <v>9467</v>
      </c>
      <c r="AK8" s="606"/>
      <c r="AL8" s="606"/>
      <c r="AM8" s="607"/>
      <c r="AN8" s="31"/>
      <c r="AO8" s="31"/>
      <c r="AP8" s="31"/>
      <c r="AQ8" s="31"/>
      <c r="AR8" s="31"/>
      <c r="AS8" s="31"/>
      <c r="AT8" s="31"/>
      <c r="AU8" s="31"/>
    </row>
    <row r="9" spans="1:47" ht="117.75" customHeight="1">
      <c r="A9" s="700" t="s">
        <v>34</v>
      </c>
      <c r="B9" s="701"/>
      <c r="C9" s="608"/>
      <c r="D9" s="608"/>
      <c r="E9" s="608"/>
      <c r="F9" s="608"/>
      <c r="G9" s="608"/>
      <c r="H9" s="608"/>
      <c r="I9" s="608"/>
      <c r="J9" s="608"/>
      <c r="K9" s="608"/>
      <c r="L9" s="608"/>
      <c r="M9" s="608"/>
      <c r="N9" s="608"/>
      <c r="O9" s="608"/>
      <c r="P9" s="608"/>
      <c r="Q9" s="608"/>
      <c r="R9" s="608"/>
      <c r="S9" s="608"/>
      <c r="T9" s="608"/>
      <c r="U9" s="702" t="s">
        <v>35</v>
      </c>
      <c r="V9" s="703"/>
      <c r="W9" s="703"/>
      <c r="X9" s="703"/>
      <c r="Y9" s="701"/>
      <c r="Z9" s="608"/>
      <c r="AA9" s="608"/>
      <c r="AB9" s="608"/>
      <c r="AC9" s="608"/>
      <c r="AD9" s="608"/>
      <c r="AE9" s="608"/>
      <c r="AF9" s="608"/>
      <c r="AG9" s="608"/>
      <c r="AH9" s="608"/>
      <c r="AI9" s="608"/>
      <c r="AJ9" s="612"/>
      <c r="AK9" s="702" t="s">
        <v>160</v>
      </c>
      <c r="AL9" s="703"/>
      <c r="AM9" s="706"/>
      <c r="AN9" s="76"/>
      <c r="AO9" s="76"/>
      <c r="AP9" s="76"/>
      <c r="AQ9" s="76"/>
      <c r="AR9" s="76"/>
      <c r="AS9" s="76"/>
      <c r="AT9" s="76"/>
      <c r="AU9" s="76"/>
    </row>
    <row r="10" spans="1:47" ht="20.25" customHeight="1">
      <c r="A10" s="102"/>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613"/>
      <c r="AK10" s="102"/>
      <c r="AL10" s="102"/>
      <c r="AM10" s="102"/>
      <c r="AN10" s="102"/>
      <c r="AO10" s="102"/>
      <c r="AP10" s="102"/>
      <c r="AQ10" s="102"/>
      <c r="AR10" s="102"/>
      <c r="AS10" s="102"/>
      <c r="AT10" s="102"/>
      <c r="AU10" s="102"/>
    </row>
    <row r="11" spans="1:47" ht="20.25" customHeight="1">
      <c r="A11" s="78"/>
      <c r="B11" s="78"/>
      <c r="C11" s="78"/>
      <c r="D11" s="78"/>
      <c r="E11" s="78"/>
      <c r="F11" s="78"/>
      <c r="G11" s="78"/>
      <c r="H11" s="78"/>
      <c r="I11" s="78"/>
      <c r="J11" s="78"/>
      <c r="K11" s="78"/>
      <c r="L11" s="78"/>
      <c r="M11" s="78"/>
      <c r="N11" s="78"/>
      <c r="O11" s="78"/>
      <c r="P11" s="78"/>
      <c r="Q11" s="103"/>
      <c r="R11" s="78"/>
      <c r="S11" s="78"/>
      <c r="T11" s="78"/>
      <c r="U11" s="78"/>
      <c r="V11" s="78"/>
      <c r="W11" s="78"/>
      <c r="X11" s="78"/>
      <c r="Y11" s="78"/>
      <c r="Z11" s="78"/>
      <c r="AA11" s="78"/>
      <c r="AB11" s="78"/>
      <c r="AC11" s="78"/>
      <c r="AD11" s="78"/>
      <c r="AE11" s="78"/>
      <c r="AF11" s="78"/>
      <c r="AG11" s="78"/>
      <c r="AH11" s="78"/>
      <c r="AI11" s="78"/>
      <c r="AJ11" s="614"/>
      <c r="AK11" s="70"/>
      <c r="AL11" s="78"/>
      <c r="AM11" s="78"/>
      <c r="AN11" s="78"/>
      <c r="AO11" s="78"/>
      <c r="AP11" s="78"/>
      <c r="AQ11" s="78"/>
      <c r="AR11" s="78"/>
      <c r="AS11" s="78"/>
      <c r="AT11" s="78"/>
      <c r="AU11" s="78"/>
    </row>
    <row r="12" spans="1:47" ht="66.75" customHeight="1">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0"/>
      <c r="AG12" s="78"/>
      <c r="AH12" s="78"/>
      <c r="AI12" s="78"/>
      <c r="AJ12" s="614"/>
      <c r="AK12" s="78"/>
      <c r="AL12" s="78"/>
      <c r="AM12" s="78"/>
      <c r="AN12" s="78"/>
      <c r="AO12" s="78"/>
      <c r="AP12" s="78"/>
      <c r="AQ12" s="78"/>
      <c r="AR12" s="78"/>
      <c r="AS12" s="78"/>
      <c r="AT12" s="78"/>
      <c r="AU12" s="78"/>
    </row>
    <row r="13" spans="1:47" ht="20.25" customHeight="1">
      <c r="A13" s="78"/>
      <c r="B13" s="78"/>
      <c r="C13" s="78"/>
      <c r="D13" s="78"/>
      <c r="E13" s="78"/>
      <c r="F13" s="78"/>
      <c r="G13" s="78"/>
      <c r="H13" s="78"/>
      <c r="I13" s="78"/>
      <c r="J13" s="78"/>
      <c r="K13" s="78"/>
      <c r="L13" s="78"/>
      <c r="M13" s="78"/>
      <c r="N13" s="78"/>
      <c r="O13" s="78"/>
      <c r="P13" s="78"/>
      <c r="Q13" s="103"/>
      <c r="R13" s="78"/>
      <c r="S13" s="78"/>
      <c r="T13" s="78"/>
      <c r="U13" s="78"/>
      <c r="V13" s="78"/>
      <c r="W13" s="70"/>
      <c r="X13" s="70"/>
      <c r="Y13" s="78"/>
      <c r="Z13" s="78"/>
      <c r="AA13" s="78"/>
      <c r="AB13" s="78"/>
      <c r="AC13" s="78"/>
      <c r="AD13" s="78"/>
      <c r="AE13" s="78"/>
      <c r="AF13" s="78"/>
      <c r="AG13" s="78"/>
      <c r="AH13" s="78"/>
      <c r="AI13" s="78"/>
      <c r="AJ13" s="614"/>
      <c r="AK13" s="78"/>
      <c r="AL13" s="78"/>
      <c r="AM13" s="78"/>
      <c r="AN13" s="102"/>
      <c r="AO13" s="102"/>
      <c r="AP13" s="102"/>
      <c r="AQ13" s="102"/>
      <c r="AR13" s="102"/>
      <c r="AS13" s="102"/>
      <c r="AT13" s="102"/>
      <c r="AU13" s="102"/>
    </row>
    <row r="14" spans="1:47" ht="20.25" customHeight="1">
      <c r="A14" s="78"/>
      <c r="B14" s="78"/>
      <c r="C14" s="78"/>
      <c r="D14" s="78"/>
      <c r="E14" s="78"/>
      <c r="F14" s="78"/>
      <c r="G14" s="78"/>
      <c r="H14" s="78"/>
      <c r="I14" s="78"/>
      <c r="J14" s="78"/>
      <c r="K14" s="78"/>
      <c r="L14" s="78"/>
      <c r="M14" s="78"/>
      <c r="N14" s="78"/>
      <c r="O14" s="78"/>
      <c r="P14" s="78"/>
      <c r="Q14" s="103"/>
      <c r="R14" s="78"/>
      <c r="S14" s="78"/>
      <c r="T14" s="78"/>
      <c r="U14" s="78"/>
      <c r="V14" s="78"/>
      <c r="W14" s="78"/>
      <c r="X14" s="78"/>
      <c r="Y14" s="78"/>
      <c r="Z14" s="78"/>
      <c r="AA14" s="78"/>
      <c r="AB14" s="78"/>
      <c r="AC14" s="78"/>
      <c r="AD14" s="78"/>
      <c r="AE14" s="78"/>
      <c r="AF14" s="78"/>
      <c r="AG14" s="78"/>
      <c r="AH14" s="78"/>
      <c r="AI14" s="78"/>
      <c r="AJ14" s="614"/>
      <c r="AK14" s="78"/>
      <c r="AL14" s="78"/>
      <c r="AM14" s="78"/>
      <c r="AN14" s="102"/>
      <c r="AO14" s="102"/>
      <c r="AP14" s="102"/>
      <c r="AQ14" s="102"/>
      <c r="AR14" s="102"/>
      <c r="AS14" s="102"/>
      <c r="AT14" s="102"/>
      <c r="AU14" s="102"/>
    </row>
    <row r="15" spans="1:47" ht="20.25" customHeight="1">
      <c r="A15" s="78"/>
      <c r="B15" s="78"/>
      <c r="C15" s="78"/>
      <c r="D15" s="78"/>
      <c r="E15" s="78"/>
      <c r="F15" s="78"/>
      <c r="G15" s="78"/>
      <c r="H15" s="78"/>
      <c r="I15" s="78"/>
      <c r="J15" s="78"/>
      <c r="K15" s="78"/>
      <c r="L15" s="78"/>
      <c r="M15" s="78"/>
      <c r="N15" s="78"/>
      <c r="O15" s="78"/>
      <c r="P15" s="78"/>
      <c r="Q15" s="103"/>
      <c r="R15" s="78"/>
      <c r="S15" s="78"/>
      <c r="T15" s="78"/>
      <c r="U15" s="78"/>
      <c r="V15" s="78"/>
      <c r="W15" s="70"/>
      <c r="X15" s="70"/>
      <c r="Y15" s="78"/>
      <c r="Z15" s="78"/>
      <c r="AA15" s="78"/>
      <c r="AB15" s="78"/>
      <c r="AC15" s="78"/>
      <c r="AD15" s="78"/>
      <c r="AE15" s="78"/>
      <c r="AF15" s="78"/>
      <c r="AG15" s="78"/>
      <c r="AH15" s="78"/>
      <c r="AI15" s="78"/>
      <c r="AJ15" s="615"/>
      <c r="AK15" s="78"/>
      <c r="AL15" s="78"/>
      <c r="AM15" s="78"/>
      <c r="AN15" s="78"/>
      <c r="AO15" s="78"/>
      <c r="AP15" s="78"/>
      <c r="AQ15" s="78"/>
      <c r="AR15" s="78"/>
      <c r="AS15" s="78"/>
      <c r="AT15" s="78"/>
      <c r="AU15" s="78"/>
    </row>
    <row r="16" spans="1:47" ht="20.25" customHeight="1">
      <c r="A16" s="102"/>
      <c r="B16" s="78"/>
      <c r="C16" s="102"/>
      <c r="D16" s="102"/>
      <c r="E16" s="78"/>
      <c r="F16" s="78"/>
      <c r="G16" s="78"/>
      <c r="H16" s="78"/>
      <c r="I16" s="78"/>
      <c r="J16" s="78"/>
      <c r="K16" s="78"/>
      <c r="L16" s="78"/>
      <c r="M16" s="78"/>
      <c r="N16" s="78"/>
      <c r="O16" s="78"/>
      <c r="P16" s="78"/>
      <c r="Q16" s="103"/>
      <c r="R16" s="102"/>
      <c r="S16" s="102"/>
      <c r="T16" s="102"/>
      <c r="U16" s="102"/>
      <c r="V16" s="102"/>
      <c r="W16" s="102"/>
      <c r="X16" s="102"/>
      <c r="Y16" s="102"/>
      <c r="Z16" s="102"/>
      <c r="AA16" s="102"/>
      <c r="AB16" s="102"/>
      <c r="AC16" s="102"/>
      <c r="AD16" s="102"/>
      <c r="AE16" s="102"/>
      <c r="AF16" s="102"/>
      <c r="AG16" s="102"/>
      <c r="AH16" s="102"/>
      <c r="AI16" s="102"/>
      <c r="AJ16" s="613"/>
      <c r="AK16" s="102"/>
      <c r="AL16" s="102"/>
      <c r="AM16" s="102"/>
      <c r="AN16" s="78"/>
      <c r="AO16" s="78"/>
      <c r="AP16" s="78"/>
      <c r="AQ16" s="78"/>
      <c r="AR16" s="78"/>
      <c r="AS16" s="78"/>
      <c r="AT16" s="78"/>
      <c r="AU16" s="78"/>
    </row>
    <row r="17" spans="1:47" ht="20.25" customHeight="1">
      <c r="A17" s="102"/>
      <c r="B17" s="78"/>
      <c r="C17" s="102"/>
      <c r="D17" s="102"/>
      <c r="E17" s="78"/>
      <c r="F17" s="78"/>
      <c r="G17" s="78"/>
      <c r="H17" s="78"/>
      <c r="I17" s="78"/>
      <c r="J17" s="78"/>
      <c r="K17" s="78"/>
      <c r="L17" s="78"/>
      <c r="M17" s="78"/>
      <c r="N17" s="78"/>
      <c r="O17" s="78"/>
      <c r="P17" s="78"/>
      <c r="Q17" s="103"/>
      <c r="R17" s="102"/>
      <c r="S17" s="102"/>
      <c r="T17" s="102"/>
      <c r="U17" s="102"/>
      <c r="V17" s="102"/>
      <c r="W17" s="102"/>
      <c r="X17" s="102"/>
      <c r="Y17" s="102"/>
      <c r="Z17" s="102"/>
      <c r="AA17" s="102"/>
      <c r="AB17" s="102"/>
      <c r="AC17" s="102"/>
      <c r="AD17" s="102"/>
      <c r="AE17" s="102"/>
      <c r="AF17" s="102"/>
      <c r="AG17" s="102"/>
      <c r="AH17" s="102"/>
      <c r="AI17" s="102"/>
      <c r="AJ17" s="613"/>
      <c r="AK17" s="102"/>
      <c r="AL17" s="102"/>
      <c r="AM17" s="102"/>
      <c r="AN17" s="78"/>
      <c r="AO17" s="78"/>
      <c r="AP17" s="78"/>
      <c r="AQ17" s="78"/>
      <c r="AR17" s="78"/>
      <c r="AS17" s="78"/>
      <c r="AT17" s="78"/>
      <c r="AU17" s="78"/>
    </row>
    <row r="18" spans="1:47" ht="20.25" customHeight="1">
      <c r="A18" s="78"/>
      <c r="B18" s="78"/>
      <c r="C18" s="78"/>
      <c r="D18" s="78"/>
      <c r="E18" s="78"/>
      <c r="F18" s="78"/>
      <c r="G18" s="78"/>
      <c r="H18" s="78"/>
      <c r="I18" s="78"/>
      <c r="J18" s="78"/>
      <c r="K18" s="78"/>
      <c r="L18" s="78"/>
      <c r="M18" s="78"/>
      <c r="N18" s="78"/>
      <c r="O18" s="78"/>
      <c r="P18" s="78"/>
      <c r="Q18" s="103"/>
      <c r="R18" s="78"/>
      <c r="S18" s="78"/>
      <c r="T18" s="78"/>
      <c r="U18" s="78"/>
      <c r="V18" s="78"/>
      <c r="W18" s="78"/>
      <c r="X18" s="78"/>
      <c r="Y18" s="78"/>
      <c r="Z18" s="78"/>
      <c r="AA18" s="78"/>
      <c r="AB18" s="78"/>
      <c r="AC18" s="78"/>
      <c r="AD18" s="78"/>
      <c r="AE18" s="78"/>
      <c r="AF18" s="78"/>
      <c r="AG18" s="78"/>
      <c r="AH18" s="78"/>
      <c r="AI18" s="78"/>
      <c r="AJ18" s="614"/>
      <c r="AK18" s="78"/>
      <c r="AL18" s="78"/>
      <c r="AM18" s="78"/>
      <c r="AN18" s="78"/>
      <c r="AO18" s="78"/>
      <c r="AP18" s="78"/>
      <c r="AQ18" s="78"/>
      <c r="AR18" s="78"/>
      <c r="AS18" s="78"/>
      <c r="AT18" s="78"/>
      <c r="AU18" s="78"/>
    </row>
    <row r="19" spans="1:47" ht="20.25" customHeight="1">
      <c r="A19" s="78"/>
      <c r="B19" s="78"/>
      <c r="C19" s="81"/>
      <c r="D19" s="78"/>
      <c r="E19" s="78"/>
      <c r="F19" s="78"/>
      <c r="G19" s="78"/>
      <c r="H19" s="78"/>
      <c r="I19" s="78"/>
      <c r="J19" s="78"/>
      <c r="K19" s="78"/>
      <c r="L19" s="78"/>
      <c r="M19" s="78"/>
      <c r="N19" s="78"/>
      <c r="O19" s="78"/>
      <c r="P19" s="78"/>
      <c r="Q19" s="103"/>
      <c r="R19" s="103"/>
      <c r="S19" s="103"/>
      <c r="T19" s="103"/>
      <c r="U19" s="103"/>
      <c r="V19" s="103"/>
      <c r="W19" s="78"/>
      <c r="X19" s="78"/>
      <c r="Y19" s="79"/>
      <c r="Z19" s="79"/>
      <c r="AA19" s="78"/>
      <c r="AB19" s="78"/>
      <c r="AC19" s="78"/>
      <c r="AD19" s="78"/>
      <c r="AE19" s="78"/>
      <c r="AF19" s="78"/>
      <c r="AG19" s="78"/>
      <c r="AH19" s="78"/>
      <c r="AI19" s="78"/>
      <c r="AJ19" s="614"/>
      <c r="AK19" s="78"/>
      <c r="AL19" s="78"/>
      <c r="AM19" s="81"/>
      <c r="AN19" s="78"/>
      <c r="AO19" s="78"/>
      <c r="AP19" s="78"/>
      <c r="AQ19" s="78"/>
      <c r="AR19" s="78"/>
      <c r="AS19" s="78"/>
      <c r="AT19" s="78"/>
      <c r="AU19" s="78"/>
    </row>
    <row r="20" spans="1:47" ht="20.25" customHeight="1">
      <c r="A20" s="78"/>
      <c r="B20" s="78"/>
      <c r="C20" s="81"/>
      <c r="D20" s="78"/>
      <c r="E20" s="78"/>
      <c r="F20" s="78"/>
      <c r="G20" s="78"/>
      <c r="H20" s="78"/>
      <c r="I20" s="78"/>
      <c r="J20" s="78"/>
      <c r="K20" s="78"/>
      <c r="L20" s="78"/>
      <c r="M20" s="78"/>
      <c r="N20" s="78"/>
      <c r="O20" s="78"/>
      <c r="P20" s="78"/>
      <c r="Q20" s="103"/>
      <c r="R20" s="103"/>
      <c r="S20" s="103"/>
      <c r="T20" s="103"/>
      <c r="U20" s="103"/>
      <c r="V20" s="103"/>
      <c r="W20" s="78"/>
      <c r="X20" s="78"/>
      <c r="Y20" s="79"/>
      <c r="Z20" s="79"/>
      <c r="AA20" s="78"/>
      <c r="AB20" s="78"/>
      <c r="AC20" s="78"/>
      <c r="AD20" s="78"/>
      <c r="AE20" s="78"/>
      <c r="AF20" s="78"/>
      <c r="AG20" s="78"/>
      <c r="AH20" s="78"/>
      <c r="AI20" s="78"/>
      <c r="AJ20" s="614"/>
      <c r="AK20" s="78"/>
      <c r="AL20" s="78"/>
      <c r="AM20" s="81"/>
      <c r="AN20" s="78"/>
      <c r="AO20" s="78"/>
      <c r="AP20" s="78"/>
      <c r="AQ20" s="78"/>
      <c r="AR20" s="78"/>
      <c r="AS20" s="78"/>
      <c r="AT20" s="78"/>
      <c r="AU20" s="78"/>
    </row>
    <row r="21" spans="1:47" ht="20.25" customHeight="1">
      <c r="A21" s="78"/>
      <c r="B21" s="78"/>
      <c r="C21" s="81"/>
      <c r="D21" s="78"/>
      <c r="E21" s="78"/>
      <c r="F21" s="78"/>
      <c r="G21" s="78"/>
      <c r="H21" s="78"/>
      <c r="I21" s="78"/>
      <c r="J21" s="78"/>
      <c r="K21" s="78"/>
      <c r="L21" s="78"/>
      <c r="M21" s="78"/>
      <c r="N21" s="78"/>
      <c r="O21" s="78"/>
      <c r="P21" s="78"/>
      <c r="Q21" s="103"/>
      <c r="R21" s="103"/>
      <c r="S21" s="103"/>
      <c r="T21" s="103"/>
      <c r="U21" s="103"/>
      <c r="V21" s="103"/>
      <c r="W21" s="78"/>
      <c r="X21" s="78"/>
      <c r="Y21" s="79"/>
      <c r="Z21" s="79"/>
      <c r="AA21" s="78"/>
      <c r="AB21" s="78"/>
      <c r="AC21" s="78"/>
      <c r="AD21" s="78"/>
      <c r="AE21" s="78"/>
      <c r="AF21" s="78"/>
      <c r="AG21" s="78"/>
      <c r="AH21" s="78"/>
      <c r="AI21" s="78"/>
      <c r="AJ21" s="614"/>
      <c r="AK21" s="78"/>
      <c r="AL21" s="78"/>
      <c r="AM21" s="81"/>
      <c r="AN21" s="78"/>
      <c r="AO21" s="78"/>
      <c r="AP21" s="78"/>
      <c r="AQ21" s="78"/>
      <c r="AR21" s="78"/>
      <c r="AS21" s="78"/>
      <c r="AT21" s="78"/>
      <c r="AU21" s="78"/>
    </row>
    <row r="22" spans="1:47" ht="20.25" customHeight="1">
      <c r="A22" s="78"/>
      <c r="B22" s="78"/>
      <c r="C22" s="81"/>
      <c r="D22" s="78"/>
      <c r="E22" s="78"/>
      <c r="F22" s="78"/>
      <c r="G22" s="78"/>
      <c r="H22" s="78"/>
      <c r="I22" s="78"/>
      <c r="J22" s="78"/>
      <c r="K22" s="78"/>
      <c r="L22" s="78"/>
      <c r="M22" s="78"/>
      <c r="N22" s="78"/>
      <c r="O22" s="78"/>
      <c r="P22" s="78"/>
      <c r="Q22" s="103"/>
      <c r="R22" s="103"/>
      <c r="S22" s="103"/>
      <c r="T22" s="103"/>
      <c r="U22" s="103"/>
      <c r="V22" s="103"/>
      <c r="W22" s="78"/>
      <c r="X22" s="78"/>
      <c r="Y22" s="79"/>
      <c r="Z22" s="79"/>
      <c r="AA22" s="78"/>
      <c r="AB22" s="78"/>
      <c r="AC22" s="78"/>
      <c r="AD22" s="78"/>
      <c r="AE22" s="78"/>
      <c r="AF22" s="78"/>
      <c r="AG22" s="78"/>
      <c r="AH22" s="78"/>
      <c r="AI22" s="78"/>
      <c r="AJ22" s="614"/>
      <c r="AK22" s="78"/>
      <c r="AL22" s="78"/>
      <c r="AM22" s="81"/>
      <c r="AN22" s="78"/>
      <c r="AO22" s="78"/>
      <c r="AP22" s="78"/>
      <c r="AQ22" s="78"/>
      <c r="AR22" s="78"/>
      <c r="AS22" s="78"/>
      <c r="AT22" s="78"/>
      <c r="AU22" s="78"/>
    </row>
    <row r="23" spans="1:47" ht="20.25" customHeight="1">
      <c r="A23" s="78"/>
      <c r="B23" s="78"/>
      <c r="C23" s="81"/>
      <c r="D23" s="78"/>
      <c r="E23" s="78"/>
      <c r="F23" s="78"/>
      <c r="G23" s="78"/>
      <c r="H23" s="78"/>
      <c r="I23" s="78"/>
      <c r="J23" s="78"/>
      <c r="K23" s="78"/>
      <c r="L23" s="78"/>
      <c r="M23" s="78"/>
      <c r="N23" s="78"/>
      <c r="O23" s="78"/>
      <c r="P23" s="78"/>
      <c r="Q23" s="103"/>
      <c r="R23" s="103"/>
      <c r="S23" s="103"/>
      <c r="T23" s="103"/>
      <c r="U23" s="103"/>
      <c r="V23" s="103"/>
      <c r="W23" s="78"/>
      <c r="X23" s="78"/>
      <c r="Y23" s="79"/>
      <c r="Z23" s="79"/>
      <c r="AA23" s="78"/>
      <c r="AB23" s="78"/>
      <c r="AC23" s="78"/>
      <c r="AD23" s="78"/>
      <c r="AE23" s="78"/>
      <c r="AF23" s="78"/>
      <c r="AG23" s="78"/>
      <c r="AH23" s="78"/>
      <c r="AI23" s="78"/>
      <c r="AJ23" s="614"/>
      <c r="AK23" s="78"/>
      <c r="AL23" s="78"/>
      <c r="AM23" s="81"/>
      <c r="AN23" s="78"/>
      <c r="AO23" s="78"/>
      <c r="AP23" s="78"/>
      <c r="AQ23" s="78"/>
      <c r="AR23" s="78"/>
      <c r="AS23" s="78"/>
      <c r="AT23" s="78"/>
      <c r="AU23" s="78"/>
    </row>
    <row r="24" spans="1:47" ht="20.25" customHeight="1">
      <c r="A24" s="78"/>
      <c r="B24" s="78"/>
      <c r="C24" s="81"/>
      <c r="D24" s="78"/>
      <c r="E24" s="78"/>
      <c r="F24" s="78"/>
      <c r="G24" s="78"/>
      <c r="H24" s="78"/>
      <c r="I24" s="78"/>
      <c r="J24" s="78"/>
      <c r="K24" s="78"/>
      <c r="L24" s="78"/>
      <c r="M24" s="78"/>
      <c r="N24" s="78"/>
      <c r="O24" s="78"/>
      <c r="P24" s="78"/>
      <c r="Q24" s="103"/>
      <c r="R24" s="103"/>
      <c r="S24" s="103"/>
      <c r="T24" s="103"/>
      <c r="U24" s="103"/>
      <c r="V24" s="103"/>
      <c r="W24" s="78"/>
      <c r="X24" s="78"/>
      <c r="Y24" s="79"/>
      <c r="Z24" s="79"/>
      <c r="AA24" s="78"/>
      <c r="AB24" s="78"/>
      <c r="AC24" s="78"/>
      <c r="AD24" s="78"/>
      <c r="AE24" s="78"/>
      <c r="AF24" s="78"/>
      <c r="AG24" s="78"/>
      <c r="AH24" s="78"/>
      <c r="AI24" s="78"/>
      <c r="AJ24" s="614"/>
      <c r="AK24" s="78"/>
      <c r="AL24" s="78"/>
      <c r="AM24" s="81"/>
      <c r="AN24" s="78"/>
      <c r="AO24" s="78"/>
      <c r="AP24" s="78"/>
      <c r="AQ24" s="78"/>
      <c r="AR24" s="78"/>
      <c r="AS24" s="78"/>
      <c r="AT24" s="78"/>
      <c r="AU24" s="78"/>
    </row>
    <row r="25" spans="1:47" ht="20.25" customHeight="1">
      <c r="A25" s="78"/>
      <c r="B25" s="78"/>
      <c r="C25" s="81"/>
      <c r="D25" s="78"/>
      <c r="E25" s="78"/>
      <c r="F25" s="78"/>
      <c r="G25" s="78"/>
      <c r="H25" s="78"/>
      <c r="I25" s="78"/>
      <c r="J25" s="78"/>
      <c r="K25" s="78"/>
      <c r="L25" s="78"/>
      <c r="M25" s="78"/>
      <c r="N25" s="78"/>
      <c r="O25" s="78"/>
      <c r="P25" s="78"/>
      <c r="Q25" s="103"/>
      <c r="R25" s="103"/>
      <c r="S25" s="103"/>
      <c r="T25" s="103"/>
      <c r="U25" s="103"/>
      <c r="V25" s="103"/>
      <c r="W25" s="78"/>
      <c r="X25" s="78"/>
      <c r="Y25" s="79"/>
      <c r="Z25" s="79"/>
      <c r="AA25" s="78"/>
      <c r="AB25" s="78"/>
      <c r="AC25" s="78"/>
      <c r="AD25" s="78"/>
      <c r="AE25" s="78"/>
      <c r="AF25" s="78"/>
      <c r="AG25" s="78"/>
      <c r="AH25" s="78"/>
      <c r="AI25" s="78"/>
      <c r="AJ25" s="614"/>
      <c r="AK25" s="78"/>
      <c r="AL25" s="78"/>
      <c r="AM25" s="81"/>
      <c r="AN25" s="78"/>
      <c r="AO25" s="78"/>
      <c r="AP25" s="78"/>
      <c r="AQ25" s="78"/>
      <c r="AR25" s="78"/>
      <c r="AS25" s="78"/>
      <c r="AT25" s="78"/>
      <c r="AU25" s="78"/>
    </row>
    <row r="26" spans="1:47" ht="20.25" customHeight="1">
      <c r="A26" s="78"/>
      <c r="B26" s="78"/>
      <c r="C26" s="81"/>
      <c r="D26" s="78"/>
      <c r="E26" s="78"/>
      <c r="F26" s="78"/>
      <c r="G26" s="78"/>
      <c r="H26" s="78"/>
      <c r="I26" s="78"/>
      <c r="J26" s="78"/>
      <c r="K26" s="78"/>
      <c r="L26" s="78"/>
      <c r="M26" s="78"/>
      <c r="N26" s="78"/>
      <c r="O26" s="78"/>
      <c r="P26" s="78"/>
      <c r="Q26" s="103"/>
      <c r="R26" s="103"/>
      <c r="S26" s="103"/>
      <c r="T26" s="103"/>
      <c r="U26" s="103"/>
      <c r="V26" s="103"/>
      <c r="W26" s="78"/>
      <c r="X26" s="78"/>
      <c r="Y26" s="79"/>
      <c r="Z26" s="79"/>
      <c r="AA26" s="78"/>
      <c r="AB26" s="78"/>
      <c r="AC26" s="78"/>
      <c r="AD26" s="78"/>
      <c r="AE26" s="78"/>
      <c r="AF26" s="78"/>
      <c r="AG26" s="78"/>
      <c r="AH26" s="78"/>
      <c r="AI26" s="78"/>
      <c r="AJ26" s="614"/>
      <c r="AK26" s="78"/>
      <c r="AL26" s="78"/>
      <c r="AM26" s="81"/>
      <c r="AN26" s="78"/>
      <c r="AO26" s="78"/>
      <c r="AP26" s="78"/>
      <c r="AQ26" s="78"/>
      <c r="AR26" s="78"/>
      <c r="AS26" s="78"/>
      <c r="AT26" s="78"/>
      <c r="AU26" s="78"/>
    </row>
    <row r="27" spans="1:47" ht="20.25" customHeight="1">
      <c r="A27" s="78"/>
      <c r="B27" s="78"/>
      <c r="C27" s="81"/>
      <c r="D27" s="78"/>
      <c r="E27" s="78"/>
      <c r="F27" s="78"/>
      <c r="G27" s="78"/>
      <c r="H27" s="78"/>
      <c r="I27" s="78"/>
      <c r="J27" s="78"/>
      <c r="K27" s="78"/>
      <c r="L27" s="78"/>
      <c r="M27" s="78"/>
      <c r="N27" s="78"/>
      <c r="O27" s="78"/>
      <c r="P27" s="78"/>
      <c r="Q27" s="103"/>
      <c r="R27" s="103"/>
      <c r="S27" s="103"/>
      <c r="T27" s="103"/>
      <c r="U27" s="103"/>
      <c r="V27" s="103"/>
      <c r="W27" s="78"/>
      <c r="X27" s="78"/>
      <c r="Y27" s="79"/>
      <c r="Z27" s="79"/>
      <c r="AA27" s="78"/>
      <c r="AB27" s="78"/>
      <c r="AC27" s="78"/>
      <c r="AD27" s="78"/>
      <c r="AE27" s="78"/>
      <c r="AF27" s="78"/>
      <c r="AG27" s="78"/>
      <c r="AH27" s="78"/>
      <c r="AI27" s="78"/>
      <c r="AJ27" s="614"/>
      <c r="AK27" s="78"/>
      <c r="AL27" s="78"/>
      <c r="AM27" s="81"/>
      <c r="AN27" s="78"/>
      <c r="AO27" s="78"/>
      <c r="AP27" s="78"/>
      <c r="AQ27" s="78"/>
      <c r="AR27" s="78"/>
      <c r="AS27" s="78"/>
      <c r="AT27" s="78"/>
      <c r="AU27" s="78"/>
    </row>
    <row r="28" spans="1:47" ht="20.25" customHeight="1">
      <c r="A28" s="78"/>
      <c r="B28" s="78"/>
      <c r="C28" s="81"/>
      <c r="D28" s="78"/>
      <c r="E28" s="78"/>
      <c r="F28" s="78"/>
      <c r="G28" s="78"/>
      <c r="H28" s="78"/>
      <c r="I28" s="78"/>
      <c r="J28" s="78"/>
      <c r="K28" s="78"/>
      <c r="L28" s="78"/>
      <c r="M28" s="78"/>
      <c r="N28" s="78"/>
      <c r="O28" s="78"/>
      <c r="P28" s="78"/>
      <c r="Q28" s="103"/>
      <c r="R28" s="103"/>
      <c r="S28" s="103"/>
      <c r="T28" s="103"/>
      <c r="U28" s="103"/>
      <c r="V28" s="103"/>
      <c r="W28" s="78"/>
      <c r="X28" s="78"/>
      <c r="Y28" s="79"/>
      <c r="Z28" s="79"/>
      <c r="AA28" s="78"/>
      <c r="AB28" s="78"/>
      <c r="AC28" s="78"/>
      <c r="AD28" s="78"/>
      <c r="AE28" s="78"/>
      <c r="AF28" s="78"/>
      <c r="AG28" s="78"/>
      <c r="AH28" s="78"/>
      <c r="AI28" s="78"/>
      <c r="AJ28" s="614"/>
      <c r="AK28" s="78"/>
      <c r="AL28" s="78"/>
      <c r="AM28" s="81"/>
      <c r="AN28" s="78"/>
      <c r="AO28" s="78"/>
      <c r="AP28" s="78"/>
      <c r="AQ28" s="78"/>
      <c r="AR28" s="78"/>
      <c r="AS28" s="78"/>
      <c r="AT28" s="78"/>
      <c r="AU28" s="78"/>
    </row>
    <row r="29" spans="1:47" ht="20.25" customHeight="1">
      <c r="A29" s="78"/>
      <c r="B29" s="78"/>
      <c r="C29" s="81"/>
      <c r="D29" s="78"/>
      <c r="E29" s="78"/>
      <c r="F29" s="78"/>
      <c r="G29" s="78"/>
      <c r="H29" s="78"/>
      <c r="I29" s="78"/>
      <c r="J29" s="78"/>
      <c r="K29" s="78"/>
      <c r="L29" s="78"/>
      <c r="M29" s="78"/>
      <c r="N29" s="78"/>
      <c r="O29" s="78"/>
      <c r="P29" s="78"/>
      <c r="Q29" s="103"/>
      <c r="R29" s="103"/>
      <c r="S29" s="103"/>
      <c r="T29" s="103"/>
      <c r="U29" s="103"/>
      <c r="V29" s="103"/>
      <c r="W29" s="78"/>
      <c r="X29" s="78"/>
      <c r="Y29" s="79"/>
      <c r="Z29" s="79"/>
      <c r="AA29" s="78"/>
      <c r="AB29" s="78"/>
      <c r="AC29" s="78"/>
      <c r="AD29" s="78"/>
      <c r="AE29" s="78"/>
      <c r="AF29" s="78"/>
      <c r="AG29" s="78"/>
      <c r="AH29" s="78"/>
      <c r="AI29" s="78"/>
      <c r="AJ29" s="614"/>
      <c r="AK29" s="78"/>
      <c r="AL29" s="78"/>
      <c r="AM29" s="81"/>
      <c r="AN29" s="78"/>
      <c r="AO29" s="78"/>
      <c r="AP29" s="78"/>
      <c r="AQ29" s="78"/>
      <c r="AR29" s="78"/>
      <c r="AS29" s="78"/>
      <c r="AT29" s="78"/>
      <c r="AU29" s="78"/>
    </row>
    <row r="30" spans="1:47" ht="20.25" customHeight="1">
      <c r="A30" s="78"/>
      <c r="B30" s="78"/>
      <c r="C30" s="81"/>
      <c r="D30" s="78"/>
      <c r="E30" s="78"/>
      <c r="F30" s="78"/>
      <c r="G30" s="78"/>
      <c r="H30" s="78"/>
      <c r="I30" s="78"/>
      <c r="J30" s="78"/>
      <c r="K30" s="78"/>
      <c r="L30" s="78"/>
      <c r="M30" s="78"/>
      <c r="N30" s="78"/>
      <c r="O30" s="78"/>
      <c r="P30" s="78"/>
      <c r="Q30" s="103"/>
      <c r="R30" s="103"/>
      <c r="S30" s="103"/>
      <c r="T30" s="103"/>
      <c r="U30" s="103"/>
      <c r="V30" s="103"/>
      <c r="W30" s="78"/>
      <c r="X30" s="78"/>
      <c r="Y30" s="79"/>
      <c r="Z30" s="79"/>
      <c r="AA30" s="78"/>
      <c r="AB30" s="78"/>
      <c r="AC30" s="78"/>
      <c r="AD30" s="78"/>
      <c r="AE30" s="78"/>
      <c r="AF30" s="78"/>
      <c r="AG30" s="78"/>
      <c r="AH30" s="78"/>
      <c r="AI30" s="78"/>
      <c r="AJ30" s="614"/>
      <c r="AK30" s="78"/>
      <c r="AL30" s="78"/>
      <c r="AM30" s="81"/>
      <c r="AN30" s="78"/>
      <c r="AO30" s="78"/>
      <c r="AP30" s="78"/>
      <c r="AQ30" s="78"/>
      <c r="AR30" s="78"/>
      <c r="AS30" s="78"/>
      <c r="AT30" s="78"/>
      <c r="AU30" s="78"/>
    </row>
    <row r="31" spans="1:47" ht="20.25" customHeight="1">
      <c r="A31" s="78"/>
      <c r="B31" s="78"/>
      <c r="C31" s="81"/>
      <c r="D31" s="78"/>
      <c r="E31" s="78"/>
      <c r="F31" s="78"/>
      <c r="G31" s="78"/>
      <c r="H31" s="78"/>
      <c r="I31" s="78"/>
      <c r="J31" s="78"/>
      <c r="K31" s="78"/>
      <c r="L31" s="78"/>
      <c r="M31" s="78"/>
      <c r="N31" s="78"/>
      <c r="O31" s="78"/>
      <c r="P31" s="78"/>
      <c r="Q31" s="103"/>
      <c r="R31" s="103"/>
      <c r="S31" s="103"/>
      <c r="T31" s="103"/>
      <c r="U31" s="103"/>
      <c r="V31" s="103"/>
      <c r="W31" s="78"/>
      <c r="X31" s="78"/>
      <c r="Y31" s="79"/>
      <c r="Z31" s="79"/>
      <c r="AA31" s="78"/>
      <c r="AB31" s="78"/>
      <c r="AC31" s="78"/>
      <c r="AD31" s="78"/>
      <c r="AE31" s="78"/>
      <c r="AF31" s="78"/>
      <c r="AG31" s="78"/>
      <c r="AH31" s="78"/>
      <c r="AI31" s="78"/>
      <c r="AJ31" s="614"/>
      <c r="AK31" s="78"/>
      <c r="AL31" s="78"/>
      <c r="AM31" s="81"/>
      <c r="AN31" s="78"/>
      <c r="AO31" s="78"/>
      <c r="AP31" s="78"/>
      <c r="AQ31" s="78"/>
      <c r="AR31" s="78"/>
      <c r="AS31" s="78"/>
      <c r="AT31" s="78"/>
      <c r="AU31" s="78"/>
    </row>
    <row r="32" spans="1:47" ht="20.25" customHeight="1">
      <c r="A32" s="78"/>
      <c r="B32" s="78"/>
      <c r="C32" s="81"/>
      <c r="D32" s="78"/>
      <c r="E32" s="78"/>
      <c r="F32" s="78"/>
      <c r="G32" s="78"/>
      <c r="H32" s="78"/>
      <c r="I32" s="78"/>
      <c r="J32" s="78"/>
      <c r="K32" s="78"/>
      <c r="L32" s="78"/>
      <c r="M32" s="78"/>
      <c r="N32" s="78"/>
      <c r="O32" s="78"/>
      <c r="P32" s="78"/>
      <c r="Q32" s="103"/>
      <c r="R32" s="103"/>
      <c r="S32" s="103"/>
      <c r="T32" s="103"/>
      <c r="U32" s="103"/>
      <c r="V32" s="103"/>
      <c r="W32" s="78"/>
      <c r="X32" s="78"/>
      <c r="Y32" s="79"/>
      <c r="Z32" s="79"/>
      <c r="AA32" s="78"/>
      <c r="AB32" s="78"/>
      <c r="AC32" s="78"/>
      <c r="AD32" s="78"/>
      <c r="AE32" s="78"/>
      <c r="AF32" s="78"/>
      <c r="AG32" s="78"/>
      <c r="AH32" s="78"/>
      <c r="AI32" s="78"/>
      <c r="AJ32" s="614"/>
      <c r="AK32" s="78"/>
      <c r="AL32" s="78"/>
      <c r="AM32" s="81"/>
      <c r="AN32" s="78"/>
      <c r="AO32" s="78"/>
      <c r="AP32" s="78"/>
      <c r="AQ32" s="78"/>
      <c r="AR32" s="78"/>
      <c r="AS32" s="78"/>
      <c r="AT32" s="78"/>
      <c r="AU32" s="78"/>
    </row>
    <row r="33" spans="1:47" ht="20.25" customHeight="1">
      <c r="A33" s="78"/>
      <c r="B33" s="78"/>
      <c r="C33" s="81"/>
      <c r="D33" s="78"/>
      <c r="E33" s="78"/>
      <c r="F33" s="78"/>
      <c r="G33" s="78"/>
      <c r="H33" s="78"/>
      <c r="I33" s="78"/>
      <c r="J33" s="78"/>
      <c r="K33" s="78"/>
      <c r="L33" s="78"/>
      <c r="M33" s="78"/>
      <c r="N33" s="78"/>
      <c r="O33" s="78"/>
      <c r="P33" s="78"/>
      <c r="Q33" s="103"/>
      <c r="R33" s="103"/>
      <c r="S33" s="103"/>
      <c r="T33" s="103"/>
      <c r="U33" s="103"/>
      <c r="V33" s="103"/>
      <c r="W33" s="78"/>
      <c r="X33" s="78"/>
      <c r="Y33" s="79"/>
      <c r="Z33" s="79"/>
      <c r="AA33" s="78"/>
      <c r="AB33" s="78"/>
      <c r="AC33" s="78"/>
      <c r="AD33" s="78"/>
      <c r="AE33" s="78"/>
      <c r="AF33" s="78"/>
      <c r="AG33" s="78"/>
      <c r="AH33" s="78"/>
      <c r="AI33" s="78"/>
      <c r="AJ33" s="614"/>
      <c r="AK33" s="78"/>
      <c r="AL33" s="78"/>
      <c r="AM33" s="81"/>
      <c r="AN33" s="78"/>
      <c r="AO33" s="78"/>
      <c r="AP33" s="78"/>
      <c r="AQ33" s="78"/>
      <c r="AR33" s="78"/>
      <c r="AS33" s="78"/>
      <c r="AT33" s="78"/>
      <c r="AU33" s="78"/>
    </row>
    <row r="34" spans="1:47" ht="20.25" customHeight="1">
      <c r="A34" s="78"/>
      <c r="B34" s="78"/>
      <c r="C34" s="81"/>
      <c r="D34" s="78"/>
      <c r="E34" s="78"/>
      <c r="F34" s="78"/>
      <c r="G34" s="78"/>
      <c r="H34" s="78"/>
      <c r="I34" s="78"/>
      <c r="J34" s="78"/>
      <c r="K34" s="78"/>
      <c r="L34" s="78"/>
      <c r="M34" s="78"/>
      <c r="N34" s="78"/>
      <c r="O34" s="78"/>
      <c r="P34" s="78"/>
      <c r="Q34" s="103"/>
      <c r="R34" s="103"/>
      <c r="S34" s="103"/>
      <c r="T34" s="103"/>
      <c r="U34" s="103"/>
      <c r="V34" s="103"/>
      <c r="W34" s="78"/>
      <c r="X34" s="78"/>
      <c r="Y34" s="79"/>
      <c r="Z34" s="79"/>
      <c r="AA34" s="78"/>
      <c r="AB34" s="78"/>
      <c r="AC34" s="78"/>
      <c r="AD34" s="78"/>
      <c r="AE34" s="78"/>
      <c r="AF34" s="78"/>
      <c r="AG34" s="78"/>
      <c r="AH34" s="78"/>
      <c r="AI34" s="78"/>
      <c r="AJ34" s="614"/>
      <c r="AK34" s="78"/>
      <c r="AL34" s="78"/>
      <c r="AM34" s="81"/>
      <c r="AN34" s="78"/>
      <c r="AO34" s="78"/>
      <c r="AP34" s="78"/>
      <c r="AQ34" s="78"/>
      <c r="AR34" s="78"/>
      <c r="AS34" s="78"/>
      <c r="AT34" s="78"/>
      <c r="AU34" s="78"/>
    </row>
    <row r="35" spans="1:47" ht="20.25" customHeight="1">
      <c r="A35" s="78"/>
      <c r="B35" s="78"/>
      <c r="C35" s="81"/>
      <c r="D35" s="78"/>
      <c r="E35" s="78"/>
      <c r="F35" s="78"/>
      <c r="G35" s="78"/>
      <c r="H35" s="78"/>
      <c r="I35" s="78"/>
      <c r="J35" s="78"/>
      <c r="K35" s="78"/>
      <c r="L35" s="78"/>
      <c r="M35" s="78"/>
      <c r="N35" s="78"/>
      <c r="O35" s="78"/>
      <c r="P35" s="78"/>
      <c r="Q35" s="103"/>
      <c r="R35" s="103"/>
      <c r="S35" s="103"/>
      <c r="T35" s="103"/>
      <c r="U35" s="103"/>
      <c r="V35" s="103"/>
      <c r="W35" s="78"/>
      <c r="X35" s="78"/>
      <c r="Y35" s="79"/>
      <c r="Z35" s="79"/>
      <c r="AA35" s="78"/>
      <c r="AB35" s="78"/>
      <c r="AC35" s="78"/>
      <c r="AD35" s="78"/>
      <c r="AE35" s="78"/>
      <c r="AF35" s="78"/>
      <c r="AG35" s="78"/>
      <c r="AH35" s="78"/>
      <c r="AI35" s="78"/>
      <c r="AJ35" s="614"/>
      <c r="AK35" s="78"/>
      <c r="AL35" s="78"/>
      <c r="AM35" s="81"/>
      <c r="AN35" s="78"/>
      <c r="AO35" s="78"/>
      <c r="AP35" s="78"/>
      <c r="AQ35" s="78"/>
      <c r="AR35" s="78"/>
      <c r="AS35" s="78"/>
      <c r="AT35" s="78"/>
      <c r="AU35" s="78"/>
    </row>
    <row r="36" spans="1:47" ht="20.25" customHeight="1">
      <c r="A36" s="78"/>
      <c r="B36" s="78"/>
      <c r="C36" s="81"/>
      <c r="D36" s="78"/>
      <c r="E36" s="78"/>
      <c r="F36" s="78"/>
      <c r="G36" s="78"/>
      <c r="H36" s="78"/>
      <c r="I36" s="78"/>
      <c r="J36" s="78"/>
      <c r="K36" s="78"/>
      <c r="L36" s="78"/>
      <c r="M36" s="78"/>
      <c r="N36" s="78"/>
      <c r="O36" s="78"/>
      <c r="P36" s="78"/>
      <c r="Q36" s="103"/>
      <c r="R36" s="103"/>
      <c r="S36" s="103"/>
      <c r="T36" s="103"/>
      <c r="U36" s="103"/>
      <c r="V36" s="103"/>
      <c r="W36" s="78"/>
      <c r="X36" s="78"/>
      <c r="Y36" s="79"/>
      <c r="Z36" s="79"/>
      <c r="AA36" s="78"/>
      <c r="AB36" s="78"/>
      <c r="AC36" s="78"/>
      <c r="AD36" s="78"/>
      <c r="AE36" s="78"/>
      <c r="AF36" s="78"/>
      <c r="AG36" s="78"/>
      <c r="AH36" s="78"/>
      <c r="AI36" s="78"/>
      <c r="AJ36" s="614"/>
      <c r="AK36" s="78"/>
      <c r="AL36" s="78"/>
      <c r="AM36" s="81"/>
      <c r="AN36" s="78"/>
      <c r="AO36" s="78"/>
      <c r="AP36" s="78"/>
      <c r="AQ36" s="78"/>
      <c r="AR36" s="78"/>
      <c r="AS36" s="78"/>
      <c r="AT36" s="78"/>
      <c r="AU36" s="78"/>
    </row>
    <row r="37" spans="1:47" ht="20.25" customHeight="1">
      <c r="A37" s="78"/>
      <c r="B37" s="78"/>
      <c r="C37" s="81"/>
      <c r="D37" s="78"/>
      <c r="E37" s="78"/>
      <c r="F37" s="78"/>
      <c r="G37" s="78"/>
      <c r="H37" s="78"/>
      <c r="I37" s="78"/>
      <c r="J37" s="78"/>
      <c r="K37" s="78"/>
      <c r="L37" s="78"/>
      <c r="M37" s="78"/>
      <c r="N37" s="78"/>
      <c r="O37" s="78"/>
      <c r="P37" s="78"/>
      <c r="Q37" s="103"/>
      <c r="R37" s="103"/>
      <c r="S37" s="103"/>
      <c r="T37" s="103"/>
      <c r="U37" s="103"/>
      <c r="V37" s="103"/>
      <c r="W37" s="78"/>
      <c r="X37" s="78"/>
      <c r="Y37" s="79"/>
      <c r="Z37" s="79"/>
      <c r="AA37" s="78"/>
      <c r="AB37" s="78"/>
      <c r="AC37" s="78"/>
      <c r="AD37" s="78"/>
      <c r="AE37" s="78"/>
      <c r="AF37" s="78"/>
      <c r="AG37" s="78"/>
      <c r="AH37" s="78"/>
      <c r="AI37" s="78"/>
      <c r="AJ37" s="614"/>
      <c r="AK37" s="78"/>
      <c r="AL37" s="78"/>
      <c r="AM37" s="81"/>
      <c r="AN37" s="78"/>
      <c r="AO37" s="78"/>
      <c r="AP37" s="78"/>
      <c r="AQ37" s="78"/>
      <c r="AR37" s="78"/>
      <c r="AS37" s="78"/>
      <c r="AT37" s="78"/>
      <c r="AU37" s="78"/>
    </row>
    <row r="38" spans="1:47" ht="20.25" customHeight="1">
      <c r="A38" s="78"/>
      <c r="B38" s="78"/>
      <c r="C38" s="81"/>
      <c r="D38" s="78"/>
      <c r="E38" s="78"/>
      <c r="F38" s="78"/>
      <c r="G38" s="78"/>
      <c r="H38" s="78"/>
      <c r="I38" s="78"/>
      <c r="J38" s="78"/>
      <c r="K38" s="78"/>
      <c r="L38" s="78"/>
      <c r="M38" s="78"/>
      <c r="N38" s="78"/>
      <c r="O38" s="78"/>
      <c r="P38" s="78"/>
      <c r="Q38" s="103"/>
      <c r="R38" s="103"/>
      <c r="S38" s="103"/>
      <c r="T38" s="103"/>
      <c r="U38" s="103"/>
      <c r="V38" s="103"/>
      <c r="W38" s="78"/>
      <c r="X38" s="78"/>
      <c r="Y38" s="79"/>
      <c r="Z38" s="79"/>
      <c r="AA38" s="78"/>
      <c r="AB38" s="78"/>
      <c r="AC38" s="78"/>
      <c r="AD38" s="78"/>
      <c r="AE38" s="78"/>
      <c r="AF38" s="78"/>
      <c r="AG38" s="78"/>
      <c r="AH38" s="78"/>
      <c r="AI38" s="78"/>
      <c r="AJ38" s="614"/>
      <c r="AK38" s="78"/>
      <c r="AL38" s="78"/>
      <c r="AM38" s="81"/>
      <c r="AN38" s="78"/>
      <c r="AO38" s="78"/>
      <c r="AP38" s="78"/>
      <c r="AQ38" s="78"/>
      <c r="AR38" s="78"/>
      <c r="AS38" s="78"/>
      <c r="AT38" s="78"/>
      <c r="AU38" s="78"/>
    </row>
    <row r="39" spans="1:47" ht="20.25" customHeight="1">
      <c r="A39" s="78"/>
      <c r="B39" s="78"/>
      <c r="C39" s="81"/>
      <c r="D39" s="78"/>
      <c r="E39" s="78"/>
      <c r="F39" s="78"/>
      <c r="G39" s="78"/>
      <c r="H39" s="78"/>
      <c r="I39" s="78"/>
      <c r="J39" s="78"/>
      <c r="K39" s="78"/>
      <c r="L39" s="78"/>
      <c r="M39" s="78"/>
      <c r="N39" s="78"/>
      <c r="O39" s="78"/>
      <c r="P39" s="78"/>
      <c r="Q39" s="103"/>
      <c r="R39" s="103"/>
      <c r="S39" s="103"/>
      <c r="T39" s="103"/>
      <c r="U39" s="103"/>
      <c r="V39" s="103"/>
      <c r="W39" s="78"/>
      <c r="X39" s="78"/>
      <c r="Y39" s="79"/>
      <c r="Z39" s="79"/>
      <c r="AA39" s="78"/>
      <c r="AB39" s="78"/>
      <c r="AC39" s="78"/>
      <c r="AD39" s="78"/>
      <c r="AE39" s="78"/>
      <c r="AF39" s="78"/>
      <c r="AG39" s="78"/>
      <c r="AH39" s="78"/>
      <c r="AI39" s="78"/>
      <c r="AJ39" s="614"/>
      <c r="AK39" s="78"/>
      <c r="AL39" s="78"/>
      <c r="AM39" s="81"/>
      <c r="AN39" s="78"/>
      <c r="AO39" s="78"/>
      <c r="AP39" s="78"/>
      <c r="AQ39" s="78"/>
      <c r="AR39" s="78"/>
      <c r="AS39" s="78"/>
      <c r="AT39" s="78"/>
      <c r="AU39" s="78"/>
    </row>
    <row r="40" spans="1:47" ht="20.25" customHeight="1">
      <c r="A40" s="78"/>
      <c r="B40" s="78"/>
      <c r="C40" s="81"/>
      <c r="D40" s="78"/>
      <c r="E40" s="78"/>
      <c r="F40" s="78"/>
      <c r="G40" s="78"/>
      <c r="H40" s="78"/>
      <c r="I40" s="78"/>
      <c r="J40" s="78"/>
      <c r="K40" s="78"/>
      <c r="L40" s="78"/>
      <c r="M40" s="78"/>
      <c r="N40" s="78"/>
      <c r="O40" s="78"/>
      <c r="P40" s="78"/>
      <c r="Q40" s="103"/>
      <c r="R40" s="103"/>
      <c r="S40" s="103"/>
      <c r="T40" s="103"/>
      <c r="U40" s="103"/>
      <c r="V40" s="103"/>
      <c r="W40" s="78"/>
      <c r="X40" s="78"/>
      <c r="Y40" s="79"/>
      <c r="Z40" s="79"/>
      <c r="AA40" s="78"/>
      <c r="AB40" s="78"/>
      <c r="AC40" s="78"/>
      <c r="AD40" s="78"/>
      <c r="AE40" s="78"/>
      <c r="AF40" s="78"/>
      <c r="AG40" s="78"/>
      <c r="AH40" s="78"/>
      <c r="AI40" s="78"/>
      <c r="AJ40" s="614"/>
      <c r="AK40" s="78"/>
      <c r="AL40" s="78"/>
      <c r="AM40" s="81"/>
      <c r="AN40" s="78"/>
      <c r="AO40" s="78"/>
      <c r="AP40" s="78"/>
      <c r="AQ40" s="78"/>
      <c r="AR40" s="78"/>
      <c r="AS40" s="78"/>
      <c r="AT40" s="78"/>
      <c r="AU40" s="78"/>
    </row>
    <row r="41" spans="1:47" ht="20.25" customHeight="1">
      <c r="A41" s="78"/>
      <c r="B41" s="78"/>
      <c r="C41" s="81"/>
      <c r="D41" s="78"/>
      <c r="E41" s="78"/>
      <c r="F41" s="78"/>
      <c r="G41" s="78"/>
      <c r="H41" s="78"/>
      <c r="I41" s="78"/>
      <c r="J41" s="78"/>
      <c r="K41" s="78"/>
      <c r="L41" s="78"/>
      <c r="M41" s="78"/>
      <c r="N41" s="78"/>
      <c r="O41" s="78"/>
      <c r="P41" s="78"/>
      <c r="Q41" s="103"/>
      <c r="R41" s="103"/>
      <c r="S41" s="103"/>
      <c r="T41" s="103"/>
      <c r="U41" s="103"/>
      <c r="V41" s="103"/>
      <c r="W41" s="78"/>
      <c r="X41" s="78"/>
      <c r="Y41" s="79"/>
      <c r="Z41" s="79"/>
      <c r="AA41" s="78"/>
      <c r="AB41" s="78"/>
      <c r="AC41" s="78"/>
      <c r="AD41" s="78"/>
      <c r="AE41" s="78"/>
      <c r="AF41" s="78"/>
      <c r="AG41" s="78"/>
      <c r="AH41" s="78"/>
      <c r="AI41" s="78"/>
      <c r="AJ41" s="614"/>
      <c r="AK41" s="78"/>
      <c r="AL41" s="78"/>
      <c r="AM41" s="81"/>
      <c r="AN41" s="78"/>
      <c r="AO41" s="78"/>
      <c r="AP41" s="78"/>
      <c r="AQ41" s="78"/>
      <c r="AR41" s="78"/>
      <c r="AS41" s="78"/>
      <c r="AT41" s="78"/>
      <c r="AU41" s="78"/>
    </row>
    <row r="42" spans="1:47" ht="20.25" customHeight="1">
      <c r="A42" s="78"/>
      <c r="B42" s="78"/>
      <c r="C42" s="81"/>
      <c r="D42" s="78"/>
      <c r="E42" s="78"/>
      <c r="F42" s="78"/>
      <c r="G42" s="78"/>
      <c r="H42" s="78"/>
      <c r="I42" s="78"/>
      <c r="J42" s="78"/>
      <c r="K42" s="78"/>
      <c r="L42" s="78"/>
      <c r="M42" s="78"/>
      <c r="N42" s="78"/>
      <c r="O42" s="78"/>
      <c r="P42" s="78"/>
      <c r="Q42" s="103"/>
      <c r="R42" s="103"/>
      <c r="S42" s="103"/>
      <c r="T42" s="103"/>
      <c r="U42" s="103"/>
      <c r="V42" s="103"/>
      <c r="W42" s="78"/>
      <c r="X42" s="78"/>
      <c r="Y42" s="79"/>
      <c r="Z42" s="79"/>
      <c r="AA42" s="78"/>
      <c r="AB42" s="78"/>
      <c r="AC42" s="78"/>
      <c r="AD42" s="78"/>
      <c r="AE42" s="78"/>
      <c r="AF42" s="78"/>
      <c r="AG42" s="78"/>
      <c r="AH42" s="78"/>
      <c r="AI42" s="78"/>
      <c r="AJ42" s="614"/>
      <c r="AK42" s="78"/>
      <c r="AL42" s="78"/>
      <c r="AM42" s="81"/>
      <c r="AN42" s="78"/>
      <c r="AO42" s="78"/>
      <c r="AP42" s="78"/>
      <c r="AQ42" s="78"/>
      <c r="AR42" s="78"/>
      <c r="AS42" s="78"/>
      <c r="AT42" s="78"/>
      <c r="AU42" s="78"/>
    </row>
    <row r="43" spans="1:47" ht="20.25" customHeight="1">
      <c r="A43" s="78"/>
      <c r="B43" s="78"/>
      <c r="C43" s="81"/>
      <c r="D43" s="78"/>
      <c r="E43" s="78"/>
      <c r="F43" s="78"/>
      <c r="G43" s="78"/>
      <c r="H43" s="78"/>
      <c r="I43" s="78"/>
      <c r="J43" s="78"/>
      <c r="K43" s="78"/>
      <c r="L43" s="78"/>
      <c r="M43" s="78"/>
      <c r="N43" s="78"/>
      <c r="O43" s="78"/>
      <c r="P43" s="78"/>
      <c r="Q43" s="103"/>
      <c r="R43" s="103"/>
      <c r="S43" s="103"/>
      <c r="T43" s="103"/>
      <c r="U43" s="103"/>
      <c r="V43" s="103"/>
      <c r="W43" s="78"/>
      <c r="X43" s="78"/>
      <c r="Y43" s="79"/>
      <c r="Z43" s="79"/>
      <c r="AA43" s="78"/>
      <c r="AB43" s="78"/>
      <c r="AC43" s="78"/>
      <c r="AD43" s="78"/>
      <c r="AE43" s="78"/>
      <c r="AF43" s="78"/>
      <c r="AG43" s="78"/>
      <c r="AH43" s="78"/>
      <c r="AI43" s="78"/>
      <c r="AJ43" s="614"/>
      <c r="AK43" s="78"/>
      <c r="AL43" s="78"/>
      <c r="AM43" s="81"/>
      <c r="AN43" s="78"/>
      <c r="AO43" s="78"/>
      <c r="AP43" s="78"/>
      <c r="AQ43" s="78"/>
      <c r="AR43" s="78"/>
      <c r="AS43" s="78"/>
      <c r="AT43" s="78"/>
      <c r="AU43" s="78"/>
    </row>
    <row r="44" spans="1:47" ht="20.25" customHeight="1">
      <c r="A44" s="78"/>
      <c r="B44" s="78"/>
      <c r="C44" s="81"/>
      <c r="D44" s="78"/>
      <c r="E44" s="78"/>
      <c r="F44" s="78"/>
      <c r="G44" s="78"/>
      <c r="H44" s="78"/>
      <c r="I44" s="78"/>
      <c r="J44" s="78"/>
      <c r="K44" s="78"/>
      <c r="L44" s="78"/>
      <c r="M44" s="78"/>
      <c r="N44" s="78"/>
      <c r="O44" s="78"/>
      <c r="P44" s="78"/>
      <c r="Q44" s="103"/>
      <c r="R44" s="103"/>
      <c r="S44" s="103"/>
      <c r="T44" s="103"/>
      <c r="U44" s="103"/>
      <c r="V44" s="103"/>
      <c r="W44" s="78"/>
      <c r="X44" s="78"/>
      <c r="Y44" s="79"/>
      <c r="Z44" s="79"/>
      <c r="AA44" s="78"/>
      <c r="AB44" s="78"/>
      <c r="AC44" s="78"/>
      <c r="AD44" s="78"/>
      <c r="AE44" s="78"/>
      <c r="AF44" s="78"/>
      <c r="AG44" s="78"/>
      <c r="AH44" s="78"/>
      <c r="AI44" s="78"/>
      <c r="AJ44" s="614"/>
      <c r="AK44" s="78"/>
      <c r="AL44" s="78"/>
      <c r="AM44" s="81"/>
      <c r="AN44" s="78"/>
      <c r="AO44" s="78"/>
      <c r="AP44" s="78"/>
      <c r="AQ44" s="78"/>
      <c r="AR44" s="78"/>
      <c r="AS44" s="78"/>
      <c r="AT44" s="78"/>
      <c r="AU44" s="78"/>
    </row>
    <row r="45" spans="1:47" ht="20.25" customHeight="1">
      <c r="A45" s="78"/>
      <c r="B45" s="78"/>
      <c r="C45" s="81"/>
      <c r="D45" s="78"/>
      <c r="E45" s="78"/>
      <c r="F45" s="78"/>
      <c r="G45" s="78"/>
      <c r="H45" s="78"/>
      <c r="I45" s="78"/>
      <c r="J45" s="78"/>
      <c r="K45" s="78"/>
      <c r="L45" s="78"/>
      <c r="M45" s="78"/>
      <c r="N45" s="78"/>
      <c r="O45" s="78"/>
      <c r="P45" s="78"/>
      <c r="Q45" s="103"/>
      <c r="R45" s="103"/>
      <c r="S45" s="103"/>
      <c r="T45" s="103"/>
      <c r="U45" s="103"/>
      <c r="V45" s="103"/>
      <c r="W45" s="78"/>
      <c r="X45" s="78"/>
      <c r="Y45" s="79"/>
      <c r="Z45" s="79"/>
      <c r="AA45" s="78"/>
      <c r="AB45" s="78"/>
      <c r="AC45" s="78"/>
      <c r="AD45" s="78"/>
      <c r="AE45" s="78"/>
      <c r="AF45" s="78"/>
      <c r="AG45" s="78"/>
      <c r="AH45" s="78"/>
      <c r="AI45" s="78"/>
      <c r="AJ45" s="614"/>
      <c r="AK45" s="78"/>
      <c r="AL45" s="78"/>
      <c r="AM45" s="81"/>
      <c r="AN45" s="78"/>
      <c r="AO45" s="78"/>
      <c r="AP45" s="78"/>
      <c r="AQ45" s="78"/>
      <c r="AR45" s="78"/>
      <c r="AS45" s="78"/>
      <c r="AT45" s="78"/>
      <c r="AU45" s="78"/>
    </row>
    <row r="46" spans="1:47" ht="20.25" customHeight="1">
      <c r="A46" s="78"/>
      <c r="B46" s="78"/>
      <c r="C46" s="81"/>
      <c r="D46" s="78"/>
      <c r="E46" s="78"/>
      <c r="F46" s="78"/>
      <c r="G46" s="78"/>
      <c r="H46" s="78"/>
      <c r="I46" s="78"/>
      <c r="J46" s="78"/>
      <c r="K46" s="78"/>
      <c r="L46" s="78"/>
      <c r="M46" s="78"/>
      <c r="N46" s="78"/>
      <c r="O46" s="78"/>
      <c r="P46" s="78"/>
      <c r="Q46" s="103"/>
      <c r="R46" s="103"/>
      <c r="S46" s="103"/>
      <c r="T46" s="103"/>
      <c r="U46" s="103"/>
      <c r="V46" s="103"/>
      <c r="W46" s="78"/>
      <c r="X46" s="78"/>
      <c r="Y46" s="79"/>
      <c r="Z46" s="79"/>
      <c r="AA46" s="78"/>
      <c r="AB46" s="78"/>
      <c r="AC46" s="78"/>
      <c r="AD46" s="78"/>
      <c r="AE46" s="78"/>
      <c r="AF46" s="78"/>
      <c r="AG46" s="78"/>
      <c r="AH46" s="78"/>
      <c r="AI46" s="78"/>
      <c r="AJ46" s="614"/>
      <c r="AK46" s="78"/>
      <c r="AL46" s="78"/>
      <c r="AM46" s="81"/>
      <c r="AN46" s="78"/>
      <c r="AO46" s="78"/>
      <c r="AP46" s="78"/>
      <c r="AQ46" s="78"/>
      <c r="AR46" s="78"/>
      <c r="AS46" s="78"/>
      <c r="AT46" s="78"/>
      <c r="AU46" s="78"/>
    </row>
    <row r="47" spans="1:47" ht="20.25" customHeight="1">
      <c r="A47" s="78"/>
      <c r="B47" s="78"/>
      <c r="C47" s="81"/>
      <c r="D47" s="78"/>
      <c r="E47" s="78"/>
      <c r="F47" s="78"/>
      <c r="G47" s="78"/>
      <c r="H47" s="78"/>
      <c r="I47" s="78"/>
      <c r="J47" s="78"/>
      <c r="K47" s="78"/>
      <c r="L47" s="78"/>
      <c r="M47" s="78"/>
      <c r="N47" s="78"/>
      <c r="O47" s="78"/>
      <c r="P47" s="78"/>
      <c r="Q47" s="103"/>
      <c r="R47" s="103"/>
      <c r="S47" s="103"/>
      <c r="T47" s="103"/>
      <c r="U47" s="103"/>
      <c r="V47" s="103"/>
      <c r="W47" s="78"/>
      <c r="X47" s="78"/>
      <c r="Y47" s="79"/>
      <c r="Z47" s="79"/>
      <c r="AA47" s="78"/>
      <c r="AB47" s="78"/>
      <c r="AC47" s="78"/>
      <c r="AD47" s="78"/>
      <c r="AE47" s="78"/>
      <c r="AF47" s="78"/>
      <c r="AG47" s="78"/>
      <c r="AH47" s="78"/>
      <c r="AI47" s="78"/>
      <c r="AJ47" s="614"/>
      <c r="AK47" s="78"/>
      <c r="AL47" s="78"/>
      <c r="AM47" s="81"/>
      <c r="AN47" s="78"/>
      <c r="AO47" s="78"/>
      <c r="AP47" s="78"/>
      <c r="AQ47" s="78"/>
      <c r="AR47" s="78"/>
      <c r="AS47" s="78"/>
      <c r="AT47" s="78"/>
      <c r="AU47" s="78"/>
    </row>
    <row r="48" spans="1:47" ht="20.25" customHeight="1">
      <c r="A48" s="78"/>
      <c r="B48" s="78"/>
      <c r="C48" s="81"/>
      <c r="D48" s="78"/>
      <c r="E48" s="78"/>
      <c r="F48" s="78"/>
      <c r="G48" s="78"/>
      <c r="H48" s="78"/>
      <c r="I48" s="78"/>
      <c r="J48" s="78"/>
      <c r="K48" s="78"/>
      <c r="L48" s="78"/>
      <c r="M48" s="78"/>
      <c r="N48" s="78"/>
      <c r="O48" s="78"/>
      <c r="P48" s="78"/>
      <c r="Q48" s="103"/>
      <c r="R48" s="103"/>
      <c r="S48" s="103"/>
      <c r="T48" s="103"/>
      <c r="U48" s="103"/>
      <c r="V48" s="103"/>
      <c r="W48" s="78"/>
      <c r="X48" s="78"/>
      <c r="Y48" s="79"/>
      <c r="Z48" s="79"/>
      <c r="AA48" s="78"/>
      <c r="AB48" s="78"/>
      <c r="AC48" s="78"/>
      <c r="AD48" s="78"/>
      <c r="AE48" s="78"/>
      <c r="AF48" s="78"/>
      <c r="AG48" s="78"/>
      <c r="AH48" s="78"/>
      <c r="AI48" s="78"/>
      <c r="AJ48" s="614"/>
      <c r="AK48" s="78"/>
      <c r="AL48" s="78"/>
      <c r="AM48" s="81"/>
      <c r="AN48" s="78"/>
      <c r="AO48" s="78"/>
      <c r="AP48" s="78"/>
      <c r="AQ48" s="78"/>
      <c r="AR48" s="78"/>
      <c r="AS48" s="78"/>
      <c r="AT48" s="78"/>
      <c r="AU48" s="78"/>
    </row>
    <row r="49" spans="1:47" ht="20.25" customHeight="1">
      <c r="A49" s="78"/>
      <c r="B49" s="78"/>
      <c r="C49" s="81"/>
      <c r="D49" s="78"/>
      <c r="E49" s="78"/>
      <c r="F49" s="78"/>
      <c r="G49" s="78"/>
      <c r="H49" s="78"/>
      <c r="I49" s="78"/>
      <c r="J49" s="78"/>
      <c r="K49" s="78"/>
      <c r="L49" s="78"/>
      <c r="M49" s="78"/>
      <c r="N49" s="78"/>
      <c r="O49" s="78"/>
      <c r="P49" s="78"/>
      <c r="Q49" s="103"/>
      <c r="R49" s="103"/>
      <c r="S49" s="103"/>
      <c r="T49" s="103"/>
      <c r="U49" s="103"/>
      <c r="V49" s="103"/>
      <c r="W49" s="78"/>
      <c r="X49" s="78"/>
      <c r="Y49" s="79"/>
      <c r="Z49" s="79"/>
      <c r="AA49" s="78"/>
      <c r="AB49" s="78"/>
      <c r="AC49" s="78"/>
      <c r="AD49" s="78"/>
      <c r="AE49" s="78"/>
      <c r="AF49" s="78"/>
      <c r="AG49" s="78"/>
      <c r="AH49" s="78"/>
      <c r="AI49" s="78"/>
      <c r="AJ49" s="614"/>
      <c r="AK49" s="78"/>
      <c r="AL49" s="78"/>
      <c r="AM49" s="81"/>
      <c r="AN49" s="78"/>
      <c r="AO49" s="78"/>
      <c r="AP49" s="78"/>
      <c r="AQ49" s="78"/>
      <c r="AR49" s="78"/>
      <c r="AS49" s="78"/>
      <c r="AT49" s="78"/>
      <c r="AU49" s="78"/>
    </row>
    <row r="50" spans="1:47" ht="20.25" customHeight="1">
      <c r="A50" s="78"/>
      <c r="B50" s="78"/>
      <c r="C50" s="81"/>
      <c r="D50" s="78"/>
      <c r="E50" s="78"/>
      <c r="F50" s="78"/>
      <c r="G50" s="78"/>
      <c r="H50" s="78"/>
      <c r="I50" s="78"/>
      <c r="J50" s="78"/>
      <c r="K50" s="78"/>
      <c r="L50" s="78"/>
      <c r="M50" s="78"/>
      <c r="N50" s="78"/>
      <c r="O50" s="78"/>
      <c r="P50" s="78"/>
      <c r="Q50" s="103"/>
      <c r="R50" s="103"/>
      <c r="S50" s="103"/>
      <c r="T50" s="103"/>
      <c r="U50" s="103"/>
      <c r="V50" s="103"/>
      <c r="W50" s="78"/>
      <c r="X50" s="78"/>
      <c r="Y50" s="79"/>
      <c r="Z50" s="79"/>
      <c r="AA50" s="78"/>
      <c r="AB50" s="78"/>
      <c r="AC50" s="78"/>
      <c r="AD50" s="78"/>
      <c r="AE50" s="78"/>
      <c r="AF50" s="78"/>
      <c r="AG50" s="78"/>
      <c r="AH50" s="78"/>
      <c r="AI50" s="78"/>
      <c r="AJ50" s="614"/>
      <c r="AK50" s="78"/>
      <c r="AL50" s="78"/>
      <c r="AM50" s="81"/>
      <c r="AN50" s="78"/>
      <c r="AO50" s="78"/>
      <c r="AP50" s="78"/>
      <c r="AQ50" s="78"/>
      <c r="AR50" s="78"/>
      <c r="AS50" s="78"/>
      <c r="AT50" s="78"/>
      <c r="AU50" s="78"/>
    </row>
    <row r="51" spans="1:47" ht="20.25" customHeight="1">
      <c r="A51" s="78"/>
      <c r="B51" s="78"/>
      <c r="C51" s="81"/>
      <c r="D51" s="78"/>
      <c r="E51" s="78"/>
      <c r="F51" s="78"/>
      <c r="G51" s="78"/>
      <c r="H51" s="78"/>
      <c r="I51" s="78"/>
      <c r="J51" s="78"/>
      <c r="K51" s="78"/>
      <c r="L51" s="78"/>
      <c r="M51" s="78"/>
      <c r="N51" s="78"/>
      <c r="O51" s="78"/>
      <c r="P51" s="78"/>
      <c r="Q51" s="103"/>
      <c r="R51" s="103"/>
      <c r="S51" s="103"/>
      <c r="T51" s="103"/>
      <c r="U51" s="103"/>
      <c r="V51" s="103"/>
      <c r="W51" s="78"/>
      <c r="X51" s="78"/>
      <c r="Y51" s="79"/>
      <c r="Z51" s="79"/>
      <c r="AA51" s="78"/>
      <c r="AB51" s="78"/>
      <c r="AC51" s="78"/>
      <c r="AD51" s="78"/>
      <c r="AE51" s="78"/>
      <c r="AF51" s="78"/>
      <c r="AG51" s="78"/>
      <c r="AH51" s="78"/>
      <c r="AI51" s="78"/>
      <c r="AJ51" s="614"/>
      <c r="AK51" s="78"/>
      <c r="AL51" s="78"/>
      <c r="AM51" s="81"/>
      <c r="AN51" s="78"/>
      <c r="AO51" s="78"/>
      <c r="AP51" s="78"/>
      <c r="AQ51" s="78"/>
      <c r="AR51" s="78"/>
      <c r="AS51" s="78"/>
      <c r="AT51" s="78"/>
      <c r="AU51" s="78"/>
    </row>
    <row r="52" spans="1:47" ht="20.25" customHeight="1">
      <c r="A52" s="78"/>
      <c r="B52" s="78"/>
      <c r="C52" s="81"/>
      <c r="D52" s="78"/>
      <c r="E52" s="78"/>
      <c r="F52" s="78"/>
      <c r="G52" s="78"/>
      <c r="H52" s="78"/>
      <c r="I52" s="78"/>
      <c r="J52" s="78"/>
      <c r="K52" s="78"/>
      <c r="L52" s="78"/>
      <c r="M52" s="78"/>
      <c r="N52" s="78"/>
      <c r="O52" s="78"/>
      <c r="P52" s="78"/>
      <c r="Q52" s="103"/>
      <c r="R52" s="103"/>
      <c r="S52" s="103"/>
      <c r="T52" s="103"/>
      <c r="U52" s="103"/>
      <c r="V52" s="103"/>
      <c r="W52" s="78"/>
      <c r="X52" s="78"/>
      <c r="Y52" s="79"/>
      <c r="Z52" s="79"/>
      <c r="AA52" s="78"/>
      <c r="AB52" s="78"/>
      <c r="AC52" s="78"/>
      <c r="AD52" s="78"/>
      <c r="AE52" s="78"/>
      <c r="AF52" s="78"/>
      <c r="AG52" s="78"/>
      <c r="AH52" s="78"/>
      <c r="AI52" s="78"/>
      <c r="AJ52" s="614"/>
      <c r="AK52" s="78"/>
      <c r="AL52" s="78"/>
      <c r="AM52" s="81"/>
      <c r="AN52" s="78"/>
      <c r="AO52" s="78"/>
      <c r="AP52" s="78"/>
      <c r="AQ52" s="78"/>
      <c r="AR52" s="78"/>
      <c r="AS52" s="78"/>
      <c r="AT52" s="78"/>
      <c r="AU52" s="78"/>
    </row>
    <row r="53" spans="1:47" ht="20.25" customHeight="1">
      <c r="A53" s="78"/>
      <c r="B53" s="78"/>
      <c r="C53" s="81"/>
      <c r="D53" s="78"/>
      <c r="E53" s="78"/>
      <c r="F53" s="78"/>
      <c r="G53" s="78"/>
      <c r="H53" s="78"/>
      <c r="I53" s="78"/>
      <c r="J53" s="78"/>
      <c r="K53" s="78"/>
      <c r="L53" s="78"/>
      <c r="M53" s="78"/>
      <c r="N53" s="78"/>
      <c r="O53" s="78"/>
      <c r="P53" s="78"/>
      <c r="Q53" s="103"/>
      <c r="R53" s="103"/>
      <c r="S53" s="103"/>
      <c r="T53" s="103"/>
      <c r="U53" s="103"/>
      <c r="V53" s="103"/>
      <c r="W53" s="78"/>
      <c r="X53" s="78"/>
      <c r="Y53" s="79"/>
      <c r="Z53" s="79"/>
      <c r="AA53" s="78"/>
      <c r="AB53" s="78"/>
      <c r="AC53" s="78"/>
      <c r="AD53" s="78"/>
      <c r="AE53" s="78"/>
      <c r="AF53" s="78"/>
      <c r="AG53" s="78"/>
      <c r="AH53" s="78"/>
      <c r="AI53" s="78"/>
      <c r="AJ53" s="614"/>
      <c r="AK53" s="78"/>
      <c r="AL53" s="78"/>
      <c r="AM53" s="81"/>
      <c r="AN53" s="78"/>
      <c r="AO53" s="78"/>
      <c r="AP53" s="78"/>
      <c r="AQ53" s="78"/>
      <c r="AR53" s="78"/>
      <c r="AS53" s="78"/>
      <c r="AT53" s="78"/>
      <c r="AU53" s="78"/>
    </row>
    <row r="54" spans="1:47" ht="20.25" customHeight="1">
      <c r="A54" s="78"/>
      <c r="B54" s="78"/>
      <c r="C54" s="81"/>
      <c r="D54" s="78"/>
      <c r="E54" s="78"/>
      <c r="F54" s="78"/>
      <c r="G54" s="78"/>
      <c r="H54" s="78"/>
      <c r="I54" s="78"/>
      <c r="J54" s="78"/>
      <c r="K54" s="78"/>
      <c r="L54" s="78"/>
      <c r="M54" s="78"/>
      <c r="N54" s="78"/>
      <c r="O54" s="78"/>
      <c r="P54" s="78"/>
      <c r="Q54" s="103"/>
      <c r="R54" s="103"/>
      <c r="S54" s="103"/>
      <c r="T54" s="103"/>
      <c r="U54" s="103"/>
      <c r="V54" s="103"/>
      <c r="W54" s="78"/>
      <c r="X54" s="78"/>
      <c r="Y54" s="79"/>
      <c r="Z54" s="79"/>
      <c r="AA54" s="78"/>
      <c r="AB54" s="78"/>
      <c r="AC54" s="78"/>
      <c r="AD54" s="78"/>
      <c r="AE54" s="78"/>
      <c r="AF54" s="78"/>
      <c r="AG54" s="78"/>
      <c r="AH54" s="78"/>
      <c r="AI54" s="78"/>
      <c r="AJ54" s="614"/>
      <c r="AK54" s="78"/>
      <c r="AL54" s="78"/>
      <c r="AM54" s="81"/>
      <c r="AN54" s="78"/>
      <c r="AO54" s="78"/>
      <c r="AP54" s="78"/>
      <c r="AQ54" s="78"/>
      <c r="AR54" s="78"/>
      <c r="AS54" s="78"/>
      <c r="AT54" s="78"/>
      <c r="AU54" s="78"/>
    </row>
    <row r="55" spans="1:47" ht="20.25" customHeight="1">
      <c r="A55" s="78"/>
      <c r="B55" s="78"/>
      <c r="C55" s="81"/>
      <c r="D55" s="78"/>
      <c r="E55" s="78"/>
      <c r="F55" s="78"/>
      <c r="G55" s="78"/>
      <c r="H55" s="78"/>
      <c r="I55" s="78"/>
      <c r="J55" s="78"/>
      <c r="K55" s="78"/>
      <c r="L55" s="78"/>
      <c r="M55" s="78"/>
      <c r="N55" s="78"/>
      <c r="O55" s="78"/>
      <c r="P55" s="78"/>
      <c r="Q55" s="103"/>
      <c r="R55" s="103"/>
      <c r="S55" s="103"/>
      <c r="T55" s="103"/>
      <c r="U55" s="103"/>
      <c r="V55" s="103"/>
      <c r="W55" s="78"/>
      <c r="X55" s="78"/>
      <c r="Y55" s="79"/>
      <c r="Z55" s="79"/>
      <c r="AA55" s="78"/>
      <c r="AB55" s="78"/>
      <c r="AC55" s="78"/>
      <c r="AD55" s="78"/>
      <c r="AE55" s="78"/>
      <c r="AF55" s="78"/>
      <c r="AG55" s="78"/>
      <c r="AH55" s="78"/>
      <c r="AI55" s="78"/>
      <c r="AJ55" s="614"/>
      <c r="AK55" s="78"/>
      <c r="AL55" s="78"/>
      <c r="AM55" s="81"/>
      <c r="AN55" s="78"/>
      <c r="AO55" s="78"/>
      <c r="AP55" s="78"/>
      <c r="AQ55" s="78"/>
      <c r="AR55" s="78"/>
      <c r="AS55" s="78"/>
      <c r="AT55" s="78"/>
      <c r="AU55" s="78"/>
    </row>
    <row r="56" spans="1:47" ht="20.25" customHeight="1">
      <c r="A56" s="78"/>
      <c r="B56" s="78"/>
      <c r="C56" s="81"/>
      <c r="D56" s="78"/>
      <c r="E56" s="78"/>
      <c r="F56" s="78"/>
      <c r="G56" s="78"/>
      <c r="H56" s="78"/>
      <c r="I56" s="78"/>
      <c r="J56" s="78"/>
      <c r="K56" s="78"/>
      <c r="L56" s="78"/>
      <c r="M56" s="78"/>
      <c r="N56" s="78"/>
      <c r="O56" s="78"/>
      <c r="P56" s="78"/>
      <c r="Q56" s="103"/>
      <c r="R56" s="103"/>
      <c r="S56" s="103"/>
      <c r="T56" s="103"/>
      <c r="U56" s="103"/>
      <c r="V56" s="103"/>
      <c r="W56" s="78"/>
      <c r="X56" s="78"/>
      <c r="Y56" s="79"/>
      <c r="Z56" s="79"/>
      <c r="AA56" s="78"/>
      <c r="AB56" s="78"/>
      <c r="AC56" s="78"/>
      <c r="AD56" s="78"/>
      <c r="AE56" s="78"/>
      <c r="AF56" s="78"/>
      <c r="AG56" s="78"/>
      <c r="AH56" s="78"/>
      <c r="AI56" s="78"/>
      <c r="AJ56" s="614"/>
      <c r="AK56" s="78"/>
      <c r="AL56" s="78"/>
      <c r="AM56" s="81"/>
      <c r="AN56" s="78"/>
      <c r="AO56" s="78"/>
      <c r="AP56" s="78"/>
      <c r="AQ56" s="78"/>
      <c r="AR56" s="78"/>
      <c r="AS56" s="78"/>
      <c r="AT56" s="78"/>
      <c r="AU56" s="78"/>
    </row>
    <row r="57" spans="1:47" ht="20.25" customHeight="1">
      <c r="A57" s="78"/>
      <c r="B57" s="78"/>
      <c r="C57" s="81"/>
      <c r="D57" s="78"/>
      <c r="E57" s="78"/>
      <c r="F57" s="78"/>
      <c r="G57" s="78"/>
      <c r="H57" s="78"/>
      <c r="I57" s="78"/>
      <c r="J57" s="78"/>
      <c r="K57" s="78"/>
      <c r="L57" s="78"/>
      <c r="M57" s="78"/>
      <c r="N57" s="78"/>
      <c r="O57" s="78"/>
      <c r="P57" s="78"/>
      <c r="Q57" s="103"/>
      <c r="R57" s="103"/>
      <c r="S57" s="103"/>
      <c r="T57" s="103"/>
      <c r="U57" s="103"/>
      <c r="V57" s="103"/>
      <c r="W57" s="78"/>
      <c r="X57" s="78"/>
      <c r="Y57" s="79"/>
      <c r="Z57" s="79"/>
      <c r="AA57" s="78"/>
      <c r="AB57" s="78"/>
      <c r="AC57" s="78"/>
      <c r="AD57" s="78"/>
      <c r="AE57" s="78"/>
      <c r="AF57" s="78"/>
      <c r="AG57" s="78"/>
      <c r="AH57" s="78"/>
      <c r="AI57" s="78"/>
      <c r="AJ57" s="614"/>
      <c r="AK57" s="78"/>
      <c r="AL57" s="78"/>
      <c r="AM57" s="81"/>
      <c r="AN57" s="78"/>
      <c r="AO57" s="78"/>
      <c r="AP57" s="78"/>
      <c r="AQ57" s="78"/>
      <c r="AR57" s="78"/>
      <c r="AS57" s="78"/>
      <c r="AT57" s="78"/>
      <c r="AU57" s="78"/>
    </row>
    <row r="58" spans="1:47" ht="20.25" customHeight="1">
      <c r="A58" s="78"/>
      <c r="B58" s="78"/>
      <c r="C58" s="81"/>
      <c r="D58" s="78"/>
      <c r="E58" s="78"/>
      <c r="F58" s="78"/>
      <c r="G58" s="78"/>
      <c r="H58" s="78"/>
      <c r="I58" s="78"/>
      <c r="J58" s="78"/>
      <c r="K58" s="78"/>
      <c r="L58" s="78"/>
      <c r="M58" s="78"/>
      <c r="N58" s="78"/>
      <c r="O58" s="78"/>
      <c r="P58" s="78"/>
      <c r="Q58" s="103"/>
      <c r="R58" s="103"/>
      <c r="S58" s="103"/>
      <c r="T58" s="103"/>
      <c r="U58" s="103"/>
      <c r="V58" s="103"/>
      <c r="W58" s="78"/>
      <c r="X58" s="78"/>
      <c r="Y58" s="79"/>
      <c r="Z58" s="79"/>
      <c r="AA58" s="78"/>
      <c r="AB58" s="78"/>
      <c r="AC58" s="78"/>
      <c r="AD58" s="78"/>
      <c r="AE58" s="78"/>
      <c r="AF58" s="78"/>
      <c r="AG58" s="78"/>
      <c r="AH58" s="78"/>
      <c r="AI58" s="78"/>
      <c r="AJ58" s="614"/>
      <c r="AK58" s="78"/>
      <c r="AL58" s="78"/>
      <c r="AM58" s="81"/>
      <c r="AN58" s="78"/>
      <c r="AO58" s="78"/>
      <c r="AP58" s="78"/>
      <c r="AQ58" s="78"/>
      <c r="AR58" s="78"/>
      <c r="AS58" s="78"/>
      <c r="AT58" s="78"/>
      <c r="AU58" s="78"/>
    </row>
    <row r="59" spans="1:47" ht="20.25" customHeight="1">
      <c r="A59" s="78"/>
      <c r="B59" s="78"/>
      <c r="C59" s="81"/>
      <c r="D59" s="78"/>
      <c r="E59" s="78"/>
      <c r="F59" s="78"/>
      <c r="G59" s="78"/>
      <c r="H59" s="78"/>
      <c r="I59" s="78"/>
      <c r="J59" s="78"/>
      <c r="K59" s="78"/>
      <c r="L59" s="78"/>
      <c r="M59" s="78"/>
      <c r="N59" s="78"/>
      <c r="O59" s="78"/>
      <c r="P59" s="78"/>
      <c r="Q59" s="103"/>
      <c r="R59" s="103"/>
      <c r="S59" s="103"/>
      <c r="T59" s="103"/>
      <c r="U59" s="103"/>
      <c r="V59" s="103"/>
      <c r="W59" s="78"/>
      <c r="X59" s="78"/>
      <c r="Y59" s="79"/>
      <c r="Z59" s="79"/>
      <c r="AA59" s="78"/>
      <c r="AB59" s="78"/>
      <c r="AC59" s="78"/>
      <c r="AD59" s="78"/>
      <c r="AE59" s="78"/>
      <c r="AF59" s="78"/>
      <c r="AG59" s="78"/>
      <c r="AH59" s="78"/>
      <c r="AI59" s="78"/>
      <c r="AJ59" s="614"/>
      <c r="AK59" s="78"/>
      <c r="AL59" s="78"/>
      <c r="AM59" s="81"/>
      <c r="AN59" s="78"/>
      <c r="AO59" s="78"/>
      <c r="AP59" s="78"/>
      <c r="AQ59" s="78"/>
      <c r="AR59" s="78"/>
      <c r="AS59" s="78"/>
      <c r="AT59" s="78"/>
      <c r="AU59" s="78"/>
    </row>
    <row r="60" spans="1:47" ht="20.25" customHeight="1">
      <c r="A60" s="78"/>
      <c r="B60" s="78"/>
      <c r="C60" s="81"/>
      <c r="D60" s="78"/>
      <c r="E60" s="78"/>
      <c r="F60" s="78"/>
      <c r="G60" s="78"/>
      <c r="H60" s="78"/>
      <c r="I60" s="78"/>
      <c r="J60" s="78"/>
      <c r="K60" s="78"/>
      <c r="L60" s="78"/>
      <c r="M60" s="78"/>
      <c r="N60" s="78"/>
      <c r="O60" s="78"/>
      <c r="P60" s="78"/>
      <c r="Q60" s="103"/>
      <c r="R60" s="103"/>
      <c r="S60" s="103"/>
      <c r="T60" s="103"/>
      <c r="U60" s="103"/>
      <c r="V60" s="103"/>
      <c r="W60" s="78"/>
      <c r="X60" s="78"/>
      <c r="Y60" s="79"/>
      <c r="Z60" s="79"/>
      <c r="AA60" s="78"/>
      <c r="AB60" s="78"/>
      <c r="AC60" s="78"/>
      <c r="AD60" s="78"/>
      <c r="AE60" s="78"/>
      <c r="AF60" s="78"/>
      <c r="AG60" s="78"/>
      <c r="AH60" s="78"/>
      <c r="AI60" s="78"/>
      <c r="AJ60" s="614"/>
      <c r="AK60" s="78"/>
      <c r="AL60" s="78"/>
      <c r="AM60" s="81"/>
      <c r="AN60" s="78"/>
      <c r="AO60" s="78"/>
      <c r="AP60" s="78"/>
      <c r="AQ60" s="78"/>
      <c r="AR60" s="78"/>
      <c r="AS60" s="78"/>
      <c r="AT60" s="78"/>
      <c r="AU60" s="78"/>
    </row>
    <row r="61" spans="1:47" ht="20.25" customHeight="1">
      <c r="A61" s="78"/>
      <c r="B61" s="78"/>
      <c r="C61" s="81"/>
      <c r="D61" s="78"/>
      <c r="E61" s="78"/>
      <c r="F61" s="78"/>
      <c r="G61" s="78"/>
      <c r="H61" s="78"/>
      <c r="I61" s="78"/>
      <c r="J61" s="78"/>
      <c r="K61" s="78"/>
      <c r="L61" s="78"/>
      <c r="M61" s="78"/>
      <c r="N61" s="78"/>
      <c r="O61" s="78"/>
      <c r="P61" s="78"/>
      <c r="Q61" s="103"/>
      <c r="R61" s="103"/>
      <c r="S61" s="103"/>
      <c r="T61" s="103"/>
      <c r="U61" s="103"/>
      <c r="V61" s="103"/>
      <c r="W61" s="78"/>
      <c r="X61" s="78"/>
      <c r="Y61" s="79"/>
      <c r="Z61" s="79"/>
      <c r="AA61" s="78"/>
      <c r="AB61" s="78"/>
      <c r="AC61" s="78"/>
      <c r="AD61" s="78"/>
      <c r="AE61" s="78"/>
      <c r="AF61" s="78"/>
      <c r="AG61" s="78"/>
      <c r="AH61" s="78"/>
      <c r="AI61" s="78"/>
      <c r="AJ61" s="614"/>
      <c r="AK61" s="78"/>
      <c r="AL61" s="78"/>
      <c r="AM61" s="81"/>
      <c r="AN61" s="78"/>
      <c r="AO61" s="78"/>
      <c r="AP61" s="78"/>
      <c r="AQ61" s="78"/>
      <c r="AR61" s="78"/>
      <c r="AS61" s="78"/>
      <c r="AT61" s="78"/>
      <c r="AU61" s="78"/>
    </row>
    <row r="62" spans="1:47" ht="20.25" customHeight="1">
      <c r="A62" s="78"/>
      <c r="B62" s="78"/>
      <c r="C62" s="81"/>
      <c r="D62" s="78"/>
      <c r="E62" s="78"/>
      <c r="F62" s="78"/>
      <c r="G62" s="78"/>
      <c r="H62" s="78"/>
      <c r="I62" s="78"/>
      <c r="J62" s="78"/>
      <c r="K62" s="78"/>
      <c r="L62" s="78"/>
      <c r="M62" s="78"/>
      <c r="N62" s="78"/>
      <c r="O62" s="78"/>
      <c r="P62" s="78"/>
      <c r="Q62" s="103"/>
      <c r="R62" s="103"/>
      <c r="S62" s="103"/>
      <c r="T62" s="103"/>
      <c r="U62" s="103"/>
      <c r="V62" s="103"/>
      <c r="W62" s="78"/>
      <c r="X62" s="78"/>
      <c r="Y62" s="79"/>
      <c r="Z62" s="79"/>
      <c r="AA62" s="78"/>
      <c r="AB62" s="78"/>
      <c r="AC62" s="78"/>
      <c r="AD62" s="78"/>
      <c r="AE62" s="78"/>
      <c r="AF62" s="78"/>
      <c r="AG62" s="78"/>
      <c r="AH62" s="78"/>
      <c r="AI62" s="78"/>
      <c r="AJ62" s="614"/>
      <c r="AK62" s="78"/>
      <c r="AL62" s="78"/>
      <c r="AM62" s="81"/>
      <c r="AN62" s="78"/>
      <c r="AO62" s="78"/>
      <c r="AP62" s="78"/>
      <c r="AQ62" s="78"/>
      <c r="AR62" s="78"/>
      <c r="AS62" s="78"/>
      <c r="AT62" s="78"/>
      <c r="AU62" s="78"/>
    </row>
    <row r="63" spans="1:47" ht="20.25" customHeight="1">
      <c r="A63" s="78"/>
      <c r="B63" s="78"/>
      <c r="C63" s="81"/>
      <c r="D63" s="78"/>
      <c r="E63" s="78"/>
      <c r="F63" s="78"/>
      <c r="G63" s="78"/>
      <c r="H63" s="78"/>
      <c r="I63" s="78"/>
      <c r="J63" s="78"/>
      <c r="K63" s="78"/>
      <c r="L63" s="78"/>
      <c r="M63" s="78"/>
      <c r="N63" s="78"/>
      <c r="O63" s="78"/>
      <c r="P63" s="78"/>
      <c r="Q63" s="103"/>
      <c r="R63" s="103"/>
      <c r="S63" s="103"/>
      <c r="T63" s="103"/>
      <c r="U63" s="103"/>
      <c r="V63" s="103"/>
      <c r="W63" s="78"/>
      <c r="X63" s="78"/>
      <c r="Y63" s="79"/>
      <c r="Z63" s="79"/>
      <c r="AA63" s="78"/>
      <c r="AB63" s="78"/>
      <c r="AC63" s="78"/>
      <c r="AD63" s="78"/>
      <c r="AE63" s="78"/>
      <c r="AF63" s="78"/>
      <c r="AG63" s="78"/>
      <c r="AH63" s="78"/>
      <c r="AI63" s="78"/>
      <c r="AJ63" s="614"/>
      <c r="AK63" s="78"/>
      <c r="AL63" s="78"/>
      <c r="AM63" s="81"/>
      <c r="AN63" s="78"/>
      <c r="AO63" s="78"/>
      <c r="AP63" s="78"/>
      <c r="AQ63" s="78"/>
      <c r="AR63" s="78"/>
      <c r="AS63" s="78"/>
      <c r="AT63" s="78"/>
      <c r="AU63" s="78"/>
    </row>
    <row r="64" spans="1:47" ht="20.25" customHeight="1">
      <c r="A64" s="78"/>
      <c r="B64" s="78"/>
      <c r="C64" s="81"/>
      <c r="D64" s="78"/>
      <c r="E64" s="78"/>
      <c r="F64" s="78"/>
      <c r="G64" s="78"/>
      <c r="H64" s="78"/>
      <c r="I64" s="78"/>
      <c r="J64" s="78"/>
      <c r="K64" s="78"/>
      <c r="L64" s="78"/>
      <c r="M64" s="78"/>
      <c r="N64" s="78"/>
      <c r="O64" s="78"/>
      <c r="P64" s="78"/>
      <c r="Q64" s="103"/>
      <c r="R64" s="103"/>
      <c r="S64" s="103"/>
      <c r="T64" s="103"/>
      <c r="U64" s="103"/>
      <c r="V64" s="103"/>
      <c r="W64" s="78"/>
      <c r="X64" s="78"/>
      <c r="Y64" s="79"/>
      <c r="Z64" s="79"/>
      <c r="AA64" s="78"/>
      <c r="AB64" s="78"/>
      <c r="AC64" s="78"/>
      <c r="AD64" s="78"/>
      <c r="AE64" s="78"/>
      <c r="AF64" s="78"/>
      <c r="AG64" s="78"/>
      <c r="AH64" s="78"/>
      <c r="AI64" s="78"/>
      <c r="AJ64" s="614"/>
      <c r="AK64" s="78"/>
      <c r="AL64" s="78"/>
      <c r="AM64" s="81"/>
      <c r="AN64" s="78"/>
      <c r="AO64" s="78"/>
      <c r="AP64" s="78"/>
      <c r="AQ64" s="78"/>
      <c r="AR64" s="78"/>
      <c r="AS64" s="78"/>
      <c r="AT64" s="78"/>
      <c r="AU64" s="78"/>
    </row>
    <row r="65" spans="1:47" ht="20.25" customHeight="1">
      <c r="A65" s="78"/>
      <c r="B65" s="78"/>
      <c r="C65" s="81"/>
      <c r="D65" s="78"/>
      <c r="E65" s="78"/>
      <c r="F65" s="78"/>
      <c r="G65" s="78"/>
      <c r="H65" s="78"/>
      <c r="I65" s="78"/>
      <c r="J65" s="78"/>
      <c r="K65" s="78"/>
      <c r="L65" s="78"/>
      <c r="M65" s="78"/>
      <c r="N65" s="78"/>
      <c r="O65" s="78"/>
      <c r="P65" s="78"/>
      <c r="Q65" s="103"/>
      <c r="R65" s="103"/>
      <c r="S65" s="103"/>
      <c r="T65" s="103"/>
      <c r="U65" s="103"/>
      <c r="V65" s="103"/>
      <c r="W65" s="78"/>
      <c r="X65" s="78"/>
      <c r="Y65" s="79"/>
      <c r="Z65" s="79"/>
      <c r="AA65" s="78"/>
      <c r="AB65" s="78"/>
      <c r="AC65" s="78"/>
      <c r="AD65" s="78"/>
      <c r="AE65" s="78"/>
      <c r="AF65" s="78"/>
      <c r="AG65" s="78"/>
      <c r="AH65" s="78"/>
      <c r="AI65" s="78"/>
      <c r="AJ65" s="614"/>
      <c r="AK65" s="78"/>
      <c r="AL65" s="78"/>
      <c r="AM65" s="81"/>
      <c r="AN65" s="78"/>
      <c r="AO65" s="78"/>
      <c r="AP65" s="78"/>
      <c r="AQ65" s="78"/>
      <c r="AR65" s="78"/>
      <c r="AS65" s="78"/>
      <c r="AT65" s="78"/>
      <c r="AU65" s="78"/>
    </row>
    <row r="66" spans="1:47" ht="20.25" customHeight="1">
      <c r="A66" s="78"/>
      <c r="B66" s="78"/>
      <c r="C66" s="81"/>
      <c r="D66" s="78"/>
      <c r="E66" s="78"/>
      <c r="F66" s="78"/>
      <c r="G66" s="78"/>
      <c r="H66" s="78"/>
      <c r="I66" s="78"/>
      <c r="J66" s="78"/>
      <c r="K66" s="78"/>
      <c r="L66" s="78"/>
      <c r="M66" s="78"/>
      <c r="N66" s="78"/>
      <c r="O66" s="78"/>
      <c r="P66" s="78"/>
      <c r="Q66" s="103"/>
      <c r="R66" s="103"/>
      <c r="S66" s="103"/>
      <c r="T66" s="103"/>
      <c r="U66" s="103"/>
      <c r="V66" s="103"/>
      <c r="W66" s="78"/>
      <c r="X66" s="78"/>
      <c r="Y66" s="79"/>
      <c r="Z66" s="79"/>
      <c r="AA66" s="78"/>
      <c r="AB66" s="78"/>
      <c r="AC66" s="78"/>
      <c r="AD66" s="78"/>
      <c r="AE66" s="78"/>
      <c r="AF66" s="78"/>
      <c r="AG66" s="78"/>
      <c r="AH66" s="78"/>
      <c r="AI66" s="78"/>
      <c r="AJ66" s="614"/>
      <c r="AK66" s="78"/>
      <c r="AL66" s="78"/>
      <c r="AM66" s="81"/>
      <c r="AN66" s="78"/>
      <c r="AO66" s="78"/>
      <c r="AP66" s="78"/>
      <c r="AQ66" s="78"/>
      <c r="AR66" s="78"/>
      <c r="AS66" s="78"/>
      <c r="AT66" s="78"/>
      <c r="AU66" s="78"/>
    </row>
    <row r="67" spans="1:47" ht="20.25" customHeight="1">
      <c r="A67" s="78"/>
      <c r="B67" s="78"/>
      <c r="C67" s="81"/>
      <c r="D67" s="78"/>
      <c r="E67" s="78"/>
      <c r="F67" s="78"/>
      <c r="G67" s="78"/>
      <c r="H67" s="78"/>
      <c r="I67" s="78"/>
      <c r="J67" s="78"/>
      <c r="K67" s="78"/>
      <c r="L67" s="78"/>
      <c r="M67" s="78"/>
      <c r="N67" s="78"/>
      <c r="O67" s="78"/>
      <c r="P67" s="78"/>
      <c r="Q67" s="103"/>
      <c r="R67" s="103"/>
      <c r="S67" s="103"/>
      <c r="T67" s="103"/>
      <c r="U67" s="103"/>
      <c r="V67" s="103"/>
      <c r="W67" s="78"/>
      <c r="X67" s="78"/>
      <c r="Y67" s="79"/>
      <c r="Z67" s="79"/>
      <c r="AA67" s="78"/>
      <c r="AB67" s="78"/>
      <c r="AC67" s="78"/>
      <c r="AD67" s="78"/>
      <c r="AE67" s="78"/>
      <c r="AF67" s="78"/>
      <c r="AG67" s="78"/>
      <c r="AH67" s="78"/>
      <c r="AI67" s="78"/>
      <c r="AJ67" s="614"/>
      <c r="AK67" s="78"/>
      <c r="AL67" s="78"/>
      <c r="AM67" s="81"/>
      <c r="AN67" s="78"/>
      <c r="AO67" s="78"/>
      <c r="AP67" s="78"/>
      <c r="AQ67" s="78"/>
      <c r="AR67" s="78"/>
      <c r="AS67" s="78"/>
      <c r="AT67" s="78"/>
      <c r="AU67" s="78"/>
    </row>
    <row r="68" spans="1:47" ht="20.25" customHeight="1">
      <c r="A68" s="78"/>
      <c r="B68" s="78"/>
      <c r="C68" s="81"/>
      <c r="D68" s="78"/>
      <c r="E68" s="78"/>
      <c r="F68" s="78"/>
      <c r="G68" s="78"/>
      <c r="H68" s="78"/>
      <c r="I68" s="78"/>
      <c r="J68" s="78"/>
      <c r="K68" s="78"/>
      <c r="L68" s="78"/>
      <c r="M68" s="78"/>
      <c r="N68" s="78"/>
      <c r="O68" s="78"/>
      <c r="P68" s="78"/>
      <c r="Q68" s="103"/>
      <c r="R68" s="103"/>
      <c r="S68" s="103"/>
      <c r="T68" s="103"/>
      <c r="U68" s="103"/>
      <c r="V68" s="103"/>
      <c r="W68" s="78"/>
      <c r="X68" s="78"/>
      <c r="Y68" s="79"/>
      <c r="Z68" s="79"/>
      <c r="AA68" s="78"/>
      <c r="AB68" s="78"/>
      <c r="AC68" s="78"/>
      <c r="AD68" s="78"/>
      <c r="AE68" s="78"/>
      <c r="AF68" s="78"/>
      <c r="AG68" s="78"/>
      <c r="AH68" s="78"/>
      <c r="AI68" s="78"/>
      <c r="AJ68" s="614"/>
      <c r="AK68" s="78"/>
      <c r="AL68" s="78"/>
      <c r="AM68" s="81"/>
      <c r="AN68" s="78"/>
      <c r="AO68" s="78"/>
      <c r="AP68" s="78"/>
      <c r="AQ68" s="78"/>
      <c r="AR68" s="78"/>
      <c r="AS68" s="78"/>
      <c r="AT68" s="78"/>
      <c r="AU68" s="78"/>
    </row>
    <row r="69" spans="1:47" ht="20.25" customHeight="1">
      <c r="A69" s="78"/>
      <c r="B69" s="78"/>
      <c r="C69" s="81"/>
      <c r="D69" s="78"/>
      <c r="E69" s="78"/>
      <c r="F69" s="78"/>
      <c r="G69" s="78"/>
      <c r="H69" s="78"/>
      <c r="I69" s="78"/>
      <c r="J69" s="78"/>
      <c r="K69" s="78"/>
      <c r="L69" s="78"/>
      <c r="M69" s="78"/>
      <c r="N69" s="78"/>
      <c r="O69" s="78"/>
      <c r="P69" s="78"/>
      <c r="Q69" s="103"/>
      <c r="R69" s="103"/>
      <c r="S69" s="103"/>
      <c r="T69" s="103"/>
      <c r="U69" s="103"/>
      <c r="V69" s="103"/>
      <c r="W69" s="78"/>
      <c r="X69" s="78"/>
      <c r="Y69" s="79"/>
      <c r="Z69" s="79"/>
      <c r="AA69" s="78"/>
      <c r="AB69" s="78"/>
      <c r="AC69" s="78"/>
      <c r="AD69" s="78"/>
      <c r="AE69" s="78"/>
      <c r="AF69" s="78"/>
      <c r="AG69" s="78"/>
      <c r="AH69" s="78"/>
      <c r="AI69" s="78"/>
      <c r="AJ69" s="614"/>
      <c r="AK69" s="78"/>
      <c r="AL69" s="78"/>
      <c r="AM69" s="81"/>
      <c r="AN69" s="78"/>
      <c r="AO69" s="78"/>
      <c r="AP69" s="78"/>
      <c r="AQ69" s="78"/>
      <c r="AR69" s="78"/>
      <c r="AS69" s="78"/>
      <c r="AT69" s="78"/>
      <c r="AU69" s="78"/>
    </row>
    <row r="70" spans="1:47" ht="20.25" customHeight="1">
      <c r="A70" s="78"/>
      <c r="B70" s="78"/>
      <c r="C70" s="81"/>
      <c r="D70" s="78"/>
      <c r="E70" s="78"/>
      <c r="F70" s="78"/>
      <c r="G70" s="78"/>
      <c r="H70" s="78"/>
      <c r="I70" s="78"/>
      <c r="J70" s="78"/>
      <c r="K70" s="78"/>
      <c r="L70" s="78"/>
      <c r="M70" s="78"/>
      <c r="N70" s="78"/>
      <c r="O70" s="78"/>
      <c r="P70" s="78"/>
      <c r="Q70" s="103"/>
      <c r="R70" s="103"/>
      <c r="S70" s="103"/>
      <c r="T70" s="103"/>
      <c r="U70" s="103"/>
      <c r="V70" s="103"/>
      <c r="W70" s="78"/>
      <c r="X70" s="78"/>
      <c r="Y70" s="79"/>
      <c r="Z70" s="79"/>
      <c r="AA70" s="78"/>
      <c r="AB70" s="78"/>
      <c r="AC70" s="78"/>
      <c r="AD70" s="78"/>
      <c r="AE70" s="78"/>
      <c r="AF70" s="78"/>
      <c r="AG70" s="78"/>
      <c r="AH70" s="78"/>
      <c r="AI70" s="78"/>
      <c r="AJ70" s="614"/>
      <c r="AK70" s="78"/>
      <c r="AL70" s="78"/>
      <c r="AM70" s="81"/>
      <c r="AN70" s="78"/>
      <c r="AO70" s="78"/>
      <c r="AP70" s="78"/>
      <c r="AQ70" s="78"/>
      <c r="AR70" s="78"/>
      <c r="AS70" s="78"/>
      <c r="AT70" s="78"/>
      <c r="AU70" s="78"/>
    </row>
    <row r="71" spans="1:47" ht="20.25" customHeight="1">
      <c r="A71" s="78"/>
      <c r="B71" s="78"/>
      <c r="C71" s="81"/>
      <c r="D71" s="78"/>
      <c r="E71" s="78"/>
      <c r="F71" s="78"/>
      <c r="G71" s="78"/>
      <c r="H71" s="78"/>
      <c r="I71" s="78"/>
      <c r="J71" s="78"/>
      <c r="K71" s="78"/>
      <c r="L71" s="78"/>
      <c r="M71" s="78"/>
      <c r="N71" s="78"/>
      <c r="O71" s="78"/>
      <c r="P71" s="78"/>
      <c r="Q71" s="103"/>
      <c r="R71" s="103"/>
      <c r="S71" s="103"/>
      <c r="T71" s="103"/>
      <c r="U71" s="103"/>
      <c r="V71" s="103"/>
      <c r="W71" s="78"/>
      <c r="X71" s="78"/>
      <c r="Y71" s="79"/>
      <c r="Z71" s="79"/>
      <c r="AA71" s="78"/>
      <c r="AB71" s="78"/>
      <c r="AC71" s="78"/>
      <c r="AD71" s="78"/>
      <c r="AE71" s="78"/>
      <c r="AF71" s="78"/>
      <c r="AG71" s="78"/>
      <c r="AH71" s="78"/>
      <c r="AI71" s="78"/>
      <c r="AJ71" s="614"/>
      <c r="AK71" s="78"/>
      <c r="AL71" s="78"/>
      <c r="AM71" s="81"/>
      <c r="AN71" s="78"/>
      <c r="AO71" s="78"/>
      <c r="AP71" s="78"/>
      <c r="AQ71" s="78"/>
      <c r="AR71" s="78"/>
      <c r="AS71" s="78"/>
      <c r="AT71" s="78"/>
      <c r="AU71" s="78"/>
    </row>
    <row r="72" spans="1:47" ht="20.25" customHeight="1">
      <c r="A72" s="78"/>
      <c r="B72" s="78"/>
      <c r="C72" s="81"/>
      <c r="D72" s="78"/>
      <c r="E72" s="78"/>
      <c r="F72" s="78"/>
      <c r="G72" s="78"/>
      <c r="H72" s="78"/>
      <c r="I72" s="78"/>
      <c r="J72" s="78"/>
      <c r="K72" s="78"/>
      <c r="L72" s="78"/>
      <c r="M72" s="78"/>
      <c r="N72" s="78"/>
      <c r="O72" s="78"/>
      <c r="P72" s="78"/>
      <c r="Q72" s="103"/>
      <c r="R72" s="103"/>
      <c r="S72" s="103"/>
      <c r="T72" s="103"/>
      <c r="U72" s="103"/>
      <c r="V72" s="103"/>
      <c r="W72" s="78"/>
      <c r="X72" s="78"/>
      <c r="Y72" s="79"/>
      <c r="Z72" s="79"/>
      <c r="AA72" s="78"/>
      <c r="AB72" s="78"/>
      <c r="AC72" s="78"/>
      <c r="AD72" s="78"/>
      <c r="AE72" s="78"/>
      <c r="AF72" s="78"/>
      <c r="AG72" s="78"/>
      <c r="AH72" s="78"/>
      <c r="AI72" s="78"/>
      <c r="AJ72" s="614"/>
      <c r="AK72" s="78"/>
      <c r="AL72" s="78"/>
      <c r="AM72" s="81"/>
      <c r="AN72" s="78"/>
      <c r="AO72" s="78"/>
      <c r="AP72" s="78"/>
      <c r="AQ72" s="78"/>
      <c r="AR72" s="78"/>
      <c r="AS72" s="78"/>
      <c r="AT72" s="78"/>
      <c r="AU72" s="78"/>
    </row>
    <row r="73" spans="1:47" ht="20.25" customHeight="1">
      <c r="A73" s="78"/>
      <c r="B73" s="78"/>
      <c r="C73" s="81"/>
      <c r="D73" s="78"/>
      <c r="E73" s="78"/>
      <c r="F73" s="78"/>
      <c r="G73" s="78"/>
      <c r="H73" s="78"/>
      <c r="I73" s="78"/>
      <c r="J73" s="78"/>
      <c r="K73" s="78"/>
      <c r="L73" s="78"/>
      <c r="M73" s="78"/>
      <c r="N73" s="78"/>
      <c r="O73" s="78"/>
      <c r="P73" s="78"/>
      <c r="Q73" s="103"/>
      <c r="R73" s="103"/>
      <c r="S73" s="103"/>
      <c r="T73" s="103"/>
      <c r="U73" s="103"/>
      <c r="V73" s="103"/>
      <c r="W73" s="78"/>
      <c r="X73" s="78"/>
      <c r="Y73" s="79"/>
      <c r="Z73" s="79"/>
      <c r="AA73" s="78"/>
      <c r="AB73" s="78"/>
      <c r="AC73" s="78"/>
      <c r="AD73" s="78"/>
      <c r="AE73" s="78"/>
      <c r="AF73" s="78"/>
      <c r="AG73" s="78"/>
      <c r="AH73" s="78"/>
      <c r="AI73" s="78"/>
      <c r="AJ73" s="614"/>
      <c r="AK73" s="78"/>
      <c r="AL73" s="78"/>
      <c r="AM73" s="81"/>
      <c r="AN73" s="78"/>
      <c r="AO73" s="78"/>
      <c r="AP73" s="78"/>
      <c r="AQ73" s="78"/>
      <c r="AR73" s="78"/>
      <c r="AS73" s="78"/>
      <c r="AT73" s="78"/>
      <c r="AU73" s="78"/>
    </row>
    <row r="74" spans="1:47" ht="20.25" customHeight="1">
      <c r="A74" s="78"/>
      <c r="B74" s="78"/>
      <c r="C74" s="81"/>
      <c r="D74" s="78"/>
      <c r="E74" s="78"/>
      <c r="F74" s="78"/>
      <c r="G74" s="78"/>
      <c r="H74" s="78"/>
      <c r="I74" s="78"/>
      <c r="J74" s="78"/>
      <c r="K74" s="78"/>
      <c r="L74" s="78"/>
      <c r="M74" s="78"/>
      <c r="N74" s="78"/>
      <c r="O74" s="78"/>
      <c r="P74" s="78"/>
      <c r="Q74" s="103"/>
      <c r="R74" s="103"/>
      <c r="S74" s="103"/>
      <c r="T74" s="103"/>
      <c r="U74" s="103"/>
      <c r="V74" s="103"/>
      <c r="W74" s="78"/>
      <c r="X74" s="78"/>
      <c r="Y74" s="79"/>
      <c r="Z74" s="79"/>
      <c r="AA74" s="78"/>
      <c r="AB74" s="78"/>
      <c r="AC74" s="78"/>
      <c r="AD74" s="78"/>
      <c r="AE74" s="78"/>
      <c r="AF74" s="78"/>
      <c r="AG74" s="78"/>
      <c r="AH74" s="78"/>
      <c r="AI74" s="78"/>
      <c r="AJ74" s="614"/>
      <c r="AK74" s="78"/>
      <c r="AL74" s="78"/>
      <c r="AM74" s="81"/>
      <c r="AN74" s="78"/>
      <c r="AO74" s="78"/>
      <c r="AP74" s="78"/>
      <c r="AQ74" s="78"/>
      <c r="AR74" s="78"/>
      <c r="AS74" s="78"/>
      <c r="AT74" s="78"/>
      <c r="AU74" s="78"/>
    </row>
    <row r="75" spans="1:47" ht="20.25" customHeight="1">
      <c r="A75" s="78"/>
      <c r="B75" s="78"/>
      <c r="C75" s="81"/>
      <c r="D75" s="78"/>
      <c r="E75" s="78"/>
      <c r="F75" s="78"/>
      <c r="G75" s="78"/>
      <c r="H75" s="78"/>
      <c r="I75" s="78"/>
      <c r="J75" s="78"/>
      <c r="K75" s="78"/>
      <c r="L75" s="78"/>
      <c r="M75" s="78"/>
      <c r="N75" s="78"/>
      <c r="O75" s="78"/>
      <c r="P75" s="78"/>
      <c r="Q75" s="103"/>
      <c r="R75" s="103"/>
      <c r="S75" s="103"/>
      <c r="T75" s="103"/>
      <c r="U75" s="103"/>
      <c r="V75" s="103"/>
      <c r="W75" s="78"/>
      <c r="X75" s="78"/>
      <c r="Y75" s="79"/>
      <c r="Z75" s="79"/>
      <c r="AA75" s="78"/>
      <c r="AB75" s="78"/>
      <c r="AC75" s="78"/>
      <c r="AD75" s="78"/>
      <c r="AE75" s="78"/>
      <c r="AF75" s="78"/>
      <c r="AG75" s="78"/>
      <c r="AH75" s="78"/>
      <c r="AI75" s="78"/>
      <c r="AJ75" s="614"/>
      <c r="AK75" s="78"/>
      <c r="AL75" s="78"/>
      <c r="AM75" s="81"/>
      <c r="AN75" s="78"/>
      <c r="AO75" s="78"/>
      <c r="AP75" s="78"/>
      <c r="AQ75" s="78"/>
      <c r="AR75" s="78"/>
      <c r="AS75" s="78"/>
      <c r="AT75" s="78"/>
      <c r="AU75" s="78"/>
    </row>
    <row r="76" spans="1:47" ht="20.25" customHeight="1">
      <c r="A76" s="78"/>
      <c r="B76" s="78"/>
      <c r="C76" s="81"/>
      <c r="D76" s="78"/>
      <c r="E76" s="78"/>
      <c r="F76" s="78"/>
      <c r="G76" s="78"/>
      <c r="H76" s="78"/>
      <c r="I76" s="78"/>
      <c r="J76" s="78"/>
      <c r="K76" s="78"/>
      <c r="L76" s="78"/>
      <c r="M76" s="78"/>
      <c r="N76" s="78"/>
      <c r="O76" s="78"/>
      <c r="P76" s="78"/>
      <c r="Q76" s="103"/>
      <c r="R76" s="103"/>
      <c r="S76" s="103"/>
      <c r="T76" s="103"/>
      <c r="U76" s="103"/>
      <c r="V76" s="103"/>
      <c r="W76" s="78"/>
      <c r="X76" s="78"/>
      <c r="Y76" s="79"/>
      <c r="Z76" s="79"/>
      <c r="AA76" s="78"/>
      <c r="AB76" s="78"/>
      <c r="AC76" s="78"/>
      <c r="AD76" s="78"/>
      <c r="AE76" s="78"/>
      <c r="AF76" s="78"/>
      <c r="AG76" s="78"/>
      <c r="AH76" s="78"/>
      <c r="AI76" s="78"/>
      <c r="AJ76" s="614"/>
      <c r="AK76" s="78"/>
      <c r="AL76" s="78"/>
      <c r="AM76" s="81"/>
      <c r="AN76" s="78"/>
      <c r="AO76" s="78"/>
      <c r="AP76" s="78"/>
      <c r="AQ76" s="78"/>
      <c r="AR76" s="78"/>
      <c r="AS76" s="78"/>
      <c r="AT76" s="78"/>
      <c r="AU76" s="78"/>
    </row>
    <row r="77" spans="1:47" ht="20.25" customHeight="1">
      <c r="A77" s="78"/>
      <c r="B77" s="78"/>
      <c r="C77" s="81"/>
      <c r="D77" s="78"/>
      <c r="E77" s="78"/>
      <c r="F77" s="78"/>
      <c r="G77" s="78"/>
      <c r="H77" s="78"/>
      <c r="I77" s="78"/>
      <c r="J77" s="78"/>
      <c r="K77" s="78"/>
      <c r="L77" s="78"/>
      <c r="M77" s="78"/>
      <c r="N77" s="78"/>
      <c r="O77" s="78"/>
      <c r="P77" s="78"/>
      <c r="Q77" s="103"/>
      <c r="R77" s="103"/>
      <c r="S77" s="103"/>
      <c r="T77" s="103"/>
      <c r="U77" s="103"/>
      <c r="V77" s="103"/>
      <c r="W77" s="78"/>
      <c r="X77" s="78"/>
      <c r="Y77" s="79"/>
      <c r="Z77" s="79"/>
      <c r="AA77" s="78"/>
      <c r="AB77" s="78"/>
      <c r="AC77" s="78"/>
      <c r="AD77" s="78"/>
      <c r="AE77" s="78"/>
      <c r="AF77" s="78"/>
      <c r="AG77" s="78"/>
      <c r="AH77" s="78"/>
      <c r="AI77" s="78"/>
      <c r="AJ77" s="614"/>
      <c r="AK77" s="78"/>
      <c r="AL77" s="78"/>
      <c r="AM77" s="81"/>
      <c r="AN77" s="78"/>
      <c r="AO77" s="78"/>
      <c r="AP77" s="78"/>
      <c r="AQ77" s="78"/>
      <c r="AR77" s="78"/>
      <c r="AS77" s="78"/>
      <c r="AT77" s="78"/>
      <c r="AU77" s="78"/>
    </row>
    <row r="78" spans="1:47" ht="20.25" customHeight="1">
      <c r="A78" s="78"/>
      <c r="B78" s="78"/>
      <c r="C78" s="81"/>
      <c r="D78" s="78"/>
      <c r="E78" s="78"/>
      <c r="F78" s="78"/>
      <c r="G78" s="78"/>
      <c r="H78" s="78"/>
      <c r="I78" s="78"/>
      <c r="J78" s="78"/>
      <c r="K78" s="78"/>
      <c r="L78" s="78"/>
      <c r="M78" s="78"/>
      <c r="N78" s="78"/>
      <c r="O78" s="78"/>
      <c r="P78" s="78"/>
      <c r="Q78" s="103"/>
      <c r="R78" s="103"/>
      <c r="S78" s="103"/>
      <c r="T78" s="103"/>
      <c r="U78" s="103"/>
      <c r="V78" s="103"/>
      <c r="W78" s="78"/>
      <c r="X78" s="78"/>
      <c r="Y78" s="79"/>
      <c r="Z78" s="79"/>
      <c r="AA78" s="78"/>
      <c r="AB78" s="78"/>
      <c r="AC78" s="78"/>
      <c r="AD78" s="78"/>
      <c r="AE78" s="78"/>
      <c r="AF78" s="78"/>
      <c r="AG78" s="78"/>
      <c r="AH78" s="78"/>
      <c r="AI78" s="78"/>
      <c r="AJ78" s="614"/>
      <c r="AK78" s="78"/>
      <c r="AL78" s="78"/>
      <c r="AM78" s="81"/>
      <c r="AN78" s="78"/>
      <c r="AO78" s="78"/>
      <c r="AP78" s="78"/>
      <c r="AQ78" s="78"/>
      <c r="AR78" s="78"/>
      <c r="AS78" s="78"/>
      <c r="AT78" s="78"/>
      <c r="AU78" s="78"/>
    </row>
    <row r="79" spans="1:47" ht="20.25" customHeight="1">
      <c r="A79" s="78"/>
      <c r="B79" s="78"/>
      <c r="C79" s="81"/>
      <c r="D79" s="78"/>
      <c r="E79" s="78"/>
      <c r="F79" s="78"/>
      <c r="G79" s="78"/>
      <c r="H79" s="78"/>
      <c r="I79" s="78"/>
      <c r="J79" s="78"/>
      <c r="K79" s="78"/>
      <c r="L79" s="78"/>
      <c r="M79" s="78"/>
      <c r="N79" s="78"/>
      <c r="O79" s="78"/>
      <c r="P79" s="78"/>
      <c r="Q79" s="103"/>
      <c r="R79" s="103"/>
      <c r="S79" s="103"/>
      <c r="T79" s="103"/>
      <c r="U79" s="103"/>
      <c r="V79" s="103"/>
      <c r="W79" s="78"/>
      <c r="X79" s="78"/>
      <c r="Y79" s="79"/>
      <c r="Z79" s="79"/>
      <c r="AA79" s="78"/>
      <c r="AB79" s="78"/>
      <c r="AC79" s="78"/>
      <c r="AD79" s="78"/>
      <c r="AE79" s="78"/>
      <c r="AF79" s="78"/>
      <c r="AG79" s="78"/>
      <c r="AH79" s="78"/>
      <c r="AI79" s="78"/>
      <c r="AJ79" s="614"/>
      <c r="AK79" s="78"/>
      <c r="AL79" s="78"/>
      <c r="AM79" s="81"/>
      <c r="AN79" s="78"/>
      <c r="AO79" s="78"/>
      <c r="AP79" s="78"/>
      <c r="AQ79" s="78"/>
      <c r="AR79" s="78"/>
      <c r="AS79" s="78"/>
      <c r="AT79" s="78"/>
      <c r="AU79" s="78"/>
    </row>
    <row r="80" spans="1:47" ht="20.25" customHeight="1">
      <c r="A80" s="78"/>
      <c r="B80" s="78"/>
      <c r="C80" s="81"/>
      <c r="D80" s="78"/>
      <c r="E80" s="78"/>
      <c r="F80" s="78"/>
      <c r="G80" s="78"/>
      <c r="H80" s="78"/>
      <c r="I80" s="78"/>
      <c r="J80" s="78"/>
      <c r="K80" s="78"/>
      <c r="L80" s="78"/>
      <c r="M80" s="78"/>
      <c r="N80" s="78"/>
      <c r="O80" s="78"/>
      <c r="P80" s="78"/>
      <c r="Q80" s="103"/>
      <c r="R80" s="103"/>
      <c r="S80" s="103"/>
      <c r="T80" s="103"/>
      <c r="U80" s="103"/>
      <c r="V80" s="103"/>
      <c r="W80" s="78"/>
      <c r="X80" s="78"/>
      <c r="Y80" s="79"/>
      <c r="Z80" s="79"/>
      <c r="AA80" s="78"/>
      <c r="AB80" s="78"/>
      <c r="AC80" s="78"/>
      <c r="AD80" s="78"/>
      <c r="AE80" s="78"/>
      <c r="AF80" s="78"/>
      <c r="AG80" s="78"/>
      <c r="AH80" s="78"/>
      <c r="AI80" s="78"/>
      <c r="AJ80" s="614"/>
      <c r="AK80" s="78"/>
      <c r="AL80" s="78"/>
      <c r="AM80" s="81"/>
      <c r="AN80" s="78"/>
      <c r="AO80" s="78"/>
      <c r="AP80" s="78"/>
      <c r="AQ80" s="78"/>
      <c r="AR80" s="78"/>
      <c r="AS80" s="78"/>
      <c r="AT80" s="78"/>
      <c r="AU80" s="78"/>
    </row>
    <row r="81" spans="1:47" ht="20.25" customHeight="1">
      <c r="A81" s="78"/>
      <c r="B81" s="78"/>
      <c r="C81" s="81"/>
      <c r="D81" s="78"/>
      <c r="E81" s="78"/>
      <c r="F81" s="78"/>
      <c r="G81" s="78"/>
      <c r="H81" s="78"/>
      <c r="I81" s="78"/>
      <c r="J81" s="78"/>
      <c r="K81" s="78"/>
      <c r="L81" s="78"/>
      <c r="M81" s="78"/>
      <c r="N81" s="78"/>
      <c r="O81" s="78"/>
      <c r="P81" s="78"/>
      <c r="Q81" s="103"/>
      <c r="R81" s="103"/>
      <c r="S81" s="103"/>
      <c r="T81" s="103"/>
      <c r="U81" s="103"/>
      <c r="V81" s="103"/>
      <c r="W81" s="78"/>
      <c r="X81" s="78"/>
      <c r="Y81" s="79"/>
      <c r="Z81" s="79"/>
      <c r="AA81" s="78"/>
      <c r="AB81" s="78"/>
      <c r="AC81" s="78"/>
      <c r="AD81" s="78"/>
      <c r="AE81" s="78"/>
      <c r="AF81" s="78"/>
      <c r="AG81" s="78"/>
      <c r="AH81" s="78"/>
      <c r="AI81" s="78"/>
      <c r="AJ81" s="614"/>
      <c r="AK81" s="78"/>
      <c r="AL81" s="78"/>
      <c r="AM81" s="81"/>
      <c r="AN81" s="78"/>
      <c r="AO81" s="78"/>
      <c r="AP81" s="78"/>
      <c r="AQ81" s="78"/>
      <c r="AR81" s="78"/>
      <c r="AS81" s="78"/>
      <c r="AT81" s="78"/>
      <c r="AU81" s="78"/>
    </row>
    <row r="82" spans="1:47" ht="20.25" customHeight="1">
      <c r="A82" s="78"/>
      <c r="B82" s="78"/>
      <c r="C82" s="81"/>
      <c r="D82" s="78"/>
      <c r="E82" s="78"/>
      <c r="F82" s="78"/>
      <c r="G82" s="78"/>
      <c r="H82" s="78"/>
      <c r="I82" s="78"/>
      <c r="J82" s="78"/>
      <c r="K82" s="78"/>
      <c r="L82" s="78"/>
      <c r="M82" s="78"/>
      <c r="N82" s="78"/>
      <c r="O82" s="78"/>
      <c r="P82" s="78"/>
      <c r="Q82" s="103"/>
      <c r="R82" s="103"/>
      <c r="S82" s="103"/>
      <c r="T82" s="103"/>
      <c r="U82" s="103"/>
      <c r="V82" s="103"/>
      <c r="W82" s="78"/>
      <c r="X82" s="78"/>
      <c r="Y82" s="79"/>
      <c r="Z82" s="79"/>
      <c r="AA82" s="78"/>
      <c r="AB82" s="78"/>
      <c r="AC82" s="78"/>
      <c r="AD82" s="78"/>
      <c r="AE82" s="78"/>
      <c r="AF82" s="78"/>
      <c r="AG82" s="78"/>
      <c r="AH82" s="78"/>
      <c r="AI82" s="78"/>
      <c r="AJ82" s="614"/>
      <c r="AK82" s="78"/>
      <c r="AL82" s="78"/>
      <c r="AM82" s="81"/>
      <c r="AN82" s="78"/>
      <c r="AO82" s="78"/>
      <c r="AP82" s="78"/>
      <c r="AQ82" s="78"/>
      <c r="AR82" s="78"/>
      <c r="AS82" s="78"/>
      <c r="AT82" s="78"/>
      <c r="AU82" s="78"/>
    </row>
    <row r="83" spans="1:47" ht="20.25" customHeight="1">
      <c r="A83" s="78"/>
      <c r="B83" s="78"/>
      <c r="C83" s="81"/>
      <c r="D83" s="78"/>
      <c r="E83" s="78"/>
      <c r="F83" s="78"/>
      <c r="G83" s="78"/>
      <c r="H83" s="78"/>
      <c r="I83" s="78"/>
      <c r="J83" s="78"/>
      <c r="K83" s="78"/>
      <c r="L83" s="78"/>
      <c r="M83" s="78"/>
      <c r="N83" s="78"/>
      <c r="O83" s="78"/>
      <c r="P83" s="78"/>
      <c r="Q83" s="103"/>
      <c r="R83" s="103"/>
      <c r="S83" s="103"/>
      <c r="T83" s="103"/>
      <c r="U83" s="103"/>
      <c r="V83" s="103"/>
      <c r="W83" s="78"/>
      <c r="X83" s="78"/>
      <c r="Y83" s="79"/>
      <c r="Z83" s="79"/>
      <c r="AA83" s="78"/>
      <c r="AB83" s="78"/>
      <c r="AC83" s="78"/>
      <c r="AD83" s="78"/>
      <c r="AE83" s="78"/>
      <c r="AF83" s="78"/>
      <c r="AG83" s="78"/>
      <c r="AH83" s="78"/>
      <c r="AI83" s="78"/>
      <c r="AJ83" s="614"/>
      <c r="AK83" s="78"/>
      <c r="AL83" s="78"/>
      <c r="AM83" s="81"/>
      <c r="AN83" s="78"/>
      <c r="AO83" s="78"/>
      <c r="AP83" s="78"/>
      <c r="AQ83" s="78"/>
      <c r="AR83" s="78"/>
      <c r="AS83" s="78"/>
      <c r="AT83" s="78"/>
      <c r="AU83" s="78"/>
    </row>
    <row r="84" spans="1:47" ht="20.25" customHeight="1">
      <c r="A84" s="78"/>
      <c r="B84" s="78"/>
      <c r="C84" s="81"/>
      <c r="D84" s="78"/>
      <c r="E84" s="78"/>
      <c r="F84" s="78"/>
      <c r="G84" s="78"/>
      <c r="H84" s="78"/>
      <c r="I84" s="78"/>
      <c r="J84" s="78"/>
      <c r="K84" s="78"/>
      <c r="L84" s="78"/>
      <c r="M84" s="78"/>
      <c r="N84" s="78"/>
      <c r="O84" s="78"/>
      <c r="P84" s="78"/>
      <c r="Q84" s="103"/>
      <c r="R84" s="103"/>
      <c r="S84" s="103"/>
      <c r="T84" s="103"/>
      <c r="U84" s="103"/>
      <c r="V84" s="103"/>
      <c r="W84" s="78"/>
      <c r="X84" s="78"/>
      <c r="Y84" s="79"/>
      <c r="Z84" s="79"/>
      <c r="AA84" s="78"/>
      <c r="AB84" s="78"/>
      <c r="AC84" s="78"/>
      <c r="AD84" s="78"/>
      <c r="AE84" s="78"/>
      <c r="AF84" s="78"/>
      <c r="AG84" s="78"/>
      <c r="AH84" s="78"/>
      <c r="AI84" s="78"/>
      <c r="AJ84" s="614"/>
      <c r="AK84" s="78"/>
      <c r="AL84" s="78"/>
      <c r="AM84" s="81"/>
      <c r="AN84" s="78"/>
      <c r="AO84" s="78"/>
      <c r="AP84" s="78"/>
      <c r="AQ84" s="78"/>
      <c r="AR84" s="78"/>
      <c r="AS84" s="78"/>
      <c r="AT84" s="78"/>
      <c r="AU84" s="78"/>
    </row>
    <row r="85" spans="1:47" ht="20.25" customHeight="1">
      <c r="A85" s="78"/>
      <c r="B85" s="78"/>
      <c r="C85" s="81"/>
      <c r="D85" s="78"/>
      <c r="E85" s="78"/>
      <c r="F85" s="78"/>
      <c r="G85" s="78"/>
      <c r="H85" s="78"/>
      <c r="I85" s="78"/>
      <c r="J85" s="78"/>
      <c r="K85" s="78"/>
      <c r="L85" s="78"/>
      <c r="M85" s="78"/>
      <c r="N85" s="78"/>
      <c r="O85" s="78"/>
      <c r="P85" s="78"/>
      <c r="Q85" s="103"/>
      <c r="R85" s="103"/>
      <c r="S85" s="103"/>
      <c r="T85" s="103"/>
      <c r="U85" s="103"/>
      <c r="V85" s="103"/>
      <c r="W85" s="78"/>
      <c r="X85" s="78"/>
      <c r="Y85" s="79"/>
      <c r="Z85" s="79"/>
      <c r="AA85" s="78"/>
      <c r="AB85" s="78"/>
      <c r="AC85" s="78"/>
      <c r="AD85" s="78"/>
      <c r="AE85" s="78"/>
      <c r="AF85" s="78"/>
      <c r="AG85" s="78"/>
      <c r="AH85" s="78"/>
      <c r="AI85" s="78"/>
      <c r="AJ85" s="614"/>
      <c r="AK85" s="78"/>
      <c r="AL85" s="78"/>
      <c r="AM85" s="81"/>
      <c r="AN85" s="78"/>
      <c r="AO85" s="78"/>
      <c r="AP85" s="78"/>
      <c r="AQ85" s="78"/>
      <c r="AR85" s="78"/>
      <c r="AS85" s="78"/>
      <c r="AT85" s="78"/>
      <c r="AU85" s="78"/>
    </row>
    <row r="86" spans="1:47" ht="20.25" customHeight="1">
      <c r="A86" s="78"/>
      <c r="B86" s="78"/>
      <c r="C86" s="81"/>
      <c r="D86" s="78"/>
      <c r="E86" s="78"/>
      <c r="F86" s="78"/>
      <c r="G86" s="78"/>
      <c r="H86" s="78"/>
      <c r="I86" s="78"/>
      <c r="J86" s="78"/>
      <c r="K86" s="78"/>
      <c r="L86" s="78"/>
      <c r="M86" s="78"/>
      <c r="N86" s="78"/>
      <c r="O86" s="78"/>
      <c r="P86" s="78"/>
      <c r="Q86" s="103"/>
      <c r="R86" s="103"/>
      <c r="S86" s="103"/>
      <c r="T86" s="103"/>
      <c r="U86" s="103"/>
      <c r="V86" s="103"/>
      <c r="W86" s="78"/>
      <c r="X86" s="78"/>
      <c r="Y86" s="79"/>
      <c r="Z86" s="79"/>
      <c r="AA86" s="78"/>
      <c r="AB86" s="78"/>
      <c r="AC86" s="78"/>
      <c r="AD86" s="78"/>
      <c r="AE86" s="78"/>
      <c r="AF86" s="78"/>
      <c r="AG86" s="78"/>
      <c r="AH86" s="78"/>
      <c r="AI86" s="78"/>
      <c r="AJ86" s="614"/>
      <c r="AK86" s="78"/>
      <c r="AL86" s="78"/>
      <c r="AM86" s="81"/>
      <c r="AN86" s="78"/>
      <c r="AO86" s="78"/>
      <c r="AP86" s="78"/>
      <c r="AQ86" s="78"/>
      <c r="AR86" s="78"/>
      <c r="AS86" s="78"/>
      <c r="AT86" s="78"/>
      <c r="AU86" s="78"/>
    </row>
    <row r="87" spans="1:47" ht="20.25" customHeight="1">
      <c r="A87" s="78"/>
      <c r="B87" s="78"/>
      <c r="C87" s="81"/>
      <c r="D87" s="78"/>
      <c r="E87" s="78"/>
      <c r="F87" s="78"/>
      <c r="G87" s="78"/>
      <c r="H87" s="78"/>
      <c r="I87" s="78"/>
      <c r="J87" s="78"/>
      <c r="K87" s="78"/>
      <c r="L87" s="78"/>
      <c r="M87" s="78"/>
      <c r="N87" s="78"/>
      <c r="O87" s="78"/>
      <c r="P87" s="78"/>
      <c r="Q87" s="103"/>
      <c r="R87" s="103"/>
      <c r="S87" s="103"/>
      <c r="T87" s="103"/>
      <c r="U87" s="103"/>
      <c r="V87" s="103"/>
      <c r="W87" s="78"/>
      <c r="X87" s="78"/>
      <c r="Y87" s="79"/>
      <c r="Z87" s="79"/>
      <c r="AA87" s="78"/>
      <c r="AB87" s="78"/>
      <c r="AC87" s="78"/>
      <c r="AD87" s="78"/>
      <c r="AE87" s="78"/>
      <c r="AF87" s="78"/>
      <c r="AG87" s="78"/>
      <c r="AH87" s="78"/>
      <c r="AI87" s="78"/>
      <c r="AJ87" s="614"/>
      <c r="AK87" s="78"/>
      <c r="AL87" s="78"/>
      <c r="AM87" s="81"/>
      <c r="AN87" s="78"/>
      <c r="AO87" s="78"/>
      <c r="AP87" s="78"/>
      <c r="AQ87" s="78"/>
      <c r="AR87" s="78"/>
      <c r="AS87" s="78"/>
      <c r="AT87" s="78"/>
      <c r="AU87" s="78"/>
    </row>
    <row r="88" spans="1:47" ht="20.25" customHeight="1">
      <c r="A88" s="78"/>
      <c r="B88" s="78"/>
      <c r="C88" s="81"/>
      <c r="D88" s="78"/>
      <c r="E88" s="78"/>
      <c r="F88" s="78"/>
      <c r="G88" s="78"/>
      <c r="H88" s="78"/>
      <c r="I88" s="78"/>
      <c r="J88" s="78"/>
      <c r="K88" s="78"/>
      <c r="L88" s="78"/>
      <c r="M88" s="78"/>
      <c r="N88" s="78"/>
      <c r="O88" s="78"/>
      <c r="P88" s="78"/>
      <c r="Q88" s="103"/>
      <c r="R88" s="103"/>
      <c r="S88" s="103"/>
      <c r="T88" s="103"/>
      <c r="U88" s="103"/>
      <c r="V88" s="103"/>
      <c r="W88" s="78"/>
      <c r="X88" s="78"/>
      <c r="Y88" s="79"/>
      <c r="Z88" s="79"/>
      <c r="AA88" s="78"/>
      <c r="AB88" s="78"/>
      <c r="AC88" s="78"/>
      <c r="AD88" s="78"/>
      <c r="AE88" s="78"/>
      <c r="AF88" s="78"/>
      <c r="AG88" s="78"/>
      <c r="AH88" s="78"/>
      <c r="AI88" s="78"/>
      <c r="AJ88" s="614"/>
      <c r="AK88" s="78"/>
      <c r="AL88" s="78"/>
      <c r="AM88" s="81"/>
      <c r="AN88" s="78"/>
      <c r="AO88" s="78"/>
      <c r="AP88" s="78"/>
      <c r="AQ88" s="78"/>
      <c r="AR88" s="78"/>
      <c r="AS88" s="78"/>
      <c r="AT88" s="78"/>
      <c r="AU88" s="78"/>
    </row>
    <row r="89" spans="1:47" ht="20.25" customHeight="1">
      <c r="A89" s="78"/>
      <c r="B89" s="78"/>
      <c r="C89" s="81"/>
      <c r="D89" s="78"/>
      <c r="E89" s="78"/>
      <c r="F89" s="78"/>
      <c r="G89" s="78"/>
      <c r="H89" s="78"/>
      <c r="I89" s="78"/>
      <c r="J89" s="78"/>
      <c r="K89" s="78"/>
      <c r="L89" s="78"/>
      <c r="M89" s="78"/>
      <c r="N89" s="78"/>
      <c r="O89" s="78"/>
      <c r="P89" s="78"/>
      <c r="Q89" s="103"/>
      <c r="R89" s="103"/>
      <c r="S89" s="103"/>
      <c r="T89" s="103"/>
      <c r="U89" s="103"/>
      <c r="V89" s="103"/>
      <c r="W89" s="78"/>
      <c r="X89" s="78"/>
      <c r="Y89" s="79"/>
      <c r="Z89" s="79"/>
      <c r="AA89" s="78"/>
      <c r="AB89" s="78"/>
      <c r="AC89" s="78"/>
      <c r="AD89" s="78"/>
      <c r="AE89" s="78"/>
      <c r="AF89" s="78"/>
      <c r="AG89" s="78"/>
      <c r="AH89" s="78"/>
      <c r="AI89" s="78"/>
      <c r="AJ89" s="614"/>
      <c r="AK89" s="78"/>
      <c r="AL89" s="78"/>
      <c r="AM89" s="81"/>
      <c r="AN89" s="78"/>
      <c r="AO89" s="78"/>
      <c r="AP89" s="78"/>
      <c r="AQ89" s="78"/>
      <c r="AR89" s="78"/>
      <c r="AS89" s="78"/>
      <c r="AT89" s="78"/>
      <c r="AU89" s="78"/>
    </row>
    <row r="90" spans="1:47" ht="20.25" customHeight="1">
      <c r="A90" s="78"/>
      <c r="B90" s="78"/>
      <c r="C90" s="81"/>
      <c r="D90" s="78"/>
      <c r="E90" s="78"/>
      <c r="F90" s="78"/>
      <c r="G90" s="78"/>
      <c r="H90" s="78"/>
      <c r="I90" s="78"/>
      <c r="J90" s="78"/>
      <c r="K90" s="78"/>
      <c r="L90" s="78"/>
      <c r="M90" s="78"/>
      <c r="N90" s="78"/>
      <c r="O90" s="78"/>
      <c r="P90" s="78"/>
      <c r="Q90" s="103"/>
      <c r="R90" s="103"/>
      <c r="S90" s="103"/>
      <c r="T90" s="103"/>
      <c r="U90" s="103"/>
      <c r="V90" s="103"/>
      <c r="W90" s="78"/>
      <c r="X90" s="78"/>
      <c r="Y90" s="79"/>
      <c r="Z90" s="79"/>
      <c r="AA90" s="78"/>
      <c r="AB90" s="78"/>
      <c r="AC90" s="78"/>
      <c r="AD90" s="78"/>
      <c r="AE90" s="78"/>
      <c r="AF90" s="78"/>
      <c r="AG90" s="78"/>
      <c r="AH90" s="78"/>
      <c r="AI90" s="78"/>
      <c r="AJ90" s="614"/>
      <c r="AK90" s="78"/>
      <c r="AL90" s="78"/>
      <c r="AM90" s="81"/>
      <c r="AN90" s="78"/>
      <c r="AO90" s="78"/>
      <c r="AP90" s="78"/>
      <c r="AQ90" s="78"/>
      <c r="AR90" s="78"/>
      <c r="AS90" s="78"/>
      <c r="AT90" s="78"/>
      <c r="AU90" s="78"/>
    </row>
    <row r="91" spans="1:47" ht="20.25" customHeight="1">
      <c r="A91" s="78"/>
      <c r="B91" s="78"/>
      <c r="C91" s="81"/>
      <c r="D91" s="78"/>
      <c r="E91" s="78"/>
      <c r="F91" s="78"/>
      <c r="G91" s="78"/>
      <c r="H91" s="78"/>
      <c r="I91" s="78"/>
      <c r="J91" s="78"/>
      <c r="K91" s="78"/>
      <c r="L91" s="78"/>
      <c r="M91" s="78"/>
      <c r="N91" s="78"/>
      <c r="O91" s="78"/>
      <c r="P91" s="78"/>
      <c r="Q91" s="103"/>
      <c r="R91" s="103"/>
      <c r="S91" s="103"/>
      <c r="T91" s="103"/>
      <c r="U91" s="103"/>
      <c r="V91" s="103"/>
      <c r="W91" s="78"/>
      <c r="X91" s="78"/>
      <c r="Y91" s="79"/>
      <c r="Z91" s="79"/>
      <c r="AA91" s="78"/>
      <c r="AB91" s="78"/>
      <c r="AC91" s="78"/>
      <c r="AD91" s="78"/>
      <c r="AE91" s="78"/>
      <c r="AF91" s="78"/>
      <c r="AG91" s="78"/>
      <c r="AH91" s="78"/>
      <c r="AI91" s="78"/>
      <c r="AJ91" s="614"/>
      <c r="AK91" s="78"/>
      <c r="AL91" s="78"/>
      <c r="AM91" s="81"/>
      <c r="AN91" s="78"/>
      <c r="AO91" s="78"/>
      <c r="AP91" s="78"/>
      <c r="AQ91" s="78"/>
      <c r="AR91" s="78"/>
      <c r="AS91" s="78"/>
      <c r="AT91" s="78"/>
      <c r="AU91" s="78"/>
    </row>
    <row r="92" spans="1:47" ht="20.25" customHeight="1">
      <c r="A92" s="78"/>
      <c r="B92" s="78"/>
      <c r="C92" s="81"/>
      <c r="D92" s="78"/>
      <c r="E92" s="78"/>
      <c r="F92" s="78"/>
      <c r="G92" s="78"/>
      <c r="H92" s="78"/>
      <c r="I92" s="78"/>
      <c r="J92" s="78"/>
      <c r="K92" s="78"/>
      <c r="L92" s="78"/>
      <c r="M92" s="78"/>
      <c r="N92" s="78"/>
      <c r="O92" s="78"/>
      <c r="P92" s="78"/>
      <c r="Q92" s="103"/>
      <c r="R92" s="103"/>
      <c r="S92" s="103"/>
      <c r="T92" s="103"/>
      <c r="U92" s="103"/>
      <c r="V92" s="103"/>
      <c r="W92" s="78"/>
      <c r="X92" s="78"/>
      <c r="Y92" s="79"/>
      <c r="Z92" s="79"/>
      <c r="AA92" s="78"/>
      <c r="AB92" s="78"/>
      <c r="AC92" s="78"/>
      <c r="AD92" s="78"/>
      <c r="AE92" s="78"/>
      <c r="AF92" s="78"/>
      <c r="AG92" s="78"/>
      <c r="AH92" s="78"/>
      <c r="AI92" s="78"/>
      <c r="AJ92" s="614"/>
      <c r="AK92" s="78"/>
      <c r="AL92" s="78"/>
      <c r="AM92" s="81"/>
      <c r="AN92" s="78"/>
      <c r="AO92" s="78"/>
      <c r="AP92" s="78"/>
      <c r="AQ92" s="78"/>
      <c r="AR92" s="78"/>
      <c r="AS92" s="78"/>
      <c r="AT92" s="78"/>
      <c r="AU92" s="78"/>
    </row>
    <row r="93" spans="1:47" ht="20.25" customHeight="1">
      <c r="A93" s="78"/>
      <c r="B93" s="78"/>
      <c r="C93" s="81"/>
      <c r="D93" s="78"/>
      <c r="E93" s="78"/>
      <c r="F93" s="78"/>
      <c r="G93" s="78"/>
      <c r="H93" s="78"/>
      <c r="I93" s="78"/>
      <c r="J93" s="78"/>
      <c r="K93" s="78"/>
      <c r="L93" s="78"/>
      <c r="M93" s="78"/>
      <c r="N93" s="78"/>
      <c r="O93" s="78"/>
      <c r="P93" s="78"/>
      <c r="Q93" s="103"/>
      <c r="R93" s="103"/>
      <c r="S93" s="103"/>
      <c r="T93" s="103"/>
      <c r="U93" s="103"/>
      <c r="V93" s="103"/>
      <c r="W93" s="78"/>
      <c r="X93" s="78"/>
      <c r="Y93" s="79"/>
      <c r="Z93" s="79"/>
      <c r="AA93" s="78"/>
      <c r="AB93" s="78"/>
      <c r="AC93" s="78"/>
      <c r="AD93" s="78"/>
      <c r="AE93" s="78"/>
      <c r="AF93" s="78"/>
      <c r="AG93" s="78"/>
      <c r="AH93" s="78"/>
      <c r="AI93" s="78"/>
      <c r="AJ93" s="614"/>
      <c r="AK93" s="78"/>
      <c r="AL93" s="78"/>
      <c r="AM93" s="81"/>
      <c r="AN93" s="78"/>
      <c r="AO93" s="78"/>
      <c r="AP93" s="78"/>
      <c r="AQ93" s="78"/>
      <c r="AR93" s="78"/>
      <c r="AS93" s="78"/>
      <c r="AT93" s="78"/>
      <c r="AU93" s="78"/>
    </row>
    <row r="94" spans="1:47" ht="20.25" customHeight="1">
      <c r="A94" s="78"/>
      <c r="B94" s="78"/>
      <c r="C94" s="81"/>
      <c r="D94" s="78"/>
      <c r="E94" s="78"/>
      <c r="F94" s="78"/>
      <c r="G94" s="78"/>
      <c r="H94" s="78"/>
      <c r="I94" s="78"/>
      <c r="J94" s="78"/>
      <c r="K94" s="78"/>
      <c r="L94" s="78"/>
      <c r="M94" s="78"/>
      <c r="N94" s="78"/>
      <c r="O94" s="78"/>
      <c r="P94" s="78"/>
      <c r="Q94" s="103"/>
      <c r="R94" s="103"/>
      <c r="S94" s="103"/>
      <c r="T94" s="103"/>
      <c r="U94" s="103"/>
      <c r="V94" s="103"/>
      <c r="W94" s="78"/>
      <c r="X94" s="78"/>
      <c r="Y94" s="79"/>
      <c r="Z94" s="79"/>
      <c r="AA94" s="78"/>
      <c r="AB94" s="78"/>
      <c r="AC94" s="78"/>
      <c r="AD94" s="78"/>
      <c r="AE94" s="78"/>
      <c r="AF94" s="78"/>
      <c r="AG94" s="78"/>
      <c r="AH94" s="78"/>
      <c r="AI94" s="78"/>
      <c r="AJ94" s="614"/>
      <c r="AK94" s="78"/>
      <c r="AL94" s="78"/>
      <c r="AM94" s="81"/>
      <c r="AN94" s="78"/>
      <c r="AO94" s="78"/>
      <c r="AP94" s="78"/>
      <c r="AQ94" s="78"/>
      <c r="AR94" s="78"/>
      <c r="AS94" s="78"/>
      <c r="AT94" s="78"/>
      <c r="AU94" s="78"/>
    </row>
    <row r="95" spans="1:47" ht="20.25" customHeight="1">
      <c r="A95" s="78"/>
      <c r="B95" s="78"/>
      <c r="C95" s="81"/>
      <c r="D95" s="78"/>
      <c r="E95" s="78"/>
      <c r="F95" s="78"/>
      <c r="G95" s="78"/>
      <c r="H95" s="78"/>
      <c r="I95" s="78"/>
      <c r="J95" s="78"/>
      <c r="K95" s="78"/>
      <c r="L95" s="78"/>
      <c r="M95" s="78"/>
      <c r="N95" s="78"/>
      <c r="O95" s="78"/>
      <c r="P95" s="78"/>
      <c r="Q95" s="103"/>
      <c r="R95" s="103"/>
      <c r="S95" s="103"/>
      <c r="T95" s="103"/>
      <c r="U95" s="103"/>
      <c r="V95" s="103"/>
      <c r="W95" s="78"/>
      <c r="X95" s="78"/>
      <c r="Y95" s="79"/>
      <c r="Z95" s="79"/>
      <c r="AA95" s="78"/>
      <c r="AB95" s="78"/>
      <c r="AC95" s="78"/>
      <c r="AD95" s="78"/>
      <c r="AE95" s="78"/>
      <c r="AF95" s="78"/>
      <c r="AG95" s="78"/>
      <c r="AH95" s="78"/>
      <c r="AI95" s="78"/>
      <c r="AJ95" s="614"/>
      <c r="AK95" s="78"/>
      <c r="AL95" s="78"/>
      <c r="AM95" s="81"/>
      <c r="AN95" s="78"/>
      <c r="AO95" s="78"/>
      <c r="AP95" s="78"/>
      <c r="AQ95" s="78"/>
      <c r="AR95" s="78"/>
      <c r="AS95" s="78"/>
      <c r="AT95" s="78"/>
      <c r="AU95" s="78"/>
    </row>
    <row r="96" spans="1:47" ht="20.25" customHeight="1">
      <c r="A96" s="78"/>
      <c r="B96" s="78"/>
      <c r="C96" s="81"/>
      <c r="D96" s="78"/>
      <c r="E96" s="78"/>
      <c r="F96" s="78"/>
      <c r="G96" s="78"/>
      <c r="H96" s="78"/>
      <c r="I96" s="78"/>
      <c r="J96" s="78"/>
      <c r="K96" s="78"/>
      <c r="L96" s="78"/>
      <c r="M96" s="78"/>
      <c r="N96" s="78"/>
      <c r="O96" s="78"/>
      <c r="P96" s="78"/>
      <c r="Q96" s="103"/>
      <c r="R96" s="103"/>
      <c r="S96" s="103"/>
      <c r="T96" s="103"/>
      <c r="U96" s="103"/>
      <c r="V96" s="103"/>
      <c r="W96" s="78"/>
      <c r="X96" s="78"/>
      <c r="Y96" s="79"/>
      <c r="Z96" s="79"/>
      <c r="AA96" s="78"/>
      <c r="AB96" s="78"/>
      <c r="AC96" s="78"/>
      <c r="AD96" s="78"/>
      <c r="AE96" s="78"/>
      <c r="AF96" s="78"/>
      <c r="AG96" s="78"/>
      <c r="AH96" s="78"/>
      <c r="AI96" s="78"/>
      <c r="AJ96" s="614"/>
      <c r="AK96" s="78"/>
      <c r="AL96" s="78"/>
      <c r="AM96" s="81"/>
      <c r="AN96" s="78"/>
      <c r="AO96" s="78"/>
      <c r="AP96" s="78"/>
      <c r="AQ96" s="78"/>
      <c r="AR96" s="78"/>
      <c r="AS96" s="78"/>
      <c r="AT96" s="78"/>
      <c r="AU96" s="78"/>
    </row>
    <row r="97" spans="1:47" ht="20.25" customHeight="1">
      <c r="A97" s="78"/>
      <c r="B97" s="78"/>
      <c r="C97" s="81"/>
      <c r="D97" s="78"/>
      <c r="E97" s="78"/>
      <c r="F97" s="78"/>
      <c r="G97" s="78"/>
      <c r="H97" s="78"/>
      <c r="I97" s="78"/>
      <c r="J97" s="78"/>
      <c r="K97" s="78"/>
      <c r="L97" s="78"/>
      <c r="M97" s="78"/>
      <c r="N97" s="78"/>
      <c r="O97" s="78"/>
      <c r="P97" s="78"/>
      <c r="Q97" s="103"/>
      <c r="R97" s="103"/>
      <c r="S97" s="103"/>
      <c r="T97" s="103"/>
      <c r="U97" s="103"/>
      <c r="V97" s="103"/>
      <c r="W97" s="78"/>
      <c r="X97" s="78"/>
      <c r="Y97" s="79"/>
      <c r="Z97" s="79"/>
      <c r="AA97" s="78"/>
      <c r="AB97" s="78"/>
      <c r="AC97" s="78"/>
      <c r="AD97" s="78"/>
      <c r="AE97" s="78"/>
      <c r="AF97" s="78"/>
      <c r="AG97" s="78"/>
      <c r="AH97" s="78"/>
      <c r="AI97" s="78"/>
      <c r="AJ97" s="614"/>
      <c r="AK97" s="78"/>
      <c r="AL97" s="78"/>
      <c r="AM97" s="81"/>
      <c r="AN97" s="78"/>
      <c r="AO97" s="78"/>
      <c r="AP97" s="78"/>
      <c r="AQ97" s="78"/>
      <c r="AR97" s="78"/>
      <c r="AS97" s="78"/>
      <c r="AT97" s="78"/>
      <c r="AU97" s="78"/>
    </row>
    <row r="98" spans="1:47" ht="20.25" customHeight="1">
      <c r="A98" s="78"/>
      <c r="B98" s="78"/>
      <c r="C98" s="81"/>
      <c r="D98" s="78"/>
      <c r="E98" s="78"/>
      <c r="F98" s="78"/>
      <c r="G98" s="78"/>
      <c r="H98" s="78"/>
      <c r="I98" s="78"/>
      <c r="J98" s="78"/>
      <c r="K98" s="78"/>
      <c r="L98" s="78"/>
      <c r="M98" s="78"/>
      <c r="N98" s="78"/>
      <c r="O98" s="78"/>
      <c r="P98" s="78"/>
      <c r="Q98" s="103"/>
      <c r="R98" s="103"/>
      <c r="S98" s="103"/>
      <c r="T98" s="103"/>
      <c r="U98" s="103"/>
      <c r="V98" s="103"/>
      <c r="W98" s="78"/>
      <c r="X98" s="78"/>
      <c r="Y98" s="79"/>
      <c r="Z98" s="79"/>
      <c r="AA98" s="78"/>
      <c r="AB98" s="78"/>
      <c r="AC98" s="78"/>
      <c r="AD98" s="78"/>
      <c r="AE98" s="78"/>
      <c r="AF98" s="78"/>
      <c r="AG98" s="78"/>
      <c r="AH98" s="78"/>
      <c r="AI98" s="78"/>
      <c r="AJ98" s="614"/>
      <c r="AK98" s="78"/>
      <c r="AL98" s="78"/>
      <c r="AM98" s="81"/>
      <c r="AN98" s="78"/>
      <c r="AO98" s="78"/>
      <c r="AP98" s="78"/>
      <c r="AQ98" s="78"/>
      <c r="AR98" s="78"/>
      <c r="AS98" s="78"/>
      <c r="AT98" s="78"/>
      <c r="AU98" s="78"/>
    </row>
  </sheetData>
  <autoFilter ref="AG4:AH22" xr:uid="{00000000-0009-0000-0000-000005000000}"/>
  <mergeCells count="21">
    <mergeCell ref="A1:AM1"/>
    <mergeCell ref="A2:AM2"/>
    <mergeCell ref="D3:Q3"/>
    <mergeCell ref="R3:U3"/>
    <mergeCell ref="AB3:AI3"/>
    <mergeCell ref="AK3:AL3"/>
    <mergeCell ref="A3:A4"/>
    <mergeCell ref="B3:B4"/>
    <mergeCell ref="V3:V4"/>
    <mergeCell ref="W3:W4"/>
    <mergeCell ref="X3:X4"/>
    <mergeCell ref="Y3:Y4"/>
    <mergeCell ref="Z3:Z4"/>
    <mergeCell ref="AA3:AA4"/>
    <mergeCell ref="AJ3:AJ4"/>
    <mergeCell ref="A7:Q7"/>
    <mergeCell ref="A9:B9"/>
    <mergeCell ref="U9:Y9"/>
    <mergeCell ref="AM3:AM4"/>
    <mergeCell ref="AK9:AM9"/>
    <mergeCell ref="C3:C4"/>
  </mergeCells>
  <conditionalFormatting sqref="J5:J6">
    <cfRule type="cellIs" dxfId="22" priority="4" stopIfTrue="1" operator="equal">
      <formula>"ER"</formula>
    </cfRule>
  </conditionalFormatting>
  <printOptions horizontalCentered="1"/>
  <pageMargins left="0" right="0" top="0.23622047244094499" bottom="0" header="0" footer="0"/>
  <pageSetup paperSize="9" scale="30" fitToHeight="0" orientation="landscape"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85623"/>
    <pageSetUpPr fitToPage="1"/>
  </sheetPr>
  <dimension ref="A1:AU86"/>
  <sheetViews>
    <sheetView zoomScale="40" zoomScaleNormal="40" workbookViewId="0">
      <pane xSplit="2" ySplit="4" topLeftCell="C5" activePane="bottomRight" state="frozen"/>
      <selection pane="topRight" activeCell="C1" sqref="C1"/>
      <selection pane="bottomLeft" activeCell="A5" sqref="A5"/>
      <selection pane="bottomRight" activeCell="A20" sqref="A7:XFD20"/>
    </sheetView>
  </sheetViews>
  <sheetFormatPr defaultColWidth="16.81640625" defaultRowHeight="15" customHeight="1" outlineLevelCol="1"/>
  <cols>
    <col min="1" max="1" width="5.1796875" customWidth="1"/>
    <col min="2" max="2" width="29" customWidth="1"/>
    <col min="3" max="3" width="16.81640625" customWidth="1"/>
    <col min="4" max="4" width="5.81640625" customWidth="1" outlineLevel="1"/>
    <col min="5" max="5" width="4" customWidth="1" outlineLevel="1"/>
    <col min="6" max="7" width="6.81640625" customWidth="1" outlineLevel="1"/>
    <col min="8" max="8" width="4" customWidth="1" outlineLevel="1"/>
    <col min="9" max="9" width="6.81640625" customWidth="1" outlineLevel="1"/>
    <col min="10" max="10" width="4" customWidth="1" outlineLevel="1"/>
    <col min="11" max="11" width="8.7265625" customWidth="1" outlineLevel="1"/>
    <col min="12" max="13" width="6.81640625" customWidth="1" outlineLevel="1"/>
    <col min="14" max="14" width="4" customWidth="1" outlineLevel="1"/>
    <col min="15" max="15" width="5.1796875" customWidth="1" outlineLevel="1"/>
    <col min="16" max="16" width="8.7265625" customWidth="1" outlineLevel="1"/>
    <col min="17" max="17" width="7.26953125" customWidth="1" outlineLevel="1"/>
    <col min="18" max="18" width="16.7265625" style="355" hidden="1" customWidth="1" outlineLevel="1"/>
    <col min="19" max="20" width="15.26953125" style="355" hidden="1" customWidth="1" outlineLevel="1"/>
    <col min="21" max="21" width="20" style="355" hidden="1" customWidth="1" outlineLevel="1"/>
    <col min="22" max="22" width="18.26953125" customWidth="1" outlineLevel="1"/>
    <col min="23" max="23" width="18" customWidth="1" outlineLevel="1"/>
    <col min="24" max="24" width="17.453125" customWidth="1" outlineLevel="1"/>
    <col min="25" max="25" width="18.26953125" customWidth="1" outlineLevel="1"/>
    <col min="26" max="26" width="16.26953125" customWidth="1" outlineLevel="1"/>
    <col min="27" max="27" width="18" customWidth="1" outlineLevel="1"/>
    <col min="28" max="28" width="15" customWidth="1" outlineLevel="1"/>
    <col min="29" max="30" width="10.81640625" hidden="1" customWidth="1" outlineLevel="1"/>
    <col min="31" max="31" width="15.7265625" customWidth="1" outlineLevel="1"/>
    <col min="32" max="32" width="16.81640625" customWidth="1" outlineLevel="1"/>
    <col min="33" max="33" width="14.1796875" customWidth="1" outlineLevel="1"/>
    <col min="34" max="34" width="16.453125" customWidth="1" outlineLevel="1"/>
    <col min="35" max="35" width="14.453125" customWidth="1" outlineLevel="1"/>
    <col min="36" max="36" width="19.1796875" customWidth="1"/>
    <col min="37" max="37" width="12.453125" hidden="1" customWidth="1"/>
    <col min="38" max="38" width="13" hidden="1" customWidth="1"/>
    <col min="39" max="39" width="33.81640625" customWidth="1"/>
    <col min="40" max="40" width="48.81640625" customWidth="1"/>
    <col min="41" max="45" width="11" customWidth="1"/>
    <col min="46" max="46" width="35.453125" customWidth="1"/>
    <col min="47" max="47" width="20.26953125" customWidth="1"/>
  </cols>
  <sheetData>
    <row r="1" spans="1:47" ht="20.25" customHeight="1">
      <c r="A1" s="725" t="s">
        <v>0</v>
      </c>
      <c r="B1" s="634"/>
      <c r="C1" s="634"/>
      <c r="D1" s="634"/>
      <c r="E1" s="634"/>
      <c r="F1" s="634"/>
      <c r="G1" s="634"/>
      <c r="H1" s="634"/>
      <c r="I1" s="634"/>
      <c r="J1" s="634"/>
      <c r="K1" s="634"/>
      <c r="L1" s="634"/>
      <c r="M1" s="634"/>
      <c r="N1" s="634"/>
      <c r="O1" s="634"/>
      <c r="P1" s="634"/>
      <c r="Q1" s="634"/>
      <c r="R1" s="634"/>
      <c r="S1" s="634"/>
      <c r="T1" s="634"/>
      <c r="U1" s="634"/>
      <c r="V1" s="634"/>
      <c r="W1" s="634"/>
      <c r="X1" s="634"/>
      <c r="Y1" s="634"/>
      <c r="Z1" s="634"/>
      <c r="AA1" s="634"/>
      <c r="AB1" s="634"/>
      <c r="AC1" s="634"/>
      <c r="AD1" s="634"/>
      <c r="AE1" s="634"/>
      <c r="AF1" s="634"/>
      <c r="AG1" s="634"/>
      <c r="AH1" s="634"/>
      <c r="AI1" s="634"/>
      <c r="AJ1" s="634"/>
      <c r="AK1" s="634"/>
      <c r="AL1" s="634"/>
      <c r="AM1" s="635"/>
      <c r="AN1" s="79"/>
      <c r="AO1" s="78"/>
      <c r="AP1" s="78"/>
      <c r="AQ1" s="78"/>
      <c r="AR1" s="78"/>
      <c r="AS1" s="78"/>
      <c r="AT1" s="78"/>
      <c r="AU1" s="79"/>
    </row>
    <row r="2" spans="1:47" ht="20.25" customHeight="1">
      <c r="A2" s="726" t="s">
        <v>573</v>
      </c>
      <c r="B2" s="637"/>
      <c r="C2" s="637"/>
      <c r="D2" s="637"/>
      <c r="E2" s="637"/>
      <c r="F2" s="637"/>
      <c r="G2" s="637"/>
      <c r="H2" s="637"/>
      <c r="I2" s="637"/>
      <c r="J2" s="637"/>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8"/>
      <c r="AN2" s="79"/>
      <c r="AO2" s="78"/>
      <c r="AP2" s="78"/>
      <c r="AQ2" s="78"/>
      <c r="AR2" s="78"/>
      <c r="AS2" s="78"/>
      <c r="AT2" s="78"/>
      <c r="AU2" s="79"/>
    </row>
    <row r="3" spans="1:47" ht="92.5">
      <c r="A3" s="34" t="s">
        <v>39</v>
      </c>
      <c r="B3" s="35" t="s">
        <v>40</v>
      </c>
      <c r="C3" s="35" t="s">
        <v>41</v>
      </c>
      <c r="D3" s="690" t="s">
        <v>42</v>
      </c>
      <c r="E3" s="637"/>
      <c r="F3" s="637"/>
      <c r="G3" s="637"/>
      <c r="H3" s="637"/>
      <c r="I3" s="637"/>
      <c r="J3" s="637"/>
      <c r="K3" s="637"/>
      <c r="L3" s="637"/>
      <c r="M3" s="637"/>
      <c r="N3" s="637"/>
      <c r="O3" s="637"/>
      <c r="P3" s="637"/>
      <c r="Q3" s="628"/>
      <c r="R3" s="691" t="s">
        <v>43</v>
      </c>
      <c r="S3" s="692"/>
      <c r="T3" s="692"/>
      <c r="U3" s="693"/>
      <c r="V3" s="35" t="s">
        <v>44</v>
      </c>
      <c r="W3" s="35" t="s">
        <v>45</v>
      </c>
      <c r="X3" s="35" t="s">
        <v>46</v>
      </c>
      <c r="Y3" s="36" t="s">
        <v>47</v>
      </c>
      <c r="Z3" s="36" t="s">
        <v>48</v>
      </c>
      <c r="AA3" s="37" t="s">
        <v>550</v>
      </c>
      <c r="AB3" s="690" t="s">
        <v>6</v>
      </c>
      <c r="AC3" s="637"/>
      <c r="AD3" s="637"/>
      <c r="AE3" s="637"/>
      <c r="AF3" s="637"/>
      <c r="AG3" s="637"/>
      <c r="AH3" s="637"/>
      <c r="AI3" s="628"/>
      <c r="AJ3" s="38" t="s">
        <v>50</v>
      </c>
      <c r="AK3" s="690" t="s">
        <v>51</v>
      </c>
      <c r="AL3" s="628"/>
      <c r="AM3" s="39" t="s">
        <v>52</v>
      </c>
      <c r="AN3" s="82"/>
      <c r="AO3" s="81"/>
      <c r="AP3" s="81"/>
      <c r="AQ3" s="81"/>
      <c r="AR3" s="81"/>
      <c r="AS3" s="81"/>
      <c r="AT3" s="81"/>
      <c r="AU3" s="82"/>
    </row>
    <row r="4" spans="1:47" ht="174.75" customHeight="1">
      <c r="A4" s="34"/>
      <c r="B4" s="35"/>
      <c r="C4" s="35"/>
      <c r="D4" s="41" t="s">
        <v>53</v>
      </c>
      <c r="E4" s="42" t="s">
        <v>54</v>
      </c>
      <c r="F4" s="43" t="s">
        <v>55</v>
      </c>
      <c r="G4" s="43" t="s">
        <v>56</v>
      </c>
      <c r="H4" s="42" t="s">
        <v>57</v>
      </c>
      <c r="I4" s="43" t="s">
        <v>58</v>
      </c>
      <c r="J4" s="43" t="s">
        <v>59</v>
      </c>
      <c r="K4" s="41" t="s">
        <v>60</v>
      </c>
      <c r="L4" s="42" t="s">
        <v>61</v>
      </c>
      <c r="M4" s="41" t="s">
        <v>62</v>
      </c>
      <c r="N4" s="41" t="s">
        <v>63</v>
      </c>
      <c r="O4" s="41" t="s">
        <v>64</v>
      </c>
      <c r="P4" s="43" t="s">
        <v>65</v>
      </c>
      <c r="Q4" s="44" t="s">
        <v>66</v>
      </c>
      <c r="R4" s="547" t="s">
        <v>67</v>
      </c>
      <c r="S4" s="547" t="s">
        <v>68</v>
      </c>
      <c r="T4" s="548" t="s">
        <v>69</v>
      </c>
      <c r="U4" s="549" t="s">
        <v>70</v>
      </c>
      <c r="V4" s="35"/>
      <c r="W4" s="35"/>
      <c r="X4" s="35"/>
      <c r="Y4" s="36"/>
      <c r="Z4" s="36"/>
      <c r="AA4" s="37"/>
      <c r="AB4" s="37" t="s">
        <v>71</v>
      </c>
      <c r="AC4" s="35" t="s">
        <v>72</v>
      </c>
      <c r="AD4" s="37" t="s">
        <v>11</v>
      </c>
      <c r="AE4" s="37" t="s">
        <v>12</v>
      </c>
      <c r="AF4" s="35" t="s">
        <v>161</v>
      </c>
      <c r="AG4" s="37" t="s">
        <v>74</v>
      </c>
      <c r="AH4" s="37" t="s">
        <v>75</v>
      </c>
      <c r="AI4" s="37" t="s">
        <v>32</v>
      </c>
      <c r="AJ4" s="38"/>
      <c r="AK4" s="37" t="s">
        <v>76</v>
      </c>
      <c r="AL4" s="37" t="s">
        <v>77</v>
      </c>
      <c r="AM4" s="39"/>
      <c r="AN4" s="85"/>
      <c r="AO4" s="84"/>
      <c r="AP4" s="84"/>
      <c r="AQ4" s="84"/>
      <c r="AR4" s="84"/>
      <c r="AS4" s="84"/>
      <c r="AT4" s="84"/>
      <c r="AU4" s="85"/>
    </row>
    <row r="5" spans="1:47" s="355" customFormat="1" ht="63.5" customHeight="1">
      <c r="A5" s="392">
        <v>1</v>
      </c>
      <c r="B5" s="361" t="s">
        <v>162</v>
      </c>
      <c r="C5" s="361" t="s">
        <v>158</v>
      </c>
      <c r="D5" s="361">
        <v>30</v>
      </c>
      <c r="E5" s="450">
        <v>0</v>
      </c>
      <c r="F5" s="363">
        <f t="shared" ref="F5:F6" si="0">IF((E5/3)&gt;=1,TRUNC(E5/3,0),0)</f>
        <v>0</v>
      </c>
      <c r="G5" s="363">
        <f t="shared" ref="G5:G6" si="1">E5-F5*3</f>
        <v>0</v>
      </c>
      <c r="H5" s="450">
        <v>0</v>
      </c>
      <c r="I5" s="363">
        <f>IF(H5&lt;2,H5,H5-2)</f>
        <v>0</v>
      </c>
      <c r="J5" s="363">
        <f t="shared" ref="J5:J6" si="2">H5-I5</f>
        <v>0</v>
      </c>
      <c r="K5" s="363">
        <v>0</v>
      </c>
      <c r="L5" s="455">
        <v>1.5</v>
      </c>
      <c r="M5" s="363">
        <v>0</v>
      </c>
      <c r="N5" s="363">
        <v>0</v>
      </c>
      <c r="O5" s="363">
        <v>0</v>
      </c>
      <c r="P5" s="393">
        <f>L5+M5+N5+O5</f>
        <v>1.5</v>
      </c>
      <c r="Q5" s="366">
        <f t="shared" ref="Q5:Q6" si="3">(F5*0.5)+(I5*0.5)+M5+(N5*2)</f>
        <v>0</v>
      </c>
      <c r="R5" s="364"/>
      <c r="S5" s="364"/>
      <c r="T5" s="364"/>
      <c r="U5" s="364">
        <f t="shared" ref="U5:U6" si="4">R5-(S5+T5)</f>
        <v>0</v>
      </c>
      <c r="V5" s="364">
        <v>23500</v>
      </c>
      <c r="W5" s="364">
        <f t="shared" ref="W5:W6" si="5">V5</f>
        <v>23500</v>
      </c>
      <c r="X5" s="364">
        <v>0</v>
      </c>
      <c r="Y5" s="364">
        <f t="shared" ref="Y5:Y6" si="6">(W5+X5)-AB5</f>
        <v>23500</v>
      </c>
      <c r="Z5" s="364">
        <f t="shared" ref="Z5:Z6" si="7">(W5+X5)/D5</f>
        <v>783.33333333333337</v>
      </c>
      <c r="AA5" s="364">
        <f t="shared" ref="AA5:AA6" si="8">W5*45%</f>
        <v>10575</v>
      </c>
      <c r="AB5" s="362">
        <f t="shared" ref="AB5:AB6" si="9">Q5*Z5</f>
        <v>0</v>
      </c>
      <c r="AC5" s="362"/>
      <c r="AD5" s="362">
        <f t="shared" ref="AD5:AD6" si="10">(AC5)*Z5</f>
        <v>0</v>
      </c>
      <c r="AE5" s="364">
        <f t="shared" ref="AE5:AE6" si="11">T5</f>
        <v>0</v>
      </c>
      <c r="AF5" s="367"/>
      <c r="AG5" s="362">
        <f>ROUNDUP(AA5*12%,0)</f>
        <v>1269</v>
      </c>
      <c r="AH5" s="362">
        <v>0</v>
      </c>
      <c r="AI5" s="362">
        <f t="shared" ref="AI5:AI6" si="12">SUM(AB5,AD5:AH5)</f>
        <v>1269</v>
      </c>
      <c r="AJ5" s="362">
        <f t="shared" ref="AJ5:AJ6" si="13">ROUND(SUM(W5:X5)-AI5,0)</f>
        <v>22231</v>
      </c>
      <c r="AK5" s="362">
        <f>ROUNDUP(AA5*13.01%,0)</f>
        <v>1376</v>
      </c>
      <c r="AL5" s="362">
        <v>0</v>
      </c>
      <c r="AM5" s="394"/>
      <c r="AN5" s="359" t="s">
        <v>163</v>
      </c>
      <c r="AO5" s="395"/>
      <c r="AP5" s="395"/>
      <c r="AQ5" s="395"/>
      <c r="AR5" s="395"/>
      <c r="AS5" s="395"/>
      <c r="AT5" s="395"/>
      <c r="AU5" s="396"/>
    </row>
    <row r="6" spans="1:47" s="355" customFormat="1" ht="63.5" customHeight="1">
      <c r="A6" s="392">
        <v>2</v>
      </c>
      <c r="B6" s="361" t="s">
        <v>164</v>
      </c>
      <c r="C6" s="361" t="s">
        <v>158</v>
      </c>
      <c r="D6" s="361">
        <v>30</v>
      </c>
      <c r="E6" s="450">
        <v>0</v>
      </c>
      <c r="F6" s="363">
        <f t="shared" si="0"/>
        <v>0</v>
      </c>
      <c r="G6" s="363">
        <f t="shared" si="1"/>
        <v>0</v>
      </c>
      <c r="H6" s="450">
        <v>0</v>
      </c>
      <c r="I6" s="363">
        <f>IF(H6&lt;1,H6,H6-1)</f>
        <v>0</v>
      </c>
      <c r="J6" s="363">
        <f t="shared" si="2"/>
        <v>0</v>
      </c>
      <c r="K6" s="363">
        <v>0</v>
      </c>
      <c r="L6" s="455">
        <v>2</v>
      </c>
      <c r="M6" s="363">
        <v>0</v>
      </c>
      <c r="N6" s="363">
        <v>0</v>
      </c>
      <c r="O6" s="363">
        <v>0</v>
      </c>
      <c r="P6" s="393">
        <f>L6+M6+N6+O6</f>
        <v>2</v>
      </c>
      <c r="Q6" s="366">
        <f t="shared" si="3"/>
        <v>0</v>
      </c>
      <c r="R6" s="364"/>
      <c r="S6" s="364"/>
      <c r="T6" s="364"/>
      <c r="U6" s="364">
        <f t="shared" si="4"/>
        <v>0</v>
      </c>
      <c r="V6" s="364">
        <v>22900</v>
      </c>
      <c r="W6" s="364">
        <f t="shared" si="5"/>
        <v>22900</v>
      </c>
      <c r="X6" s="364"/>
      <c r="Y6" s="364">
        <f t="shared" si="6"/>
        <v>22900</v>
      </c>
      <c r="Z6" s="364">
        <f t="shared" si="7"/>
        <v>763.33333333333337</v>
      </c>
      <c r="AA6" s="364">
        <f t="shared" si="8"/>
        <v>10305</v>
      </c>
      <c r="AB6" s="362">
        <f t="shared" si="9"/>
        <v>0</v>
      </c>
      <c r="AC6" s="362"/>
      <c r="AD6" s="362">
        <f t="shared" si="10"/>
        <v>0</v>
      </c>
      <c r="AE6" s="364">
        <f t="shared" si="11"/>
        <v>0</v>
      </c>
      <c r="AF6" s="365">
        <v>2500</v>
      </c>
      <c r="AG6" s="362">
        <f>ROUNDUP(AA6*12%,0)</f>
        <v>1237</v>
      </c>
      <c r="AH6" s="362">
        <f>ROUNDUP((Y6+X6)*0.75%,0)</f>
        <v>172</v>
      </c>
      <c r="AI6" s="362">
        <f t="shared" si="12"/>
        <v>3909</v>
      </c>
      <c r="AJ6" s="362">
        <f t="shared" si="13"/>
        <v>18991</v>
      </c>
      <c r="AK6" s="362">
        <f>ROUNDUP(AA6*13.01%,0)</f>
        <v>1341</v>
      </c>
      <c r="AL6" s="362">
        <f>ROUNDUP((Y6+X6)*3.25%,0)</f>
        <v>745</v>
      </c>
      <c r="AM6" s="456" t="s">
        <v>596</v>
      </c>
      <c r="AN6" s="359" t="s">
        <v>165</v>
      </c>
      <c r="AO6" s="395"/>
      <c r="AP6" s="395"/>
      <c r="AQ6" s="395"/>
      <c r="AR6" s="395"/>
      <c r="AS6" s="395"/>
      <c r="AT6" s="395"/>
      <c r="AU6" s="396"/>
    </row>
    <row r="7" spans="1:47" s="355" customFormat="1" ht="51" customHeight="1">
      <c r="A7" s="727" t="s">
        <v>123</v>
      </c>
      <c r="B7" s="692"/>
      <c r="C7" s="692"/>
      <c r="D7" s="692"/>
      <c r="E7" s="692"/>
      <c r="F7" s="692"/>
      <c r="G7" s="692"/>
      <c r="H7" s="692"/>
      <c r="I7" s="692"/>
      <c r="J7" s="692"/>
      <c r="K7" s="692"/>
      <c r="L7" s="692"/>
      <c r="M7" s="692"/>
      <c r="N7" s="692"/>
      <c r="O7" s="692"/>
      <c r="P7" s="692"/>
      <c r="Q7" s="693"/>
      <c r="R7" s="368">
        <f>SUM(R5:R6)</f>
        <v>0</v>
      </c>
      <c r="S7" s="368">
        <f>SUM(S5:S6)</f>
        <v>0</v>
      </c>
      <c r="T7" s="368">
        <f>SUM(T5:T6)</f>
        <v>0</v>
      </c>
      <c r="U7" s="368">
        <f>SUM(U5:U6)</f>
        <v>0</v>
      </c>
      <c r="V7" s="368">
        <f>SUM(V5:V6)</f>
        <v>46400</v>
      </c>
      <c r="W7" s="368">
        <f>SUM(W5:W6)</f>
        <v>46400</v>
      </c>
      <c r="X7" s="368">
        <f>SUM(X5:X6)</f>
        <v>0</v>
      </c>
      <c r="Y7" s="368">
        <f>SUM(Y5:Y6)</f>
        <v>46400</v>
      </c>
      <c r="Z7" s="368">
        <f>SUM(Z5:Z6)</f>
        <v>1546.6666666666667</v>
      </c>
      <c r="AA7" s="368">
        <f>SUM(AA5:AA6)</f>
        <v>20880</v>
      </c>
      <c r="AB7" s="368">
        <f>SUM(AB5:AB6)</f>
        <v>0</v>
      </c>
      <c r="AC7" s="368">
        <f>SUM(AC5:AC6)</f>
        <v>0</v>
      </c>
      <c r="AD7" s="368">
        <f>SUM(AD5:AD6)</f>
        <v>0</v>
      </c>
      <c r="AE7" s="368">
        <f>SUM(AE5:AE6)</f>
        <v>0</v>
      </c>
      <c r="AF7" s="368">
        <f>SUM(AF5:AF6)</f>
        <v>2500</v>
      </c>
      <c r="AG7" s="368">
        <f>SUM(AG5:AG6)</f>
        <v>2506</v>
      </c>
      <c r="AH7" s="368">
        <f>SUM(AH5:AH6)</f>
        <v>172</v>
      </c>
      <c r="AI7" s="368">
        <f>SUM(AI5:AI6)</f>
        <v>5178</v>
      </c>
      <c r="AJ7" s="368">
        <f>SUM(AJ5:AJ6)</f>
        <v>41222</v>
      </c>
      <c r="AK7" s="368">
        <f>SUM(AK5:AK6)</f>
        <v>2717</v>
      </c>
      <c r="AL7" s="368">
        <f>SUM(AL5:AL6)</f>
        <v>745</v>
      </c>
      <c r="AM7" s="369"/>
      <c r="AN7" s="396"/>
      <c r="AO7" s="395"/>
      <c r="AP7" s="395"/>
      <c r="AQ7" s="395"/>
      <c r="AR7" s="395"/>
      <c r="AS7" s="395"/>
      <c r="AT7" s="395"/>
      <c r="AU7" s="396"/>
    </row>
    <row r="8" spans="1:47" s="355" customFormat="1" ht="102.75" customHeight="1">
      <c r="A8" s="728" t="s">
        <v>34</v>
      </c>
      <c r="B8" s="729"/>
      <c r="C8" s="397"/>
      <c r="D8" s="397"/>
      <c r="E8" s="397"/>
      <c r="F8" s="397"/>
      <c r="G8" s="397"/>
      <c r="H8" s="397"/>
      <c r="I8" s="397"/>
      <c r="J8" s="397"/>
      <c r="K8" s="397"/>
      <c r="L8" s="397"/>
      <c r="M8" s="397"/>
      <c r="N8" s="397"/>
      <c r="O8" s="397"/>
      <c r="P8" s="397"/>
      <c r="Q8" s="397"/>
      <c r="R8" s="397"/>
      <c r="S8" s="397"/>
      <c r="T8" s="397"/>
      <c r="U8" s="723" t="s">
        <v>35</v>
      </c>
      <c r="V8" s="730"/>
      <c r="W8" s="730"/>
      <c r="X8" s="730"/>
      <c r="Y8" s="730"/>
      <c r="Z8" s="729"/>
      <c r="AA8" s="397"/>
      <c r="AB8" s="397"/>
      <c r="AC8" s="397"/>
      <c r="AD8" s="397"/>
      <c r="AE8" s="397"/>
      <c r="AF8" s="397"/>
      <c r="AG8" s="397"/>
      <c r="AH8" s="397"/>
      <c r="AI8" s="397"/>
      <c r="AJ8" s="397"/>
      <c r="AK8" s="397"/>
      <c r="AL8" s="723" t="s">
        <v>156</v>
      </c>
      <c r="AM8" s="724"/>
      <c r="AN8" s="398"/>
      <c r="AO8" s="399"/>
      <c r="AP8" s="399"/>
      <c r="AQ8" s="399"/>
      <c r="AR8" s="399"/>
      <c r="AS8" s="399"/>
      <c r="AT8" s="399"/>
      <c r="AU8" s="398"/>
    </row>
    <row r="9" spans="1:47" ht="20.25" customHeight="1">
      <c r="A9" s="78"/>
      <c r="B9" s="78"/>
      <c r="C9" s="78"/>
      <c r="D9" s="78"/>
      <c r="E9" s="78"/>
      <c r="F9" s="78"/>
      <c r="G9" s="78"/>
      <c r="H9" s="78"/>
      <c r="I9" s="78"/>
      <c r="J9" s="78"/>
      <c r="K9" s="78"/>
      <c r="L9" s="78"/>
      <c r="M9" s="78"/>
      <c r="N9" s="78"/>
      <c r="O9" s="78"/>
      <c r="P9" s="78"/>
      <c r="Q9" s="78"/>
      <c r="R9" s="553"/>
      <c r="S9" s="553"/>
      <c r="T9" s="553"/>
      <c r="U9" s="553"/>
      <c r="V9" s="70"/>
      <c r="W9" s="78"/>
      <c r="X9" s="78"/>
      <c r="Y9" s="78"/>
      <c r="Z9" s="78"/>
      <c r="AA9" s="70"/>
      <c r="AB9" s="78"/>
      <c r="AC9" s="78"/>
      <c r="AD9" s="78"/>
      <c r="AE9" s="78"/>
      <c r="AF9" s="78"/>
      <c r="AG9" s="78"/>
      <c r="AH9" s="78"/>
      <c r="AI9" s="70"/>
      <c r="AJ9" s="78"/>
      <c r="AK9" s="78"/>
      <c r="AL9" s="78"/>
      <c r="AM9" s="78"/>
      <c r="AN9" s="79"/>
      <c r="AO9" s="78"/>
      <c r="AP9" s="78"/>
      <c r="AQ9" s="78"/>
      <c r="AR9" s="78"/>
      <c r="AS9" s="78"/>
      <c r="AT9" s="78"/>
      <c r="AU9" s="79"/>
    </row>
    <row r="10" spans="1:47" ht="20.25" customHeight="1">
      <c r="A10" s="78"/>
      <c r="B10" s="78"/>
      <c r="C10" s="78"/>
      <c r="D10" s="78"/>
      <c r="E10" s="78"/>
      <c r="F10" s="78"/>
      <c r="G10" s="78"/>
      <c r="H10" s="78"/>
      <c r="I10" s="78"/>
      <c r="J10" s="78"/>
      <c r="K10" s="78"/>
      <c r="L10" s="78"/>
      <c r="M10" s="78"/>
      <c r="N10" s="78"/>
      <c r="O10" s="78"/>
      <c r="P10" s="78"/>
      <c r="Q10" s="78"/>
      <c r="R10" s="553"/>
      <c r="S10" s="553"/>
      <c r="T10" s="553"/>
      <c r="U10" s="553"/>
      <c r="V10" s="70"/>
      <c r="W10" s="78"/>
      <c r="X10" s="78"/>
      <c r="Y10" s="78"/>
      <c r="Z10" s="78"/>
      <c r="AA10" s="78"/>
      <c r="AB10" s="78"/>
      <c r="AC10" s="78"/>
      <c r="AD10" s="78"/>
      <c r="AE10" s="78"/>
      <c r="AF10" s="78"/>
      <c r="AG10" s="78"/>
      <c r="AH10" s="78"/>
      <c r="AI10" s="78"/>
      <c r="AJ10" s="78"/>
      <c r="AK10" s="70"/>
      <c r="AL10" s="78"/>
      <c r="AM10" s="78"/>
      <c r="AN10" s="79"/>
      <c r="AO10" s="78"/>
      <c r="AP10" s="78"/>
      <c r="AQ10" s="78"/>
      <c r="AR10" s="78"/>
      <c r="AS10" s="78"/>
      <c r="AT10" s="78"/>
      <c r="AU10" s="79"/>
    </row>
    <row r="11" spans="1:47" ht="20.25" customHeight="1">
      <c r="A11" s="78"/>
      <c r="B11" s="78"/>
      <c r="C11" s="78"/>
      <c r="D11" s="78"/>
      <c r="E11" s="78"/>
      <c r="F11" s="78"/>
      <c r="G11" s="78"/>
      <c r="H11" s="78"/>
      <c r="I11" s="78"/>
      <c r="J11" s="78"/>
      <c r="K11" s="78"/>
      <c r="L11" s="78"/>
      <c r="M11" s="78"/>
      <c r="N11" s="78"/>
      <c r="O11" s="78"/>
      <c r="P11" s="78"/>
      <c r="Q11" s="78"/>
      <c r="R11" s="553"/>
      <c r="S11" s="553"/>
      <c r="T11" s="553"/>
      <c r="U11" s="553"/>
      <c r="V11" s="70"/>
      <c r="W11" s="78"/>
      <c r="X11" s="78"/>
      <c r="Y11" s="78"/>
      <c r="Z11" s="78"/>
      <c r="AA11" s="78"/>
      <c r="AB11" s="78"/>
      <c r="AC11" s="78"/>
      <c r="AD11" s="78"/>
      <c r="AE11" s="78"/>
      <c r="AF11" s="78"/>
      <c r="AG11" s="78"/>
      <c r="AH11" s="78"/>
      <c r="AI11" s="78"/>
      <c r="AJ11" s="78"/>
      <c r="AK11" s="70"/>
      <c r="AL11" s="78"/>
      <c r="AM11" s="78"/>
      <c r="AN11" s="108"/>
      <c r="AO11" s="102"/>
      <c r="AP11" s="102"/>
      <c r="AQ11" s="102"/>
      <c r="AR11" s="102"/>
      <c r="AS11" s="102"/>
      <c r="AT11" s="102"/>
      <c r="AU11" s="108"/>
    </row>
    <row r="12" spans="1:47" ht="20.25" customHeight="1">
      <c r="A12" s="102"/>
      <c r="B12" s="102"/>
      <c r="C12" s="102"/>
      <c r="D12" s="102"/>
      <c r="E12" s="102"/>
      <c r="F12" s="102"/>
      <c r="G12" s="102"/>
      <c r="H12" s="102"/>
      <c r="I12" s="102"/>
      <c r="J12" s="102"/>
      <c r="K12" s="102"/>
      <c r="L12" s="102"/>
      <c r="M12" s="102"/>
      <c r="N12" s="102"/>
      <c r="O12" s="102"/>
      <c r="P12" s="102"/>
      <c r="Q12" s="102"/>
      <c r="R12" s="554"/>
      <c r="S12" s="554"/>
      <c r="T12" s="554"/>
      <c r="U12" s="554"/>
      <c r="V12" s="109"/>
      <c r="W12" s="102"/>
      <c r="X12" s="102"/>
      <c r="Y12" s="102"/>
      <c r="Z12" s="102"/>
      <c r="AA12" s="102"/>
      <c r="AB12" s="102"/>
      <c r="AC12" s="102"/>
      <c r="AD12" s="102"/>
      <c r="AE12" s="102"/>
      <c r="AF12" s="102"/>
      <c r="AG12" s="102"/>
      <c r="AH12" s="102"/>
      <c r="AI12" s="102"/>
      <c r="AJ12" s="102"/>
      <c r="AK12" s="102"/>
      <c r="AL12" s="102"/>
      <c r="AM12" s="102"/>
      <c r="AN12" s="79"/>
      <c r="AO12" s="78"/>
      <c r="AP12" s="78"/>
      <c r="AQ12" s="78"/>
      <c r="AR12" s="78"/>
      <c r="AS12" s="78"/>
      <c r="AT12" s="78"/>
      <c r="AU12" s="79"/>
    </row>
    <row r="13" spans="1:47" ht="20.25" customHeight="1">
      <c r="A13" s="78"/>
      <c r="B13" s="78"/>
      <c r="C13" s="78"/>
      <c r="D13" s="78"/>
      <c r="E13" s="78"/>
      <c r="F13" s="78"/>
      <c r="G13" s="78"/>
      <c r="H13" s="78"/>
      <c r="I13" s="78"/>
      <c r="J13" s="78"/>
      <c r="K13" s="78"/>
      <c r="L13" s="78"/>
      <c r="M13" s="78"/>
      <c r="N13" s="78"/>
      <c r="O13" s="78"/>
      <c r="P13" s="78"/>
      <c r="Q13" s="78"/>
      <c r="R13" s="553"/>
      <c r="S13" s="553"/>
      <c r="T13" s="553"/>
      <c r="U13" s="553"/>
      <c r="V13" s="70"/>
      <c r="W13" s="78"/>
      <c r="X13" s="78"/>
      <c r="Y13" s="78"/>
      <c r="Z13" s="78"/>
      <c r="AA13" s="78"/>
      <c r="AB13" s="78"/>
      <c r="AC13" s="78"/>
      <c r="AD13" s="78"/>
      <c r="AE13" s="78"/>
      <c r="AF13" s="78"/>
      <c r="AG13" s="78"/>
      <c r="AH13" s="78"/>
      <c r="AI13" s="78"/>
      <c r="AJ13" s="70"/>
      <c r="AK13" s="78"/>
      <c r="AL13" s="78"/>
      <c r="AM13" s="78"/>
      <c r="AN13" s="79"/>
      <c r="AO13" s="78"/>
      <c r="AP13" s="78"/>
      <c r="AQ13" s="78"/>
      <c r="AR13" s="78"/>
      <c r="AS13" s="78"/>
      <c r="AT13" s="78"/>
      <c r="AU13" s="79"/>
    </row>
    <row r="14" spans="1:47" ht="20.25" customHeight="1">
      <c r="A14" s="78"/>
      <c r="B14" s="78"/>
      <c r="C14" s="78"/>
      <c r="D14" s="78"/>
      <c r="E14" s="78"/>
      <c r="F14" s="78"/>
      <c r="G14" s="78"/>
      <c r="H14" s="78"/>
      <c r="I14" s="78"/>
      <c r="J14" s="78"/>
      <c r="K14" s="78"/>
      <c r="L14" s="78"/>
      <c r="M14" s="78"/>
      <c r="N14" s="78"/>
      <c r="O14" s="78"/>
      <c r="P14" s="78"/>
      <c r="Q14" s="78"/>
      <c r="R14" s="553"/>
      <c r="S14" s="553"/>
      <c r="T14" s="553"/>
      <c r="U14" s="553"/>
      <c r="V14" s="70"/>
      <c r="W14" s="70"/>
      <c r="X14" s="70"/>
      <c r="Y14" s="78"/>
      <c r="Z14" s="78"/>
      <c r="AA14" s="78"/>
      <c r="AB14" s="78"/>
      <c r="AC14" s="78"/>
      <c r="AD14" s="78"/>
      <c r="AE14" s="78"/>
      <c r="AF14" s="78"/>
      <c r="AG14" s="78"/>
      <c r="AH14" s="78"/>
      <c r="AI14" s="78"/>
      <c r="AJ14" s="78"/>
      <c r="AK14" s="78"/>
      <c r="AL14" s="78"/>
      <c r="AM14" s="78"/>
      <c r="AN14" s="79"/>
      <c r="AO14" s="78"/>
      <c r="AP14" s="78"/>
      <c r="AQ14" s="78"/>
      <c r="AR14" s="78"/>
      <c r="AS14" s="78"/>
      <c r="AT14" s="78"/>
      <c r="AU14" s="79"/>
    </row>
    <row r="15" spans="1:47" ht="20.25" customHeight="1">
      <c r="A15" s="78"/>
      <c r="B15" s="78"/>
      <c r="C15" s="78"/>
      <c r="D15" s="78"/>
      <c r="E15" s="78"/>
      <c r="F15" s="78"/>
      <c r="G15" s="78"/>
      <c r="H15" s="78"/>
      <c r="I15" s="78"/>
      <c r="J15" s="78"/>
      <c r="K15" s="78"/>
      <c r="L15" s="78"/>
      <c r="M15" s="78"/>
      <c r="N15" s="78"/>
      <c r="O15" s="78"/>
      <c r="P15" s="78"/>
      <c r="Q15" s="78"/>
      <c r="R15" s="553"/>
      <c r="S15" s="553"/>
      <c r="T15" s="553"/>
      <c r="U15" s="553"/>
      <c r="V15" s="70"/>
      <c r="W15" s="78"/>
      <c r="X15" s="78"/>
      <c r="Y15" s="78"/>
      <c r="Z15" s="78"/>
      <c r="AA15" s="78"/>
      <c r="AB15" s="78"/>
      <c r="AC15" s="78"/>
      <c r="AD15" s="78"/>
      <c r="AE15" s="78"/>
      <c r="AF15" s="78"/>
      <c r="AG15" s="78"/>
      <c r="AH15" s="78"/>
      <c r="AI15" s="78"/>
      <c r="AJ15" s="78"/>
      <c r="AK15" s="78"/>
      <c r="AL15" s="78"/>
      <c r="AM15" s="78"/>
      <c r="AN15" s="79"/>
      <c r="AO15" s="78"/>
      <c r="AP15" s="78"/>
      <c r="AQ15" s="78"/>
      <c r="AR15" s="78"/>
      <c r="AS15" s="78"/>
      <c r="AT15" s="78"/>
      <c r="AU15" s="79"/>
    </row>
    <row r="16" spans="1:47" ht="20.25" customHeight="1">
      <c r="A16" s="78"/>
      <c r="B16" s="78"/>
      <c r="C16" s="78"/>
      <c r="D16" s="78"/>
      <c r="E16" s="78"/>
      <c r="F16" s="78"/>
      <c r="G16" s="78"/>
      <c r="H16" s="78"/>
      <c r="I16" s="78"/>
      <c r="J16" s="78"/>
      <c r="K16" s="78"/>
      <c r="L16" s="78"/>
      <c r="M16" s="78"/>
      <c r="N16" s="78"/>
      <c r="O16" s="78"/>
      <c r="P16" s="78"/>
      <c r="Q16" s="78"/>
      <c r="R16" s="553"/>
      <c r="S16" s="553"/>
      <c r="T16" s="553"/>
      <c r="U16" s="553"/>
      <c r="V16" s="70"/>
      <c r="W16" s="70"/>
      <c r="X16" s="70"/>
      <c r="Y16" s="78"/>
      <c r="Z16" s="78"/>
      <c r="AA16" s="78"/>
      <c r="AB16" s="78"/>
      <c r="AC16" s="78"/>
      <c r="AD16" s="78"/>
      <c r="AE16" s="78"/>
      <c r="AF16" s="78"/>
      <c r="AG16" s="78"/>
      <c r="AH16" s="78"/>
      <c r="AI16" s="78"/>
      <c r="AJ16" s="70"/>
      <c r="AK16" s="78"/>
      <c r="AL16" s="78"/>
      <c r="AM16" s="78"/>
      <c r="AN16" s="108"/>
      <c r="AO16" s="102"/>
      <c r="AP16" s="102"/>
      <c r="AQ16" s="102"/>
      <c r="AR16" s="102"/>
      <c r="AS16" s="102"/>
      <c r="AT16" s="102"/>
      <c r="AU16" s="108"/>
    </row>
    <row r="17" spans="1:47" ht="20.25" customHeight="1">
      <c r="A17" s="102"/>
      <c r="B17" s="102"/>
      <c r="C17" s="102"/>
      <c r="D17" s="102"/>
      <c r="E17" s="102"/>
      <c r="F17" s="102"/>
      <c r="G17" s="102"/>
      <c r="H17" s="102"/>
      <c r="I17" s="102"/>
      <c r="J17" s="102"/>
      <c r="K17" s="102"/>
      <c r="L17" s="102"/>
      <c r="M17" s="102"/>
      <c r="N17" s="102"/>
      <c r="O17" s="102"/>
      <c r="P17" s="102"/>
      <c r="Q17" s="102"/>
      <c r="R17" s="554"/>
      <c r="S17" s="554"/>
      <c r="T17" s="554"/>
      <c r="U17" s="554"/>
      <c r="V17" s="109"/>
      <c r="W17" s="102"/>
      <c r="X17" s="102"/>
      <c r="Y17" s="102"/>
      <c r="Z17" s="102"/>
      <c r="AA17" s="102"/>
      <c r="AB17" s="102"/>
      <c r="AC17" s="102"/>
      <c r="AD17" s="102"/>
      <c r="AE17" s="102"/>
      <c r="AF17" s="102"/>
      <c r="AG17" s="102"/>
      <c r="AH17" s="102"/>
      <c r="AI17" s="102"/>
      <c r="AJ17" s="102"/>
      <c r="AK17" s="102"/>
      <c r="AL17" s="102"/>
      <c r="AM17" s="102"/>
      <c r="AN17" s="108"/>
      <c r="AO17" s="102"/>
      <c r="AP17" s="102"/>
      <c r="AQ17" s="102"/>
      <c r="AR17" s="102"/>
      <c r="AS17" s="102"/>
      <c r="AT17" s="102"/>
      <c r="AU17" s="108"/>
    </row>
    <row r="18" spans="1:47" ht="20.25" customHeight="1">
      <c r="A18" s="102"/>
      <c r="B18" s="102"/>
      <c r="C18" s="102"/>
      <c r="D18" s="102"/>
      <c r="E18" s="102"/>
      <c r="F18" s="102"/>
      <c r="G18" s="102"/>
      <c r="H18" s="102"/>
      <c r="I18" s="102"/>
      <c r="J18" s="102"/>
      <c r="K18" s="102"/>
      <c r="L18" s="102"/>
      <c r="M18" s="102"/>
      <c r="N18" s="102"/>
      <c r="O18" s="102"/>
      <c r="P18" s="102"/>
      <c r="Q18" s="102"/>
      <c r="R18" s="554"/>
      <c r="S18" s="554"/>
      <c r="T18" s="554"/>
      <c r="U18" s="554"/>
      <c r="V18" s="109"/>
      <c r="W18" s="102"/>
      <c r="X18" s="102"/>
      <c r="Y18" s="102"/>
      <c r="Z18" s="102"/>
      <c r="AA18" s="102"/>
      <c r="AB18" s="102"/>
      <c r="AC18" s="102"/>
      <c r="AD18" s="102"/>
      <c r="AE18" s="102"/>
      <c r="AF18" s="102"/>
      <c r="AG18" s="102"/>
      <c r="AH18" s="102"/>
      <c r="AI18" s="102"/>
      <c r="AJ18" s="102"/>
      <c r="AK18" s="102"/>
      <c r="AL18" s="102"/>
      <c r="AM18" s="102"/>
      <c r="AN18" s="79"/>
      <c r="AO18" s="78"/>
      <c r="AP18" s="78"/>
      <c r="AQ18" s="78"/>
      <c r="AR18" s="78"/>
      <c r="AS18" s="78"/>
      <c r="AT18" s="78"/>
      <c r="AU18" s="79"/>
    </row>
    <row r="19" spans="1:47" ht="20.25" customHeight="1">
      <c r="A19" s="78"/>
      <c r="B19" s="78"/>
      <c r="C19" s="78"/>
      <c r="D19" s="78"/>
      <c r="E19" s="78"/>
      <c r="F19" s="78"/>
      <c r="G19" s="78"/>
      <c r="H19" s="78"/>
      <c r="I19" s="78"/>
      <c r="J19" s="78"/>
      <c r="K19" s="78"/>
      <c r="L19" s="78"/>
      <c r="M19" s="78"/>
      <c r="N19" s="78"/>
      <c r="O19" s="78"/>
      <c r="P19" s="78"/>
      <c r="Q19" s="78"/>
      <c r="R19" s="553"/>
      <c r="S19" s="553"/>
      <c r="T19" s="553"/>
      <c r="U19" s="553"/>
      <c r="V19" s="70"/>
      <c r="W19" s="78"/>
      <c r="X19" s="78"/>
      <c r="Y19" s="78"/>
      <c r="Z19" s="78"/>
      <c r="AA19" s="78"/>
      <c r="AB19" s="78"/>
      <c r="AC19" s="78"/>
      <c r="AD19" s="78"/>
      <c r="AE19" s="78"/>
      <c r="AF19" s="78"/>
      <c r="AG19" s="78"/>
      <c r="AH19" s="78"/>
      <c r="AI19" s="78"/>
      <c r="AJ19" s="78"/>
      <c r="AK19" s="78"/>
      <c r="AL19" s="78"/>
      <c r="AM19" s="78"/>
      <c r="AN19" s="79"/>
      <c r="AO19" s="78"/>
      <c r="AP19" s="78"/>
      <c r="AQ19" s="78"/>
      <c r="AR19" s="78"/>
      <c r="AS19" s="78"/>
      <c r="AT19" s="78"/>
      <c r="AU19" s="79"/>
    </row>
    <row r="20" spans="1:47" ht="20.25" customHeight="1">
      <c r="A20" s="78"/>
      <c r="B20" s="78"/>
      <c r="C20" s="81"/>
      <c r="D20" s="78"/>
      <c r="E20" s="78"/>
      <c r="F20" s="78"/>
      <c r="G20" s="78"/>
      <c r="H20" s="78"/>
      <c r="I20" s="78"/>
      <c r="J20" s="78"/>
      <c r="K20" s="78"/>
      <c r="L20" s="78"/>
      <c r="M20" s="78"/>
      <c r="N20" s="78"/>
      <c r="O20" s="78"/>
      <c r="P20" s="78"/>
      <c r="Q20" s="103"/>
      <c r="R20" s="553"/>
      <c r="S20" s="553"/>
      <c r="T20" s="553"/>
      <c r="U20" s="553"/>
      <c r="V20" s="70"/>
      <c r="W20" s="78"/>
      <c r="X20" s="78"/>
      <c r="Y20" s="79"/>
      <c r="Z20" s="79"/>
      <c r="AA20" s="78"/>
      <c r="AB20" s="78"/>
      <c r="AC20" s="78"/>
      <c r="AD20" s="78"/>
      <c r="AE20" s="78"/>
      <c r="AF20" s="78"/>
      <c r="AG20" s="78"/>
      <c r="AH20" s="78"/>
      <c r="AI20" s="78"/>
      <c r="AJ20" s="78"/>
      <c r="AK20" s="78"/>
      <c r="AL20" s="78"/>
      <c r="AM20" s="81"/>
      <c r="AN20" s="79"/>
      <c r="AO20" s="78"/>
      <c r="AP20" s="78"/>
      <c r="AQ20" s="78"/>
      <c r="AR20" s="78"/>
      <c r="AS20" s="78"/>
      <c r="AT20" s="78"/>
      <c r="AU20" s="79"/>
    </row>
    <row r="21" spans="1:47" ht="20.25" customHeight="1">
      <c r="A21" s="78"/>
      <c r="B21" s="78"/>
      <c r="C21" s="81"/>
      <c r="D21" s="78"/>
      <c r="E21" s="78"/>
      <c r="F21" s="78"/>
      <c r="G21" s="78"/>
      <c r="H21" s="78"/>
      <c r="I21" s="78"/>
      <c r="J21" s="78"/>
      <c r="K21" s="78"/>
      <c r="L21" s="78"/>
      <c r="M21" s="78"/>
      <c r="N21" s="78"/>
      <c r="O21" s="78"/>
      <c r="P21" s="78"/>
      <c r="Q21" s="103"/>
      <c r="R21" s="553"/>
      <c r="S21" s="553"/>
      <c r="T21" s="553"/>
      <c r="U21" s="553"/>
      <c r="V21" s="70"/>
      <c r="W21" s="78"/>
      <c r="X21" s="78"/>
      <c r="Y21" s="79"/>
      <c r="Z21" s="79"/>
      <c r="AA21" s="78"/>
      <c r="AB21" s="78"/>
      <c r="AC21" s="78"/>
      <c r="AD21" s="78"/>
      <c r="AE21" s="78"/>
      <c r="AF21" s="78"/>
      <c r="AG21" s="78"/>
      <c r="AH21" s="78"/>
      <c r="AI21" s="78"/>
      <c r="AJ21" s="78"/>
      <c r="AK21" s="78"/>
      <c r="AL21" s="78"/>
      <c r="AM21" s="81"/>
      <c r="AN21" s="79"/>
      <c r="AO21" s="78"/>
      <c r="AP21" s="78"/>
      <c r="AQ21" s="78"/>
      <c r="AR21" s="78"/>
      <c r="AS21" s="78"/>
      <c r="AT21" s="78"/>
      <c r="AU21" s="79"/>
    </row>
    <row r="22" spans="1:47" ht="20.25" customHeight="1">
      <c r="A22" s="78"/>
      <c r="B22" s="78"/>
      <c r="C22" s="81"/>
      <c r="D22" s="78"/>
      <c r="E22" s="78"/>
      <c r="F22" s="78"/>
      <c r="G22" s="78"/>
      <c r="H22" s="78"/>
      <c r="I22" s="78"/>
      <c r="J22" s="78"/>
      <c r="K22" s="78"/>
      <c r="L22" s="78"/>
      <c r="M22" s="78"/>
      <c r="N22" s="78"/>
      <c r="O22" s="78"/>
      <c r="P22" s="78"/>
      <c r="Q22" s="103"/>
      <c r="R22" s="553"/>
      <c r="S22" s="553"/>
      <c r="T22" s="553"/>
      <c r="U22" s="553"/>
      <c r="V22" s="70"/>
      <c r="W22" s="78"/>
      <c r="X22" s="78"/>
      <c r="Y22" s="79"/>
      <c r="Z22" s="79"/>
      <c r="AA22" s="78"/>
      <c r="AB22" s="78"/>
      <c r="AC22" s="78"/>
      <c r="AD22" s="78"/>
      <c r="AE22" s="78"/>
      <c r="AF22" s="78"/>
      <c r="AG22" s="78"/>
      <c r="AH22" s="78"/>
      <c r="AI22" s="78"/>
      <c r="AJ22" s="78"/>
      <c r="AK22" s="78"/>
      <c r="AL22" s="78"/>
      <c r="AM22" s="81"/>
      <c r="AN22" s="79"/>
      <c r="AO22" s="78"/>
      <c r="AP22" s="78"/>
      <c r="AQ22" s="78"/>
      <c r="AR22" s="78"/>
      <c r="AS22" s="78"/>
      <c r="AT22" s="78"/>
      <c r="AU22" s="79"/>
    </row>
    <row r="23" spans="1:47" ht="20.25" customHeight="1">
      <c r="A23" s="78"/>
      <c r="B23" s="78"/>
      <c r="C23" s="81"/>
      <c r="D23" s="78"/>
      <c r="E23" s="78"/>
      <c r="F23" s="78"/>
      <c r="G23" s="78"/>
      <c r="H23" s="78"/>
      <c r="I23" s="78"/>
      <c r="J23" s="78"/>
      <c r="K23" s="78"/>
      <c r="L23" s="78"/>
      <c r="M23" s="78"/>
      <c r="N23" s="78"/>
      <c r="O23" s="78"/>
      <c r="P23" s="78"/>
      <c r="Q23" s="103"/>
      <c r="R23" s="553"/>
      <c r="S23" s="553"/>
      <c r="T23" s="553"/>
      <c r="U23" s="553"/>
      <c r="V23" s="70"/>
      <c r="W23" s="78"/>
      <c r="X23" s="78"/>
      <c r="Y23" s="79"/>
      <c r="Z23" s="79"/>
      <c r="AA23" s="78"/>
      <c r="AB23" s="78"/>
      <c r="AC23" s="78"/>
      <c r="AD23" s="78"/>
      <c r="AE23" s="78"/>
      <c r="AF23" s="78"/>
      <c r="AG23" s="78"/>
      <c r="AH23" s="78"/>
      <c r="AI23" s="78"/>
      <c r="AJ23" s="78"/>
      <c r="AK23" s="78"/>
      <c r="AL23" s="78"/>
      <c r="AM23" s="81"/>
      <c r="AN23" s="79"/>
      <c r="AO23" s="78"/>
      <c r="AP23" s="78"/>
      <c r="AQ23" s="78"/>
      <c r="AR23" s="78"/>
      <c r="AS23" s="78"/>
      <c r="AT23" s="78"/>
      <c r="AU23" s="79"/>
    </row>
    <row r="24" spans="1:47" ht="20.25" customHeight="1">
      <c r="A24" s="78"/>
      <c r="B24" s="78"/>
      <c r="C24" s="81"/>
      <c r="D24" s="78"/>
      <c r="E24" s="78"/>
      <c r="F24" s="78"/>
      <c r="G24" s="78"/>
      <c r="H24" s="78"/>
      <c r="I24" s="78"/>
      <c r="J24" s="78"/>
      <c r="K24" s="78"/>
      <c r="L24" s="78"/>
      <c r="M24" s="78"/>
      <c r="N24" s="78"/>
      <c r="O24" s="78"/>
      <c r="P24" s="78"/>
      <c r="Q24" s="103"/>
      <c r="R24" s="553"/>
      <c r="S24" s="553"/>
      <c r="T24" s="553"/>
      <c r="U24" s="553"/>
      <c r="V24" s="70"/>
      <c r="W24" s="78"/>
      <c r="X24" s="78"/>
      <c r="Y24" s="79"/>
      <c r="Z24" s="79"/>
      <c r="AA24" s="78"/>
      <c r="AB24" s="78"/>
      <c r="AC24" s="78"/>
      <c r="AD24" s="78"/>
      <c r="AE24" s="78"/>
      <c r="AF24" s="78"/>
      <c r="AG24" s="78"/>
      <c r="AH24" s="78"/>
      <c r="AI24" s="78"/>
      <c r="AJ24" s="78"/>
      <c r="AK24" s="78"/>
      <c r="AL24" s="78"/>
      <c r="AM24" s="81"/>
      <c r="AN24" s="79"/>
      <c r="AO24" s="78"/>
      <c r="AP24" s="78"/>
      <c r="AQ24" s="78"/>
      <c r="AR24" s="78"/>
      <c r="AS24" s="78"/>
      <c r="AT24" s="78"/>
      <c r="AU24" s="79"/>
    </row>
    <row r="25" spans="1:47" ht="20.25" customHeight="1">
      <c r="A25" s="78"/>
      <c r="B25" s="78"/>
      <c r="C25" s="81"/>
      <c r="D25" s="78"/>
      <c r="E25" s="78"/>
      <c r="F25" s="78"/>
      <c r="G25" s="78"/>
      <c r="H25" s="78"/>
      <c r="I25" s="78"/>
      <c r="J25" s="78"/>
      <c r="K25" s="78"/>
      <c r="L25" s="78"/>
      <c r="M25" s="78"/>
      <c r="N25" s="78"/>
      <c r="O25" s="78"/>
      <c r="P25" s="78"/>
      <c r="Q25" s="103"/>
      <c r="R25" s="553"/>
      <c r="S25" s="553"/>
      <c r="T25" s="553"/>
      <c r="U25" s="553"/>
      <c r="V25" s="70"/>
      <c r="W25" s="78"/>
      <c r="X25" s="78"/>
      <c r="Y25" s="79"/>
      <c r="Z25" s="79"/>
      <c r="AA25" s="78"/>
      <c r="AB25" s="78"/>
      <c r="AC25" s="78"/>
      <c r="AD25" s="78"/>
      <c r="AE25" s="78"/>
      <c r="AF25" s="78"/>
      <c r="AG25" s="78"/>
      <c r="AH25" s="78"/>
      <c r="AI25" s="78"/>
      <c r="AJ25" s="78"/>
      <c r="AK25" s="78"/>
      <c r="AL25" s="78"/>
      <c r="AM25" s="81"/>
      <c r="AN25" s="79"/>
      <c r="AO25" s="78"/>
      <c r="AP25" s="78"/>
      <c r="AQ25" s="78"/>
      <c r="AR25" s="78"/>
      <c r="AS25" s="78"/>
      <c r="AT25" s="78"/>
      <c r="AU25" s="79"/>
    </row>
    <row r="26" spans="1:47" ht="20.25" customHeight="1">
      <c r="A26" s="78"/>
      <c r="B26" s="78"/>
      <c r="C26" s="81"/>
      <c r="D26" s="78"/>
      <c r="E26" s="78"/>
      <c r="F26" s="78"/>
      <c r="G26" s="78"/>
      <c r="H26" s="78"/>
      <c r="I26" s="78"/>
      <c r="J26" s="78"/>
      <c r="K26" s="78"/>
      <c r="L26" s="78"/>
      <c r="M26" s="78"/>
      <c r="N26" s="78"/>
      <c r="O26" s="78"/>
      <c r="P26" s="78"/>
      <c r="Q26" s="103"/>
      <c r="R26" s="553"/>
      <c r="S26" s="553"/>
      <c r="T26" s="553"/>
      <c r="U26" s="553"/>
      <c r="V26" s="70"/>
      <c r="W26" s="78"/>
      <c r="X26" s="78"/>
      <c r="Y26" s="79"/>
      <c r="Z26" s="79"/>
      <c r="AA26" s="78"/>
      <c r="AB26" s="78"/>
      <c r="AC26" s="78"/>
      <c r="AD26" s="78"/>
      <c r="AE26" s="78"/>
      <c r="AF26" s="78"/>
      <c r="AG26" s="78"/>
      <c r="AH26" s="78"/>
      <c r="AI26" s="78"/>
      <c r="AJ26" s="78"/>
      <c r="AK26" s="78"/>
      <c r="AL26" s="78"/>
      <c r="AM26" s="81"/>
      <c r="AN26" s="79"/>
      <c r="AO26" s="78"/>
      <c r="AP26" s="78"/>
      <c r="AQ26" s="78"/>
      <c r="AR26" s="78"/>
      <c r="AS26" s="78"/>
      <c r="AT26" s="78"/>
      <c r="AU26" s="79"/>
    </row>
    <row r="27" spans="1:47" ht="20.25" customHeight="1">
      <c r="A27" s="78"/>
      <c r="B27" s="78"/>
      <c r="C27" s="81"/>
      <c r="D27" s="78"/>
      <c r="E27" s="78"/>
      <c r="F27" s="78"/>
      <c r="G27" s="78"/>
      <c r="H27" s="78"/>
      <c r="I27" s="78"/>
      <c r="J27" s="78"/>
      <c r="K27" s="78"/>
      <c r="L27" s="78"/>
      <c r="M27" s="78"/>
      <c r="N27" s="78"/>
      <c r="O27" s="78"/>
      <c r="P27" s="78"/>
      <c r="Q27" s="103"/>
      <c r="R27" s="553"/>
      <c r="S27" s="553"/>
      <c r="T27" s="553"/>
      <c r="U27" s="553"/>
      <c r="V27" s="70"/>
      <c r="W27" s="78"/>
      <c r="X27" s="78"/>
      <c r="Y27" s="79"/>
      <c r="Z27" s="79"/>
      <c r="AA27" s="78"/>
      <c r="AB27" s="78"/>
      <c r="AC27" s="78"/>
      <c r="AD27" s="78"/>
      <c r="AE27" s="78"/>
      <c r="AF27" s="78"/>
      <c r="AG27" s="78"/>
      <c r="AH27" s="78"/>
      <c r="AI27" s="78"/>
      <c r="AJ27" s="78"/>
      <c r="AK27" s="78"/>
      <c r="AL27" s="78"/>
      <c r="AM27" s="81"/>
      <c r="AN27" s="79"/>
      <c r="AO27" s="78"/>
      <c r="AP27" s="78"/>
      <c r="AQ27" s="78"/>
      <c r="AR27" s="78"/>
      <c r="AS27" s="78"/>
      <c r="AT27" s="78"/>
      <c r="AU27" s="79"/>
    </row>
    <row r="28" spans="1:47" ht="20.25" customHeight="1">
      <c r="A28" s="78"/>
      <c r="B28" s="78"/>
      <c r="C28" s="81"/>
      <c r="D28" s="78"/>
      <c r="E28" s="78"/>
      <c r="F28" s="78"/>
      <c r="G28" s="78"/>
      <c r="H28" s="78"/>
      <c r="I28" s="78"/>
      <c r="J28" s="78"/>
      <c r="K28" s="78"/>
      <c r="L28" s="78"/>
      <c r="M28" s="78"/>
      <c r="N28" s="78"/>
      <c r="O28" s="78"/>
      <c r="P28" s="78"/>
      <c r="Q28" s="103"/>
      <c r="R28" s="553"/>
      <c r="S28" s="553"/>
      <c r="T28" s="553"/>
      <c r="U28" s="553"/>
      <c r="V28" s="70"/>
      <c r="W28" s="78"/>
      <c r="X28" s="78"/>
      <c r="Y28" s="79"/>
      <c r="Z28" s="79"/>
      <c r="AA28" s="78"/>
      <c r="AB28" s="78"/>
      <c r="AC28" s="78"/>
      <c r="AD28" s="78"/>
      <c r="AE28" s="78"/>
      <c r="AF28" s="78"/>
      <c r="AG28" s="78"/>
      <c r="AH28" s="78"/>
      <c r="AI28" s="78"/>
      <c r="AJ28" s="78"/>
      <c r="AK28" s="78"/>
      <c r="AL28" s="78"/>
      <c r="AM28" s="81"/>
      <c r="AN28" s="79"/>
      <c r="AO28" s="78"/>
      <c r="AP28" s="78"/>
      <c r="AQ28" s="78"/>
      <c r="AR28" s="78"/>
      <c r="AS28" s="78"/>
      <c r="AT28" s="78"/>
      <c r="AU28" s="79"/>
    </row>
    <row r="29" spans="1:47" ht="20.25" customHeight="1">
      <c r="A29" s="78"/>
      <c r="B29" s="78"/>
      <c r="C29" s="81"/>
      <c r="D29" s="78"/>
      <c r="E29" s="78"/>
      <c r="F29" s="78"/>
      <c r="G29" s="78"/>
      <c r="H29" s="78"/>
      <c r="I29" s="78"/>
      <c r="J29" s="78"/>
      <c r="K29" s="78"/>
      <c r="L29" s="78"/>
      <c r="M29" s="78"/>
      <c r="N29" s="78"/>
      <c r="O29" s="78"/>
      <c r="P29" s="78"/>
      <c r="Q29" s="103"/>
      <c r="R29" s="553"/>
      <c r="S29" s="553"/>
      <c r="T29" s="553"/>
      <c r="U29" s="553"/>
      <c r="V29" s="70"/>
      <c r="W29" s="78"/>
      <c r="X29" s="78"/>
      <c r="Y29" s="79"/>
      <c r="Z29" s="79"/>
      <c r="AA29" s="78"/>
      <c r="AB29" s="78"/>
      <c r="AC29" s="78"/>
      <c r="AD29" s="78"/>
      <c r="AE29" s="78"/>
      <c r="AF29" s="78"/>
      <c r="AG29" s="78"/>
      <c r="AH29" s="78"/>
      <c r="AI29" s="78"/>
      <c r="AJ29" s="78"/>
      <c r="AK29" s="78"/>
      <c r="AL29" s="78"/>
      <c r="AM29" s="81"/>
      <c r="AN29" s="79"/>
      <c r="AO29" s="78"/>
      <c r="AP29" s="78"/>
      <c r="AQ29" s="78"/>
      <c r="AR29" s="78"/>
      <c r="AS29" s="78"/>
      <c r="AT29" s="78"/>
      <c r="AU29" s="79"/>
    </row>
    <row r="30" spans="1:47" ht="20.25" customHeight="1">
      <c r="A30" s="78"/>
      <c r="B30" s="78"/>
      <c r="C30" s="81"/>
      <c r="D30" s="78"/>
      <c r="E30" s="78"/>
      <c r="F30" s="78"/>
      <c r="G30" s="78"/>
      <c r="H30" s="78"/>
      <c r="I30" s="78"/>
      <c r="J30" s="78"/>
      <c r="K30" s="78"/>
      <c r="L30" s="78"/>
      <c r="M30" s="78"/>
      <c r="N30" s="78"/>
      <c r="O30" s="78"/>
      <c r="P30" s="78"/>
      <c r="Q30" s="103"/>
      <c r="R30" s="553"/>
      <c r="S30" s="553"/>
      <c r="T30" s="553"/>
      <c r="U30" s="553"/>
      <c r="V30" s="70"/>
      <c r="W30" s="78"/>
      <c r="X30" s="78"/>
      <c r="Y30" s="79"/>
      <c r="Z30" s="79"/>
      <c r="AA30" s="78"/>
      <c r="AB30" s="78"/>
      <c r="AC30" s="78"/>
      <c r="AD30" s="78"/>
      <c r="AE30" s="78"/>
      <c r="AF30" s="78"/>
      <c r="AG30" s="78"/>
      <c r="AH30" s="78"/>
      <c r="AI30" s="78"/>
      <c r="AJ30" s="78"/>
      <c r="AK30" s="78"/>
      <c r="AL30" s="78"/>
      <c r="AM30" s="81"/>
      <c r="AN30" s="79"/>
      <c r="AO30" s="78"/>
      <c r="AP30" s="78"/>
      <c r="AQ30" s="78"/>
      <c r="AR30" s="78"/>
      <c r="AS30" s="78"/>
      <c r="AT30" s="78"/>
      <c r="AU30" s="79"/>
    </row>
    <row r="31" spans="1:47" ht="20.25" customHeight="1">
      <c r="A31" s="78"/>
      <c r="B31" s="78"/>
      <c r="C31" s="81"/>
      <c r="D31" s="78"/>
      <c r="E31" s="78"/>
      <c r="F31" s="78"/>
      <c r="G31" s="78"/>
      <c r="H31" s="78"/>
      <c r="I31" s="78"/>
      <c r="J31" s="78"/>
      <c r="K31" s="78"/>
      <c r="L31" s="78"/>
      <c r="M31" s="78"/>
      <c r="N31" s="78"/>
      <c r="O31" s="78"/>
      <c r="P31" s="78"/>
      <c r="Q31" s="103"/>
      <c r="R31" s="553"/>
      <c r="S31" s="553"/>
      <c r="T31" s="553"/>
      <c r="U31" s="553"/>
      <c r="V31" s="70"/>
      <c r="W31" s="78"/>
      <c r="X31" s="78"/>
      <c r="Y31" s="79"/>
      <c r="Z31" s="79"/>
      <c r="AA31" s="78"/>
      <c r="AB31" s="78"/>
      <c r="AC31" s="78"/>
      <c r="AD31" s="78"/>
      <c r="AE31" s="78"/>
      <c r="AF31" s="78"/>
      <c r="AG31" s="78"/>
      <c r="AH31" s="78"/>
      <c r="AI31" s="78"/>
      <c r="AJ31" s="78"/>
      <c r="AK31" s="78"/>
      <c r="AL31" s="78"/>
      <c r="AM31" s="81"/>
      <c r="AN31" s="79"/>
      <c r="AO31" s="78"/>
      <c r="AP31" s="78"/>
      <c r="AQ31" s="78"/>
      <c r="AR31" s="78"/>
      <c r="AS31" s="78"/>
      <c r="AT31" s="78"/>
      <c r="AU31" s="79"/>
    </row>
    <row r="32" spans="1:47" ht="20.25" customHeight="1">
      <c r="A32" s="78"/>
      <c r="B32" s="78"/>
      <c r="C32" s="81"/>
      <c r="D32" s="78"/>
      <c r="E32" s="78"/>
      <c r="F32" s="78"/>
      <c r="G32" s="78"/>
      <c r="H32" s="78"/>
      <c r="I32" s="78"/>
      <c r="J32" s="78"/>
      <c r="K32" s="78"/>
      <c r="L32" s="78"/>
      <c r="M32" s="78"/>
      <c r="N32" s="78"/>
      <c r="O32" s="78"/>
      <c r="P32" s="78"/>
      <c r="Q32" s="103"/>
      <c r="R32" s="553"/>
      <c r="S32" s="553"/>
      <c r="T32" s="553"/>
      <c r="U32" s="553"/>
      <c r="V32" s="70"/>
      <c r="W32" s="78"/>
      <c r="X32" s="78"/>
      <c r="Y32" s="79"/>
      <c r="Z32" s="79"/>
      <c r="AA32" s="78"/>
      <c r="AB32" s="78"/>
      <c r="AC32" s="78"/>
      <c r="AD32" s="78"/>
      <c r="AE32" s="78"/>
      <c r="AF32" s="78"/>
      <c r="AG32" s="78"/>
      <c r="AH32" s="78"/>
      <c r="AI32" s="78"/>
      <c r="AJ32" s="78"/>
      <c r="AK32" s="78"/>
      <c r="AL32" s="78"/>
      <c r="AM32" s="81"/>
      <c r="AN32" s="79"/>
      <c r="AO32" s="78"/>
      <c r="AP32" s="78"/>
      <c r="AQ32" s="78"/>
      <c r="AR32" s="78"/>
      <c r="AS32" s="78"/>
      <c r="AT32" s="78"/>
      <c r="AU32" s="79"/>
    </row>
    <row r="33" spans="1:47" ht="20.25" customHeight="1">
      <c r="A33" s="78"/>
      <c r="B33" s="78"/>
      <c r="C33" s="81"/>
      <c r="D33" s="78"/>
      <c r="E33" s="78"/>
      <c r="F33" s="78"/>
      <c r="G33" s="78"/>
      <c r="H33" s="78"/>
      <c r="I33" s="78"/>
      <c r="J33" s="78"/>
      <c r="K33" s="78"/>
      <c r="L33" s="78"/>
      <c r="M33" s="78"/>
      <c r="N33" s="78"/>
      <c r="O33" s="78"/>
      <c r="P33" s="78"/>
      <c r="Q33" s="103"/>
      <c r="R33" s="553"/>
      <c r="S33" s="553"/>
      <c r="T33" s="553"/>
      <c r="U33" s="553"/>
      <c r="V33" s="70"/>
      <c r="W33" s="78"/>
      <c r="X33" s="78"/>
      <c r="Y33" s="79"/>
      <c r="Z33" s="79"/>
      <c r="AA33" s="78"/>
      <c r="AB33" s="78"/>
      <c r="AC33" s="78"/>
      <c r="AD33" s="78"/>
      <c r="AE33" s="78"/>
      <c r="AF33" s="78"/>
      <c r="AG33" s="78"/>
      <c r="AH33" s="78"/>
      <c r="AI33" s="78"/>
      <c r="AJ33" s="78"/>
      <c r="AK33" s="78"/>
      <c r="AL33" s="78"/>
      <c r="AM33" s="81"/>
      <c r="AN33" s="79"/>
      <c r="AO33" s="78"/>
      <c r="AP33" s="78"/>
      <c r="AQ33" s="78"/>
      <c r="AR33" s="78"/>
      <c r="AS33" s="78"/>
      <c r="AT33" s="78"/>
      <c r="AU33" s="79"/>
    </row>
    <row r="34" spans="1:47" ht="20.25" customHeight="1">
      <c r="A34" s="78"/>
      <c r="B34" s="78"/>
      <c r="C34" s="81"/>
      <c r="D34" s="78"/>
      <c r="E34" s="78"/>
      <c r="F34" s="78"/>
      <c r="G34" s="78"/>
      <c r="H34" s="78"/>
      <c r="I34" s="78"/>
      <c r="J34" s="78"/>
      <c r="K34" s="78"/>
      <c r="L34" s="78"/>
      <c r="M34" s="78"/>
      <c r="N34" s="78"/>
      <c r="O34" s="78"/>
      <c r="P34" s="78"/>
      <c r="Q34" s="103"/>
      <c r="R34" s="553"/>
      <c r="S34" s="553"/>
      <c r="T34" s="553"/>
      <c r="U34" s="553"/>
      <c r="V34" s="70"/>
      <c r="W34" s="78"/>
      <c r="X34" s="78"/>
      <c r="Y34" s="79"/>
      <c r="Z34" s="79"/>
      <c r="AA34" s="78"/>
      <c r="AB34" s="78"/>
      <c r="AC34" s="78"/>
      <c r="AD34" s="78"/>
      <c r="AE34" s="78"/>
      <c r="AF34" s="78"/>
      <c r="AG34" s="78"/>
      <c r="AH34" s="78"/>
      <c r="AI34" s="78"/>
      <c r="AJ34" s="78"/>
      <c r="AK34" s="78"/>
      <c r="AL34" s="78"/>
      <c r="AM34" s="81"/>
      <c r="AN34" s="79"/>
      <c r="AO34" s="78"/>
      <c r="AP34" s="78"/>
      <c r="AQ34" s="78"/>
      <c r="AR34" s="78"/>
      <c r="AS34" s="78"/>
      <c r="AT34" s="78"/>
      <c r="AU34" s="79"/>
    </row>
    <row r="35" spans="1:47" ht="20.25" customHeight="1">
      <c r="A35" s="78"/>
      <c r="B35" s="78"/>
      <c r="C35" s="81"/>
      <c r="D35" s="78"/>
      <c r="E35" s="78"/>
      <c r="F35" s="78"/>
      <c r="G35" s="78"/>
      <c r="H35" s="78"/>
      <c r="I35" s="78"/>
      <c r="J35" s="78"/>
      <c r="K35" s="78"/>
      <c r="L35" s="78"/>
      <c r="M35" s="78"/>
      <c r="N35" s="78"/>
      <c r="O35" s="78"/>
      <c r="P35" s="78"/>
      <c r="Q35" s="103"/>
      <c r="R35" s="553"/>
      <c r="S35" s="553"/>
      <c r="T35" s="553"/>
      <c r="U35" s="553"/>
      <c r="V35" s="70"/>
      <c r="W35" s="78"/>
      <c r="X35" s="78"/>
      <c r="Y35" s="79"/>
      <c r="Z35" s="79"/>
      <c r="AA35" s="78"/>
      <c r="AB35" s="78"/>
      <c r="AC35" s="78"/>
      <c r="AD35" s="78"/>
      <c r="AE35" s="78"/>
      <c r="AF35" s="78"/>
      <c r="AG35" s="78"/>
      <c r="AH35" s="78"/>
      <c r="AI35" s="78"/>
      <c r="AJ35" s="78"/>
      <c r="AK35" s="78"/>
      <c r="AL35" s="78"/>
      <c r="AM35" s="81"/>
      <c r="AN35" s="79"/>
      <c r="AO35" s="78"/>
      <c r="AP35" s="78"/>
      <c r="AQ35" s="78"/>
      <c r="AR35" s="78"/>
      <c r="AS35" s="78"/>
      <c r="AT35" s="78"/>
      <c r="AU35" s="79"/>
    </row>
    <row r="36" spans="1:47" ht="20.25" customHeight="1">
      <c r="A36" s="78"/>
      <c r="B36" s="78"/>
      <c r="C36" s="81"/>
      <c r="D36" s="78"/>
      <c r="E36" s="78"/>
      <c r="F36" s="78"/>
      <c r="G36" s="78"/>
      <c r="H36" s="78"/>
      <c r="I36" s="78"/>
      <c r="J36" s="78"/>
      <c r="K36" s="78"/>
      <c r="L36" s="78"/>
      <c r="M36" s="78"/>
      <c r="N36" s="78"/>
      <c r="O36" s="78"/>
      <c r="P36" s="78"/>
      <c r="Q36" s="103"/>
      <c r="R36" s="553"/>
      <c r="S36" s="553"/>
      <c r="T36" s="553"/>
      <c r="U36" s="553"/>
      <c r="V36" s="70"/>
      <c r="W36" s="78"/>
      <c r="X36" s="78"/>
      <c r="Y36" s="79"/>
      <c r="Z36" s="79"/>
      <c r="AA36" s="78"/>
      <c r="AB36" s="78"/>
      <c r="AC36" s="78"/>
      <c r="AD36" s="78"/>
      <c r="AE36" s="78"/>
      <c r="AF36" s="78"/>
      <c r="AG36" s="78"/>
      <c r="AH36" s="78"/>
      <c r="AI36" s="78"/>
      <c r="AJ36" s="78"/>
      <c r="AK36" s="78"/>
      <c r="AL36" s="78"/>
      <c r="AM36" s="81"/>
      <c r="AN36" s="79"/>
      <c r="AO36" s="78"/>
      <c r="AP36" s="78"/>
      <c r="AQ36" s="78"/>
      <c r="AR36" s="78"/>
      <c r="AS36" s="78"/>
      <c r="AT36" s="78"/>
      <c r="AU36" s="79"/>
    </row>
    <row r="37" spans="1:47" ht="20.25" customHeight="1">
      <c r="A37" s="78"/>
      <c r="B37" s="78"/>
      <c r="C37" s="81"/>
      <c r="D37" s="78"/>
      <c r="E37" s="78"/>
      <c r="F37" s="78"/>
      <c r="G37" s="78"/>
      <c r="H37" s="78"/>
      <c r="I37" s="78"/>
      <c r="J37" s="78"/>
      <c r="K37" s="78"/>
      <c r="L37" s="78"/>
      <c r="M37" s="78"/>
      <c r="N37" s="78"/>
      <c r="O37" s="78"/>
      <c r="P37" s="78"/>
      <c r="Q37" s="103"/>
      <c r="R37" s="553"/>
      <c r="S37" s="553"/>
      <c r="T37" s="553"/>
      <c r="U37" s="553"/>
      <c r="V37" s="70"/>
      <c r="W37" s="78"/>
      <c r="X37" s="78"/>
      <c r="Y37" s="79"/>
      <c r="Z37" s="79"/>
      <c r="AA37" s="78"/>
      <c r="AB37" s="78"/>
      <c r="AC37" s="78"/>
      <c r="AD37" s="78"/>
      <c r="AE37" s="78"/>
      <c r="AF37" s="78"/>
      <c r="AG37" s="78"/>
      <c r="AH37" s="78"/>
      <c r="AI37" s="78"/>
      <c r="AJ37" s="78"/>
      <c r="AK37" s="78"/>
      <c r="AL37" s="78"/>
      <c r="AM37" s="81"/>
      <c r="AN37" s="79"/>
      <c r="AO37" s="78"/>
      <c r="AP37" s="78"/>
      <c r="AQ37" s="78"/>
      <c r="AR37" s="78"/>
      <c r="AS37" s="78"/>
      <c r="AT37" s="78"/>
      <c r="AU37" s="79"/>
    </row>
    <row r="38" spans="1:47" ht="20.25" customHeight="1">
      <c r="A38" s="78"/>
      <c r="B38" s="78"/>
      <c r="C38" s="81"/>
      <c r="D38" s="78"/>
      <c r="E38" s="78"/>
      <c r="F38" s="78"/>
      <c r="G38" s="78"/>
      <c r="H38" s="78"/>
      <c r="I38" s="78"/>
      <c r="J38" s="78"/>
      <c r="K38" s="78"/>
      <c r="L38" s="78"/>
      <c r="M38" s="78"/>
      <c r="N38" s="78"/>
      <c r="O38" s="78"/>
      <c r="P38" s="78"/>
      <c r="Q38" s="103"/>
      <c r="R38" s="553"/>
      <c r="S38" s="553"/>
      <c r="T38" s="553"/>
      <c r="U38" s="553"/>
      <c r="V38" s="70"/>
      <c r="W38" s="78"/>
      <c r="X38" s="78"/>
      <c r="Y38" s="79"/>
      <c r="Z38" s="79"/>
      <c r="AA38" s="78"/>
      <c r="AB38" s="78"/>
      <c r="AC38" s="78"/>
      <c r="AD38" s="78"/>
      <c r="AE38" s="78"/>
      <c r="AF38" s="78"/>
      <c r="AG38" s="78"/>
      <c r="AH38" s="78"/>
      <c r="AI38" s="78"/>
      <c r="AJ38" s="78"/>
      <c r="AK38" s="78"/>
      <c r="AL38" s="78"/>
      <c r="AM38" s="81"/>
      <c r="AN38" s="79"/>
      <c r="AO38" s="78"/>
      <c r="AP38" s="78"/>
      <c r="AQ38" s="78"/>
      <c r="AR38" s="78"/>
      <c r="AS38" s="78"/>
      <c r="AT38" s="78"/>
      <c r="AU38" s="79"/>
    </row>
    <row r="39" spans="1:47" ht="20.25" customHeight="1">
      <c r="A39" s="78"/>
      <c r="B39" s="78"/>
      <c r="C39" s="81"/>
      <c r="D39" s="78"/>
      <c r="E39" s="78"/>
      <c r="F39" s="78"/>
      <c r="G39" s="78"/>
      <c r="H39" s="78"/>
      <c r="I39" s="78"/>
      <c r="J39" s="78"/>
      <c r="K39" s="78"/>
      <c r="L39" s="78"/>
      <c r="M39" s="78"/>
      <c r="N39" s="78"/>
      <c r="O39" s="78"/>
      <c r="P39" s="78"/>
      <c r="Q39" s="103"/>
      <c r="R39" s="553"/>
      <c r="S39" s="553"/>
      <c r="T39" s="553"/>
      <c r="U39" s="553"/>
      <c r="V39" s="70"/>
      <c r="W39" s="78"/>
      <c r="X39" s="78"/>
      <c r="Y39" s="79"/>
      <c r="Z39" s="79"/>
      <c r="AA39" s="78"/>
      <c r="AB39" s="78"/>
      <c r="AC39" s="78"/>
      <c r="AD39" s="78"/>
      <c r="AE39" s="78"/>
      <c r="AF39" s="78"/>
      <c r="AG39" s="78"/>
      <c r="AH39" s="78"/>
      <c r="AI39" s="78"/>
      <c r="AJ39" s="78"/>
      <c r="AK39" s="78"/>
      <c r="AL39" s="78"/>
      <c r="AM39" s="81"/>
      <c r="AN39" s="79"/>
      <c r="AO39" s="78"/>
      <c r="AP39" s="78"/>
      <c r="AQ39" s="78"/>
      <c r="AR39" s="78"/>
      <c r="AS39" s="78"/>
      <c r="AT39" s="78"/>
      <c r="AU39" s="79"/>
    </row>
    <row r="40" spans="1:47" ht="20.25" customHeight="1">
      <c r="A40" s="78"/>
      <c r="B40" s="78"/>
      <c r="C40" s="81"/>
      <c r="D40" s="78"/>
      <c r="E40" s="78"/>
      <c r="F40" s="78"/>
      <c r="G40" s="78"/>
      <c r="H40" s="78"/>
      <c r="I40" s="78"/>
      <c r="J40" s="78"/>
      <c r="K40" s="78"/>
      <c r="L40" s="78"/>
      <c r="M40" s="78"/>
      <c r="N40" s="78"/>
      <c r="O40" s="78"/>
      <c r="P40" s="78"/>
      <c r="Q40" s="103"/>
      <c r="R40" s="553"/>
      <c r="S40" s="553"/>
      <c r="T40" s="553"/>
      <c r="U40" s="553"/>
      <c r="V40" s="70"/>
      <c r="W40" s="78"/>
      <c r="X40" s="78"/>
      <c r="Y40" s="79"/>
      <c r="Z40" s="79"/>
      <c r="AA40" s="78"/>
      <c r="AB40" s="78"/>
      <c r="AC40" s="78"/>
      <c r="AD40" s="78"/>
      <c r="AE40" s="78"/>
      <c r="AF40" s="78"/>
      <c r="AG40" s="78"/>
      <c r="AH40" s="78"/>
      <c r="AI40" s="78"/>
      <c r="AJ40" s="78"/>
      <c r="AK40" s="78"/>
      <c r="AL40" s="78"/>
      <c r="AM40" s="81"/>
      <c r="AN40" s="79"/>
      <c r="AO40" s="78"/>
      <c r="AP40" s="78"/>
      <c r="AQ40" s="78"/>
      <c r="AR40" s="78"/>
      <c r="AS40" s="78"/>
      <c r="AT40" s="78"/>
      <c r="AU40" s="79"/>
    </row>
    <row r="41" spans="1:47" ht="20.25" customHeight="1">
      <c r="A41" s="78"/>
      <c r="B41" s="78"/>
      <c r="C41" s="81"/>
      <c r="D41" s="78"/>
      <c r="E41" s="78"/>
      <c r="F41" s="78"/>
      <c r="G41" s="78"/>
      <c r="H41" s="78"/>
      <c r="I41" s="78"/>
      <c r="J41" s="78"/>
      <c r="K41" s="78"/>
      <c r="L41" s="78"/>
      <c r="M41" s="78"/>
      <c r="N41" s="78"/>
      <c r="O41" s="78"/>
      <c r="P41" s="78"/>
      <c r="Q41" s="103"/>
      <c r="R41" s="553"/>
      <c r="S41" s="553"/>
      <c r="T41" s="553"/>
      <c r="U41" s="553"/>
      <c r="V41" s="70"/>
      <c r="W41" s="78"/>
      <c r="X41" s="78"/>
      <c r="Y41" s="79"/>
      <c r="Z41" s="79"/>
      <c r="AA41" s="78"/>
      <c r="AB41" s="78"/>
      <c r="AC41" s="78"/>
      <c r="AD41" s="78"/>
      <c r="AE41" s="78"/>
      <c r="AF41" s="78"/>
      <c r="AG41" s="78"/>
      <c r="AH41" s="78"/>
      <c r="AI41" s="78"/>
      <c r="AJ41" s="78"/>
      <c r="AK41" s="78"/>
      <c r="AL41" s="78"/>
      <c r="AM41" s="81"/>
      <c r="AN41" s="79"/>
      <c r="AO41" s="78"/>
      <c r="AP41" s="78"/>
      <c r="AQ41" s="78"/>
      <c r="AR41" s="78"/>
      <c r="AS41" s="78"/>
      <c r="AT41" s="78"/>
      <c r="AU41" s="79"/>
    </row>
    <row r="42" spans="1:47" ht="20.25" customHeight="1">
      <c r="A42" s="78"/>
      <c r="B42" s="78"/>
      <c r="C42" s="81"/>
      <c r="D42" s="78"/>
      <c r="E42" s="78"/>
      <c r="F42" s="78"/>
      <c r="G42" s="78"/>
      <c r="H42" s="78"/>
      <c r="I42" s="78"/>
      <c r="J42" s="78"/>
      <c r="K42" s="78"/>
      <c r="L42" s="78"/>
      <c r="M42" s="78"/>
      <c r="N42" s="78"/>
      <c r="O42" s="78"/>
      <c r="P42" s="78"/>
      <c r="Q42" s="103"/>
      <c r="R42" s="553"/>
      <c r="S42" s="553"/>
      <c r="T42" s="553"/>
      <c r="U42" s="553"/>
      <c r="V42" s="70"/>
      <c r="W42" s="78"/>
      <c r="X42" s="78"/>
      <c r="Y42" s="79"/>
      <c r="Z42" s="79"/>
      <c r="AA42" s="78"/>
      <c r="AB42" s="78"/>
      <c r="AC42" s="78"/>
      <c r="AD42" s="78"/>
      <c r="AE42" s="78"/>
      <c r="AF42" s="78"/>
      <c r="AG42" s="78"/>
      <c r="AH42" s="78"/>
      <c r="AI42" s="78"/>
      <c r="AJ42" s="78"/>
      <c r="AK42" s="78"/>
      <c r="AL42" s="78"/>
      <c r="AM42" s="81"/>
      <c r="AN42" s="79"/>
      <c r="AO42" s="78"/>
      <c r="AP42" s="78"/>
      <c r="AQ42" s="78"/>
      <c r="AR42" s="78"/>
      <c r="AS42" s="78"/>
      <c r="AT42" s="78"/>
      <c r="AU42" s="79"/>
    </row>
    <row r="43" spans="1:47" ht="20.25" customHeight="1">
      <c r="A43" s="78"/>
      <c r="B43" s="78"/>
      <c r="C43" s="81"/>
      <c r="D43" s="78"/>
      <c r="E43" s="78"/>
      <c r="F43" s="78"/>
      <c r="G43" s="78"/>
      <c r="H43" s="78"/>
      <c r="I43" s="78"/>
      <c r="J43" s="78"/>
      <c r="K43" s="78"/>
      <c r="L43" s="78"/>
      <c r="M43" s="78"/>
      <c r="N43" s="78"/>
      <c r="O43" s="78"/>
      <c r="P43" s="78"/>
      <c r="Q43" s="103"/>
      <c r="R43" s="553"/>
      <c r="S43" s="553"/>
      <c r="T43" s="553"/>
      <c r="U43" s="553"/>
      <c r="V43" s="70"/>
      <c r="W43" s="78"/>
      <c r="X43" s="78"/>
      <c r="Y43" s="79"/>
      <c r="Z43" s="79"/>
      <c r="AA43" s="78"/>
      <c r="AB43" s="78"/>
      <c r="AC43" s="78"/>
      <c r="AD43" s="78"/>
      <c r="AE43" s="78"/>
      <c r="AF43" s="78"/>
      <c r="AG43" s="78"/>
      <c r="AH43" s="78"/>
      <c r="AI43" s="78"/>
      <c r="AJ43" s="78"/>
      <c r="AK43" s="78"/>
      <c r="AL43" s="78"/>
      <c r="AM43" s="81"/>
      <c r="AN43" s="79"/>
      <c r="AO43" s="78"/>
      <c r="AP43" s="78"/>
      <c r="AQ43" s="78"/>
      <c r="AR43" s="78"/>
      <c r="AS43" s="78"/>
      <c r="AT43" s="78"/>
      <c r="AU43" s="79"/>
    </row>
    <row r="44" spans="1:47" ht="20.25" customHeight="1">
      <c r="A44" s="78"/>
      <c r="B44" s="78"/>
      <c r="C44" s="81"/>
      <c r="D44" s="78"/>
      <c r="E44" s="78"/>
      <c r="F44" s="78"/>
      <c r="G44" s="78"/>
      <c r="H44" s="78"/>
      <c r="I44" s="78"/>
      <c r="J44" s="78"/>
      <c r="K44" s="78"/>
      <c r="L44" s="78"/>
      <c r="M44" s="78"/>
      <c r="N44" s="78"/>
      <c r="O44" s="78"/>
      <c r="P44" s="78"/>
      <c r="Q44" s="103"/>
      <c r="R44" s="553"/>
      <c r="S44" s="553"/>
      <c r="T44" s="553"/>
      <c r="U44" s="553"/>
      <c r="V44" s="70"/>
      <c r="W44" s="78"/>
      <c r="X44" s="78"/>
      <c r="Y44" s="79"/>
      <c r="Z44" s="79"/>
      <c r="AA44" s="78"/>
      <c r="AB44" s="78"/>
      <c r="AC44" s="78"/>
      <c r="AD44" s="78"/>
      <c r="AE44" s="78"/>
      <c r="AF44" s="78"/>
      <c r="AG44" s="78"/>
      <c r="AH44" s="78"/>
      <c r="AI44" s="78"/>
      <c r="AJ44" s="78"/>
      <c r="AK44" s="78"/>
      <c r="AL44" s="78"/>
      <c r="AM44" s="81"/>
      <c r="AN44" s="79"/>
      <c r="AO44" s="78"/>
      <c r="AP44" s="78"/>
      <c r="AQ44" s="78"/>
      <c r="AR44" s="78"/>
      <c r="AS44" s="78"/>
      <c r="AT44" s="78"/>
      <c r="AU44" s="79"/>
    </row>
    <row r="45" spans="1:47" ht="20.25" customHeight="1">
      <c r="A45" s="78"/>
      <c r="B45" s="78"/>
      <c r="C45" s="81"/>
      <c r="D45" s="78"/>
      <c r="E45" s="78"/>
      <c r="F45" s="78"/>
      <c r="G45" s="78"/>
      <c r="H45" s="78"/>
      <c r="I45" s="78"/>
      <c r="J45" s="78"/>
      <c r="K45" s="78"/>
      <c r="L45" s="78"/>
      <c r="M45" s="78"/>
      <c r="N45" s="78"/>
      <c r="O45" s="78"/>
      <c r="P45" s="78"/>
      <c r="Q45" s="103"/>
      <c r="R45" s="553"/>
      <c r="S45" s="553"/>
      <c r="T45" s="553"/>
      <c r="U45" s="553"/>
      <c r="V45" s="70"/>
      <c r="W45" s="78"/>
      <c r="X45" s="78"/>
      <c r="Y45" s="79"/>
      <c r="Z45" s="79"/>
      <c r="AA45" s="78"/>
      <c r="AB45" s="78"/>
      <c r="AC45" s="78"/>
      <c r="AD45" s="78"/>
      <c r="AE45" s="78"/>
      <c r="AF45" s="78"/>
      <c r="AG45" s="78"/>
      <c r="AH45" s="78"/>
      <c r="AI45" s="78"/>
      <c r="AJ45" s="78"/>
      <c r="AK45" s="78"/>
      <c r="AL45" s="78"/>
      <c r="AM45" s="81"/>
      <c r="AN45" s="79"/>
      <c r="AO45" s="78"/>
      <c r="AP45" s="78"/>
      <c r="AQ45" s="78"/>
      <c r="AR45" s="78"/>
      <c r="AS45" s="78"/>
      <c r="AT45" s="78"/>
      <c r="AU45" s="79"/>
    </row>
    <row r="46" spans="1:47" ht="20.25" customHeight="1">
      <c r="A46" s="78"/>
      <c r="B46" s="78"/>
      <c r="C46" s="81"/>
      <c r="D46" s="78"/>
      <c r="E46" s="78"/>
      <c r="F46" s="78"/>
      <c r="G46" s="78"/>
      <c r="H46" s="78"/>
      <c r="I46" s="78"/>
      <c r="J46" s="78"/>
      <c r="K46" s="78"/>
      <c r="L46" s="78"/>
      <c r="M46" s="78"/>
      <c r="N46" s="78"/>
      <c r="O46" s="78"/>
      <c r="P46" s="78"/>
      <c r="Q46" s="103"/>
      <c r="R46" s="553"/>
      <c r="S46" s="553"/>
      <c r="T46" s="553"/>
      <c r="U46" s="553"/>
      <c r="V46" s="70"/>
      <c r="W46" s="78"/>
      <c r="X46" s="78"/>
      <c r="Y46" s="79"/>
      <c r="Z46" s="79"/>
      <c r="AA46" s="78"/>
      <c r="AB46" s="78"/>
      <c r="AC46" s="78"/>
      <c r="AD46" s="78"/>
      <c r="AE46" s="78"/>
      <c r="AF46" s="78"/>
      <c r="AG46" s="78"/>
      <c r="AH46" s="78"/>
      <c r="AI46" s="78"/>
      <c r="AJ46" s="78"/>
      <c r="AK46" s="78"/>
      <c r="AL46" s="78"/>
      <c r="AM46" s="81"/>
      <c r="AN46" s="79"/>
      <c r="AO46" s="78"/>
      <c r="AP46" s="78"/>
      <c r="AQ46" s="78"/>
      <c r="AR46" s="78"/>
      <c r="AS46" s="78"/>
      <c r="AT46" s="78"/>
      <c r="AU46" s="79"/>
    </row>
    <row r="47" spans="1:47" ht="20.25" customHeight="1">
      <c r="A47" s="78"/>
      <c r="B47" s="78"/>
      <c r="C47" s="81"/>
      <c r="D47" s="78"/>
      <c r="E47" s="78"/>
      <c r="F47" s="78"/>
      <c r="G47" s="78"/>
      <c r="H47" s="78"/>
      <c r="I47" s="78"/>
      <c r="J47" s="78"/>
      <c r="K47" s="78"/>
      <c r="L47" s="78"/>
      <c r="M47" s="78"/>
      <c r="N47" s="78"/>
      <c r="O47" s="78"/>
      <c r="P47" s="78"/>
      <c r="Q47" s="103"/>
      <c r="R47" s="553"/>
      <c r="S47" s="553"/>
      <c r="T47" s="553"/>
      <c r="U47" s="553"/>
      <c r="V47" s="70"/>
      <c r="W47" s="78"/>
      <c r="X47" s="78"/>
      <c r="Y47" s="79"/>
      <c r="Z47" s="79"/>
      <c r="AA47" s="78"/>
      <c r="AB47" s="78"/>
      <c r="AC47" s="78"/>
      <c r="AD47" s="78"/>
      <c r="AE47" s="78"/>
      <c r="AF47" s="78"/>
      <c r="AG47" s="78"/>
      <c r="AH47" s="78"/>
      <c r="AI47" s="78"/>
      <c r="AJ47" s="78"/>
      <c r="AK47" s="78"/>
      <c r="AL47" s="78"/>
      <c r="AM47" s="81"/>
      <c r="AN47" s="79"/>
      <c r="AO47" s="78"/>
      <c r="AP47" s="78"/>
      <c r="AQ47" s="78"/>
      <c r="AR47" s="78"/>
      <c r="AS47" s="78"/>
      <c r="AT47" s="78"/>
      <c r="AU47" s="79"/>
    </row>
    <row r="48" spans="1:47" ht="20.25" customHeight="1">
      <c r="A48" s="78"/>
      <c r="B48" s="78"/>
      <c r="C48" s="81"/>
      <c r="D48" s="78"/>
      <c r="E48" s="78"/>
      <c r="F48" s="78"/>
      <c r="G48" s="78"/>
      <c r="H48" s="78"/>
      <c r="I48" s="78"/>
      <c r="J48" s="78"/>
      <c r="K48" s="78"/>
      <c r="L48" s="78"/>
      <c r="M48" s="78"/>
      <c r="N48" s="78"/>
      <c r="O48" s="78"/>
      <c r="P48" s="78"/>
      <c r="Q48" s="103"/>
      <c r="R48" s="553"/>
      <c r="S48" s="553"/>
      <c r="T48" s="553"/>
      <c r="U48" s="553"/>
      <c r="V48" s="70"/>
      <c r="W48" s="78"/>
      <c r="X48" s="78"/>
      <c r="Y48" s="79"/>
      <c r="Z48" s="79"/>
      <c r="AA48" s="78"/>
      <c r="AB48" s="78"/>
      <c r="AC48" s="78"/>
      <c r="AD48" s="78"/>
      <c r="AE48" s="78"/>
      <c r="AF48" s="78"/>
      <c r="AG48" s="78"/>
      <c r="AH48" s="78"/>
      <c r="AI48" s="78"/>
      <c r="AJ48" s="78"/>
      <c r="AK48" s="78"/>
      <c r="AL48" s="78"/>
      <c r="AM48" s="81"/>
      <c r="AN48" s="79"/>
      <c r="AO48" s="78"/>
      <c r="AP48" s="78"/>
      <c r="AQ48" s="78"/>
      <c r="AR48" s="78"/>
      <c r="AS48" s="78"/>
      <c r="AT48" s="78"/>
      <c r="AU48" s="79"/>
    </row>
    <row r="49" spans="1:47" ht="20.25" customHeight="1">
      <c r="A49" s="78"/>
      <c r="B49" s="78"/>
      <c r="C49" s="81"/>
      <c r="D49" s="78"/>
      <c r="E49" s="78"/>
      <c r="F49" s="78"/>
      <c r="G49" s="78"/>
      <c r="H49" s="78"/>
      <c r="I49" s="78"/>
      <c r="J49" s="78"/>
      <c r="K49" s="78"/>
      <c r="L49" s="78"/>
      <c r="M49" s="78"/>
      <c r="N49" s="78"/>
      <c r="O49" s="78"/>
      <c r="P49" s="78"/>
      <c r="Q49" s="103"/>
      <c r="R49" s="553"/>
      <c r="S49" s="553"/>
      <c r="T49" s="553"/>
      <c r="U49" s="553"/>
      <c r="V49" s="70"/>
      <c r="W49" s="78"/>
      <c r="X49" s="78"/>
      <c r="Y49" s="79"/>
      <c r="Z49" s="79"/>
      <c r="AA49" s="78"/>
      <c r="AB49" s="78"/>
      <c r="AC49" s="78"/>
      <c r="AD49" s="78"/>
      <c r="AE49" s="78"/>
      <c r="AF49" s="78"/>
      <c r="AG49" s="78"/>
      <c r="AH49" s="78"/>
      <c r="AI49" s="78"/>
      <c r="AJ49" s="78"/>
      <c r="AK49" s="78"/>
      <c r="AL49" s="78"/>
      <c r="AM49" s="81"/>
      <c r="AN49" s="79"/>
      <c r="AO49" s="78"/>
      <c r="AP49" s="78"/>
      <c r="AQ49" s="78"/>
      <c r="AR49" s="78"/>
      <c r="AS49" s="78"/>
      <c r="AT49" s="78"/>
      <c r="AU49" s="79"/>
    </row>
    <row r="50" spans="1:47" ht="20.25" customHeight="1">
      <c r="A50" s="78"/>
      <c r="B50" s="78"/>
      <c r="C50" s="81"/>
      <c r="D50" s="78"/>
      <c r="E50" s="78"/>
      <c r="F50" s="78"/>
      <c r="G50" s="78"/>
      <c r="H50" s="78"/>
      <c r="I50" s="78"/>
      <c r="J50" s="78"/>
      <c r="K50" s="78"/>
      <c r="L50" s="78"/>
      <c r="M50" s="78"/>
      <c r="N50" s="78"/>
      <c r="O50" s="78"/>
      <c r="P50" s="78"/>
      <c r="Q50" s="103"/>
      <c r="R50" s="553"/>
      <c r="S50" s="553"/>
      <c r="T50" s="553"/>
      <c r="U50" s="553"/>
      <c r="V50" s="70"/>
      <c r="W50" s="78"/>
      <c r="X50" s="78"/>
      <c r="Y50" s="79"/>
      <c r="Z50" s="79"/>
      <c r="AA50" s="78"/>
      <c r="AB50" s="78"/>
      <c r="AC50" s="78"/>
      <c r="AD50" s="78"/>
      <c r="AE50" s="78"/>
      <c r="AF50" s="78"/>
      <c r="AG50" s="78"/>
      <c r="AH50" s="78"/>
      <c r="AI50" s="78"/>
      <c r="AJ50" s="78"/>
      <c r="AK50" s="78"/>
      <c r="AL50" s="78"/>
      <c r="AM50" s="81"/>
      <c r="AN50" s="79"/>
      <c r="AO50" s="78"/>
      <c r="AP50" s="78"/>
      <c r="AQ50" s="78"/>
      <c r="AR50" s="78"/>
      <c r="AS50" s="78"/>
      <c r="AT50" s="78"/>
      <c r="AU50" s="79"/>
    </row>
    <row r="51" spans="1:47" ht="20.25" customHeight="1">
      <c r="A51" s="78"/>
      <c r="B51" s="78"/>
      <c r="C51" s="81"/>
      <c r="D51" s="78"/>
      <c r="E51" s="78"/>
      <c r="F51" s="78"/>
      <c r="G51" s="78"/>
      <c r="H51" s="78"/>
      <c r="I51" s="78"/>
      <c r="J51" s="78"/>
      <c r="K51" s="78"/>
      <c r="L51" s="78"/>
      <c r="M51" s="78"/>
      <c r="N51" s="78"/>
      <c r="O51" s="78"/>
      <c r="P51" s="78"/>
      <c r="Q51" s="103"/>
      <c r="R51" s="553"/>
      <c r="S51" s="553"/>
      <c r="T51" s="553"/>
      <c r="U51" s="553"/>
      <c r="V51" s="70"/>
      <c r="W51" s="78"/>
      <c r="X51" s="78"/>
      <c r="Y51" s="79"/>
      <c r="Z51" s="79"/>
      <c r="AA51" s="78"/>
      <c r="AB51" s="78"/>
      <c r="AC51" s="78"/>
      <c r="AD51" s="78"/>
      <c r="AE51" s="78"/>
      <c r="AF51" s="78"/>
      <c r="AG51" s="78"/>
      <c r="AH51" s="78"/>
      <c r="AI51" s="78"/>
      <c r="AJ51" s="78"/>
      <c r="AK51" s="78"/>
      <c r="AL51" s="78"/>
      <c r="AM51" s="81"/>
      <c r="AN51" s="79"/>
      <c r="AO51" s="78"/>
      <c r="AP51" s="78"/>
      <c r="AQ51" s="78"/>
      <c r="AR51" s="78"/>
      <c r="AS51" s="78"/>
      <c r="AT51" s="78"/>
      <c r="AU51" s="79"/>
    </row>
    <row r="52" spans="1:47" ht="20.25" customHeight="1">
      <c r="A52" s="78"/>
      <c r="B52" s="78"/>
      <c r="C52" s="81"/>
      <c r="D52" s="78"/>
      <c r="E52" s="78"/>
      <c r="F52" s="78"/>
      <c r="G52" s="78"/>
      <c r="H52" s="78"/>
      <c r="I52" s="78"/>
      <c r="J52" s="78"/>
      <c r="K52" s="78"/>
      <c r="L52" s="78"/>
      <c r="M52" s="78"/>
      <c r="N52" s="78"/>
      <c r="O52" s="78"/>
      <c r="P52" s="78"/>
      <c r="Q52" s="103"/>
      <c r="R52" s="553"/>
      <c r="S52" s="553"/>
      <c r="T52" s="553"/>
      <c r="U52" s="553"/>
      <c r="V52" s="70"/>
      <c r="W52" s="78"/>
      <c r="X52" s="78"/>
      <c r="Y52" s="79"/>
      <c r="Z52" s="79"/>
      <c r="AA52" s="78"/>
      <c r="AB52" s="78"/>
      <c r="AC52" s="78"/>
      <c r="AD52" s="78"/>
      <c r="AE52" s="78"/>
      <c r="AF52" s="78"/>
      <c r="AG52" s="78"/>
      <c r="AH52" s="78"/>
      <c r="AI52" s="78"/>
      <c r="AJ52" s="78"/>
      <c r="AK52" s="78"/>
      <c r="AL52" s="78"/>
      <c r="AM52" s="81"/>
      <c r="AN52" s="79"/>
      <c r="AO52" s="78"/>
      <c r="AP52" s="78"/>
      <c r="AQ52" s="78"/>
      <c r="AR52" s="78"/>
      <c r="AS52" s="78"/>
      <c r="AT52" s="78"/>
      <c r="AU52" s="79"/>
    </row>
    <row r="53" spans="1:47" ht="20.25" customHeight="1">
      <c r="A53" s="78"/>
      <c r="B53" s="78"/>
      <c r="C53" s="81"/>
      <c r="D53" s="78"/>
      <c r="E53" s="78"/>
      <c r="F53" s="78"/>
      <c r="G53" s="78"/>
      <c r="H53" s="78"/>
      <c r="I53" s="78"/>
      <c r="J53" s="78"/>
      <c r="K53" s="78"/>
      <c r="L53" s="78"/>
      <c r="M53" s="78"/>
      <c r="N53" s="78"/>
      <c r="O53" s="78"/>
      <c r="P53" s="78"/>
      <c r="Q53" s="103"/>
      <c r="R53" s="553"/>
      <c r="S53" s="553"/>
      <c r="T53" s="553"/>
      <c r="U53" s="553"/>
      <c r="V53" s="70"/>
      <c r="W53" s="78"/>
      <c r="X53" s="78"/>
      <c r="Y53" s="79"/>
      <c r="Z53" s="79"/>
      <c r="AA53" s="78"/>
      <c r="AB53" s="78"/>
      <c r="AC53" s="78"/>
      <c r="AD53" s="78"/>
      <c r="AE53" s="78"/>
      <c r="AF53" s="78"/>
      <c r="AG53" s="78"/>
      <c r="AH53" s="78"/>
      <c r="AI53" s="78"/>
      <c r="AJ53" s="78"/>
      <c r="AK53" s="78"/>
      <c r="AL53" s="78"/>
      <c r="AM53" s="81"/>
      <c r="AN53" s="79"/>
      <c r="AO53" s="78"/>
      <c r="AP53" s="78"/>
      <c r="AQ53" s="78"/>
      <c r="AR53" s="78"/>
      <c r="AS53" s="78"/>
      <c r="AT53" s="78"/>
      <c r="AU53" s="79"/>
    </row>
    <row r="54" spans="1:47" ht="20.25" customHeight="1">
      <c r="A54" s="78"/>
      <c r="B54" s="78"/>
      <c r="C54" s="81"/>
      <c r="D54" s="78"/>
      <c r="E54" s="78"/>
      <c r="F54" s="78"/>
      <c r="G54" s="78"/>
      <c r="H54" s="78"/>
      <c r="I54" s="78"/>
      <c r="J54" s="78"/>
      <c r="K54" s="78"/>
      <c r="L54" s="78"/>
      <c r="M54" s="78"/>
      <c r="N54" s="78"/>
      <c r="O54" s="78"/>
      <c r="P54" s="78"/>
      <c r="Q54" s="103"/>
      <c r="R54" s="553"/>
      <c r="S54" s="553"/>
      <c r="T54" s="553"/>
      <c r="U54" s="553"/>
      <c r="V54" s="70"/>
      <c r="W54" s="78"/>
      <c r="X54" s="78"/>
      <c r="Y54" s="79"/>
      <c r="Z54" s="79"/>
      <c r="AA54" s="78"/>
      <c r="AB54" s="78"/>
      <c r="AC54" s="78"/>
      <c r="AD54" s="78"/>
      <c r="AE54" s="78"/>
      <c r="AF54" s="78"/>
      <c r="AG54" s="78"/>
      <c r="AH54" s="78"/>
      <c r="AI54" s="78"/>
      <c r="AJ54" s="78"/>
      <c r="AK54" s="78"/>
      <c r="AL54" s="78"/>
      <c r="AM54" s="81"/>
      <c r="AN54" s="79"/>
      <c r="AO54" s="78"/>
      <c r="AP54" s="78"/>
      <c r="AQ54" s="78"/>
      <c r="AR54" s="78"/>
      <c r="AS54" s="78"/>
      <c r="AT54" s="78"/>
      <c r="AU54" s="79"/>
    </row>
    <row r="55" spans="1:47" ht="20.25" customHeight="1">
      <c r="A55" s="78"/>
      <c r="B55" s="78"/>
      <c r="C55" s="81"/>
      <c r="D55" s="78"/>
      <c r="E55" s="78"/>
      <c r="F55" s="78"/>
      <c r="G55" s="78"/>
      <c r="H55" s="78"/>
      <c r="I55" s="78"/>
      <c r="J55" s="78"/>
      <c r="K55" s="78"/>
      <c r="L55" s="78"/>
      <c r="M55" s="78"/>
      <c r="N55" s="78"/>
      <c r="O55" s="78"/>
      <c r="P55" s="78"/>
      <c r="Q55" s="103"/>
      <c r="R55" s="553"/>
      <c r="S55" s="553"/>
      <c r="T55" s="553"/>
      <c r="U55" s="553"/>
      <c r="V55" s="70"/>
      <c r="W55" s="78"/>
      <c r="X55" s="78"/>
      <c r="Y55" s="79"/>
      <c r="Z55" s="79"/>
      <c r="AA55" s="78"/>
      <c r="AB55" s="78"/>
      <c r="AC55" s="78"/>
      <c r="AD55" s="78"/>
      <c r="AE55" s="78"/>
      <c r="AF55" s="78"/>
      <c r="AG55" s="78"/>
      <c r="AH55" s="78"/>
      <c r="AI55" s="78"/>
      <c r="AJ55" s="78"/>
      <c r="AK55" s="78"/>
      <c r="AL55" s="78"/>
      <c r="AM55" s="81"/>
      <c r="AN55" s="79"/>
      <c r="AO55" s="78"/>
      <c r="AP55" s="78"/>
      <c r="AQ55" s="78"/>
      <c r="AR55" s="78"/>
      <c r="AS55" s="78"/>
      <c r="AT55" s="78"/>
      <c r="AU55" s="79"/>
    </row>
    <row r="56" spans="1:47" ht="20.25" customHeight="1">
      <c r="A56" s="78"/>
      <c r="B56" s="78"/>
      <c r="C56" s="81"/>
      <c r="D56" s="78"/>
      <c r="E56" s="78"/>
      <c r="F56" s="78"/>
      <c r="G56" s="78"/>
      <c r="H56" s="78"/>
      <c r="I56" s="78"/>
      <c r="J56" s="78"/>
      <c r="K56" s="78"/>
      <c r="L56" s="78"/>
      <c r="M56" s="78"/>
      <c r="N56" s="78"/>
      <c r="O56" s="78"/>
      <c r="P56" s="78"/>
      <c r="Q56" s="103"/>
      <c r="R56" s="553"/>
      <c r="S56" s="553"/>
      <c r="T56" s="553"/>
      <c r="U56" s="553"/>
      <c r="V56" s="70"/>
      <c r="W56" s="78"/>
      <c r="X56" s="78"/>
      <c r="Y56" s="79"/>
      <c r="Z56" s="79"/>
      <c r="AA56" s="78"/>
      <c r="AB56" s="78"/>
      <c r="AC56" s="78"/>
      <c r="AD56" s="78"/>
      <c r="AE56" s="78"/>
      <c r="AF56" s="78"/>
      <c r="AG56" s="78"/>
      <c r="AH56" s="78"/>
      <c r="AI56" s="78"/>
      <c r="AJ56" s="78"/>
      <c r="AK56" s="78"/>
      <c r="AL56" s="78"/>
      <c r="AM56" s="81"/>
      <c r="AN56" s="79"/>
      <c r="AO56" s="78"/>
      <c r="AP56" s="78"/>
      <c r="AQ56" s="78"/>
      <c r="AR56" s="78"/>
      <c r="AS56" s="78"/>
      <c r="AT56" s="78"/>
      <c r="AU56" s="79"/>
    </row>
    <row r="57" spans="1:47" ht="20.25" customHeight="1">
      <c r="A57" s="78"/>
      <c r="B57" s="78"/>
      <c r="C57" s="81"/>
      <c r="D57" s="78"/>
      <c r="E57" s="78"/>
      <c r="F57" s="78"/>
      <c r="G57" s="78"/>
      <c r="H57" s="78"/>
      <c r="I57" s="78"/>
      <c r="J57" s="78"/>
      <c r="K57" s="78"/>
      <c r="L57" s="78"/>
      <c r="M57" s="78"/>
      <c r="N57" s="78"/>
      <c r="O57" s="78"/>
      <c r="P57" s="78"/>
      <c r="Q57" s="103"/>
      <c r="R57" s="553"/>
      <c r="S57" s="553"/>
      <c r="T57" s="553"/>
      <c r="U57" s="553"/>
      <c r="V57" s="70"/>
      <c r="W57" s="78"/>
      <c r="X57" s="78"/>
      <c r="Y57" s="79"/>
      <c r="Z57" s="79"/>
      <c r="AA57" s="78"/>
      <c r="AB57" s="78"/>
      <c r="AC57" s="78"/>
      <c r="AD57" s="78"/>
      <c r="AE57" s="78"/>
      <c r="AF57" s="78"/>
      <c r="AG57" s="78"/>
      <c r="AH57" s="78"/>
      <c r="AI57" s="78"/>
      <c r="AJ57" s="78"/>
      <c r="AK57" s="78"/>
      <c r="AL57" s="78"/>
      <c r="AM57" s="81"/>
      <c r="AN57" s="79"/>
      <c r="AO57" s="78"/>
      <c r="AP57" s="78"/>
      <c r="AQ57" s="78"/>
      <c r="AR57" s="78"/>
      <c r="AS57" s="78"/>
      <c r="AT57" s="78"/>
      <c r="AU57" s="79"/>
    </row>
    <row r="58" spans="1:47" ht="20.25" customHeight="1">
      <c r="A58" s="78"/>
      <c r="B58" s="78"/>
      <c r="C58" s="81"/>
      <c r="D58" s="78"/>
      <c r="E58" s="78"/>
      <c r="F58" s="78"/>
      <c r="G58" s="78"/>
      <c r="H58" s="78"/>
      <c r="I58" s="78"/>
      <c r="J58" s="78"/>
      <c r="K58" s="78"/>
      <c r="L58" s="78"/>
      <c r="M58" s="78"/>
      <c r="N58" s="78"/>
      <c r="O58" s="78"/>
      <c r="P58" s="78"/>
      <c r="Q58" s="103"/>
      <c r="R58" s="553"/>
      <c r="S58" s="553"/>
      <c r="T58" s="553"/>
      <c r="U58" s="553"/>
      <c r="V58" s="70"/>
      <c r="W58" s="78"/>
      <c r="X58" s="78"/>
      <c r="Y58" s="79"/>
      <c r="Z58" s="79"/>
      <c r="AA58" s="78"/>
      <c r="AB58" s="78"/>
      <c r="AC58" s="78"/>
      <c r="AD58" s="78"/>
      <c r="AE58" s="78"/>
      <c r="AF58" s="78"/>
      <c r="AG58" s="78"/>
      <c r="AH58" s="78"/>
      <c r="AI58" s="78"/>
      <c r="AJ58" s="78"/>
      <c r="AK58" s="78"/>
      <c r="AL58" s="78"/>
      <c r="AM58" s="81"/>
      <c r="AN58" s="79"/>
      <c r="AO58" s="78"/>
      <c r="AP58" s="78"/>
      <c r="AQ58" s="78"/>
      <c r="AR58" s="78"/>
      <c r="AS58" s="78"/>
      <c r="AT58" s="78"/>
      <c r="AU58" s="79"/>
    </row>
    <row r="59" spans="1:47" ht="20.25" customHeight="1">
      <c r="A59" s="78"/>
      <c r="B59" s="78"/>
      <c r="C59" s="81"/>
      <c r="D59" s="78"/>
      <c r="E59" s="78"/>
      <c r="F59" s="78"/>
      <c r="G59" s="78"/>
      <c r="H59" s="78"/>
      <c r="I59" s="78"/>
      <c r="J59" s="78"/>
      <c r="K59" s="78"/>
      <c r="L59" s="78"/>
      <c r="M59" s="78"/>
      <c r="N59" s="78"/>
      <c r="O59" s="78"/>
      <c r="P59" s="78"/>
      <c r="Q59" s="103"/>
      <c r="R59" s="553"/>
      <c r="S59" s="553"/>
      <c r="T59" s="553"/>
      <c r="U59" s="553"/>
      <c r="V59" s="70"/>
      <c r="W59" s="78"/>
      <c r="X59" s="78"/>
      <c r="Y59" s="79"/>
      <c r="Z59" s="79"/>
      <c r="AA59" s="78"/>
      <c r="AB59" s="78"/>
      <c r="AC59" s="78"/>
      <c r="AD59" s="78"/>
      <c r="AE59" s="78"/>
      <c r="AF59" s="78"/>
      <c r="AG59" s="78"/>
      <c r="AH59" s="78"/>
      <c r="AI59" s="78"/>
      <c r="AJ59" s="78"/>
      <c r="AK59" s="78"/>
      <c r="AL59" s="78"/>
      <c r="AM59" s="81"/>
      <c r="AN59" s="79"/>
      <c r="AO59" s="78"/>
      <c r="AP59" s="78"/>
      <c r="AQ59" s="78"/>
      <c r="AR59" s="78"/>
      <c r="AS59" s="78"/>
      <c r="AT59" s="78"/>
      <c r="AU59" s="79"/>
    </row>
    <row r="60" spans="1:47" ht="20.25" customHeight="1">
      <c r="A60" s="78"/>
      <c r="B60" s="78"/>
      <c r="C60" s="81"/>
      <c r="D60" s="78"/>
      <c r="E60" s="78"/>
      <c r="F60" s="78"/>
      <c r="G60" s="78"/>
      <c r="H60" s="78"/>
      <c r="I60" s="78"/>
      <c r="J60" s="78"/>
      <c r="K60" s="78"/>
      <c r="L60" s="78"/>
      <c r="M60" s="78"/>
      <c r="N60" s="78"/>
      <c r="O60" s="78"/>
      <c r="P60" s="78"/>
      <c r="Q60" s="103"/>
      <c r="R60" s="553"/>
      <c r="S60" s="553"/>
      <c r="T60" s="553"/>
      <c r="U60" s="553"/>
      <c r="V60" s="70"/>
      <c r="W60" s="78"/>
      <c r="X60" s="78"/>
      <c r="Y60" s="79"/>
      <c r="Z60" s="79"/>
      <c r="AA60" s="78"/>
      <c r="AB60" s="78"/>
      <c r="AC60" s="78"/>
      <c r="AD60" s="78"/>
      <c r="AE60" s="78"/>
      <c r="AF60" s="78"/>
      <c r="AG60" s="78"/>
      <c r="AH60" s="78"/>
      <c r="AI60" s="78"/>
      <c r="AJ60" s="78"/>
      <c r="AK60" s="78"/>
      <c r="AL60" s="78"/>
      <c r="AM60" s="81"/>
      <c r="AN60" s="79"/>
      <c r="AO60" s="78"/>
      <c r="AP60" s="78"/>
      <c r="AQ60" s="78"/>
      <c r="AR60" s="78"/>
      <c r="AS60" s="78"/>
      <c r="AT60" s="78"/>
      <c r="AU60" s="79"/>
    </row>
    <row r="61" spans="1:47" ht="20.25" customHeight="1">
      <c r="A61" s="78"/>
      <c r="B61" s="78"/>
      <c r="C61" s="81"/>
      <c r="D61" s="78"/>
      <c r="E61" s="78"/>
      <c r="F61" s="78"/>
      <c r="G61" s="78"/>
      <c r="H61" s="78"/>
      <c r="I61" s="78"/>
      <c r="J61" s="78"/>
      <c r="K61" s="78"/>
      <c r="L61" s="78"/>
      <c r="M61" s="78"/>
      <c r="N61" s="78"/>
      <c r="O61" s="78"/>
      <c r="P61" s="78"/>
      <c r="Q61" s="103"/>
      <c r="R61" s="553"/>
      <c r="S61" s="553"/>
      <c r="T61" s="553"/>
      <c r="U61" s="553"/>
      <c r="V61" s="70"/>
      <c r="W61" s="78"/>
      <c r="X61" s="78"/>
      <c r="Y61" s="79"/>
      <c r="Z61" s="79"/>
      <c r="AA61" s="78"/>
      <c r="AB61" s="78"/>
      <c r="AC61" s="78"/>
      <c r="AD61" s="78"/>
      <c r="AE61" s="78"/>
      <c r="AF61" s="78"/>
      <c r="AG61" s="78"/>
      <c r="AH61" s="78"/>
      <c r="AI61" s="78"/>
      <c r="AJ61" s="78"/>
      <c r="AK61" s="78"/>
      <c r="AL61" s="78"/>
      <c r="AM61" s="81"/>
      <c r="AN61" s="79"/>
      <c r="AO61" s="78"/>
      <c r="AP61" s="78"/>
      <c r="AQ61" s="78"/>
      <c r="AR61" s="78"/>
      <c r="AS61" s="78"/>
      <c r="AT61" s="78"/>
      <c r="AU61" s="79"/>
    </row>
    <row r="62" spans="1:47" ht="20.25" customHeight="1">
      <c r="A62" s="78"/>
      <c r="B62" s="78"/>
      <c r="C62" s="81"/>
      <c r="D62" s="78"/>
      <c r="E62" s="78"/>
      <c r="F62" s="78"/>
      <c r="G62" s="78"/>
      <c r="H62" s="78"/>
      <c r="I62" s="78"/>
      <c r="J62" s="78"/>
      <c r="K62" s="78"/>
      <c r="L62" s="78"/>
      <c r="M62" s="78"/>
      <c r="N62" s="78"/>
      <c r="O62" s="78"/>
      <c r="P62" s="78"/>
      <c r="Q62" s="103"/>
      <c r="R62" s="553"/>
      <c r="S62" s="553"/>
      <c r="T62" s="553"/>
      <c r="U62" s="553"/>
      <c r="V62" s="70"/>
      <c r="W62" s="78"/>
      <c r="X62" s="78"/>
      <c r="Y62" s="79"/>
      <c r="Z62" s="79"/>
      <c r="AA62" s="78"/>
      <c r="AB62" s="78"/>
      <c r="AC62" s="78"/>
      <c r="AD62" s="78"/>
      <c r="AE62" s="78"/>
      <c r="AF62" s="78"/>
      <c r="AG62" s="78"/>
      <c r="AH62" s="78"/>
      <c r="AI62" s="78"/>
      <c r="AJ62" s="78"/>
      <c r="AK62" s="78"/>
      <c r="AL62" s="78"/>
      <c r="AM62" s="81"/>
      <c r="AN62" s="79"/>
      <c r="AO62" s="78"/>
      <c r="AP62" s="78"/>
      <c r="AQ62" s="78"/>
      <c r="AR62" s="78"/>
      <c r="AS62" s="78"/>
      <c r="AT62" s="78"/>
      <c r="AU62" s="79"/>
    </row>
    <row r="63" spans="1:47" ht="20.25" customHeight="1">
      <c r="A63" s="78"/>
      <c r="B63" s="78"/>
      <c r="C63" s="81"/>
      <c r="D63" s="78"/>
      <c r="E63" s="78"/>
      <c r="F63" s="78"/>
      <c r="G63" s="78"/>
      <c r="H63" s="78"/>
      <c r="I63" s="78"/>
      <c r="J63" s="78"/>
      <c r="K63" s="78"/>
      <c r="L63" s="78"/>
      <c r="M63" s="78"/>
      <c r="N63" s="78"/>
      <c r="O63" s="78"/>
      <c r="P63" s="78"/>
      <c r="Q63" s="103"/>
      <c r="R63" s="553"/>
      <c r="S63" s="553"/>
      <c r="T63" s="553"/>
      <c r="U63" s="553"/>
      <c r="V63" s="70"/>
      <c r="W63" s="78"/>
      <c r="X63" s="78"/>
      <c r="Y63" s="79"/>
      <c r="Z63" s="79"/>
      <c r="AA63" s="78"/>
      <c r="AB63" s="78"/>
      <c r="AC63" s="78"/>
      <c r="AD63" s="78"/>
      <c r="AE63" s="78"/>
      <c r="AF63" s="78"/>
      <c r="AG63" s="78"/>
      <c r="AH63" s="78"/>
      <c r="AI63" s="78"/>
      <c r="AJ63" s="78"/>
      <c r="AK63" s="78"/>
      <c r="AL63" s="78"/>
      <c r="AM63" s="81"/>
      <c r="AN63" s="79"/>
      <c r="AO63" s="78"/>
      <c r="AP63" s="78"/>
      <c r="AQ63" s="78"/>
      <c r="AR63" s="78"/>
      <c r="AS63" s="78"/>
      <c r="AT63" s="78"/>
      <c r="AU63" s="79"/>
    </row>
    <row r="64" spans="1:47" ht="20.25" customHeight="1">
      <c r="A64" s="78"/>
      <c r="B64" s="78"/>
      <c r="C64" s="81"/>
      <c r="D64" s="78"/>
      <c r="E64" s="78"/>
      <c r="F64" s="78"/>
      <c r="G64" s="78"/>
      <c r="H64" s="78"/>
      <c r="I64" s="78"/>
      <c r="J64" s="78"/>
      <c r="K64" s="78"/>
      <c r="L64" s="78"/>
      <c r="M64" s="78"/>
      <c r="N64" s="78"/>
      <c r="O64" s="78"/>
      <c r="P64" s="78"/>
      <c r="Q64" s="103"/>
      <c r="R64" s="553"/>
      <c r="S64" s="553"/>
      <c r="T64" s="553"/>
      <c r="U64" s="553"/>
      <c r="V64" s="70"/>
      <c r="W64" s="78"/>
      <c r="X64" s="78"/>
      <c r="Y64" s="79"/>
      <c r="Z64" s="79"/>
      <c r="AA64" s="78"/>
      <c r="AB64" s="78"/>
      <c r="AC64" s="78"/>
      <c r="AD64" s="78"/>
      <c r="AE64" s="78"/>
      <c r="AF64" s="78"/>
      <c r="AG64" s="78"/>
      <c r="AH64" s="78"/>
      <c r="AI64" s="78"/>
      <c r="AJ64" s="78"/>
      <c r="AK64" s="78"/>
      <c r="AL64" s="78"/>
      <c r="AM64" s="81"/>
      <c r="AN64" s="79"/>
      <c r="AO64" s="78"/>
      <c r="AP64" s="78"/>
      <c r="AQ64" s="78"/>
      <c r="AR64" s="78"/>
      <c r="AS64" s="78"/>
      <c r="AT64" s="78"/>
      <c r="AU64" s="79"/>
    </row>
    <row r="65" spans="1:47" ht="20.25" customHeight="1">
      <c r="A65" s="78"/>
      <c r="B65" s="78"/>
      <c r="C65" s="81"/>
      <c r="D65" s="78"/>
      <c r="E65" s="78"/>
      <c r="F65" s="78"/>
      <c r="G65" s="78"/>
      <c r="H65" s="78"/>
      <c r="I65" s="78"/>
      <c r="J65" s="78"/>
      <c r="K65" s="78"/>
      <c r="L65" s="78"/>
      <c r="M65" s="78"/>
      <c r="N65" s="78"/>
      <c r="O65" s="78"/>
      <c r="P65" s="78"/>
      <c r="Q65" s="103"/>
      <c r="R65" s="553"/>
      <c r="S65" s="553"/>
      <c r="T65" s="553"/>
      <c r="U65" s="553"/>
      <c r="V65" s="70"/>
      <c r="W65" s="78"/>
      <c r="X65" s="78"/>
      <c r="Y65" s="79"/>
      <c r="Z65" s="79"/>
      <c r="AA65" s="78"/>
      <c r="AB65" s="78"/>
      <c r="AC65" s="78"/>
      <c r="AD65" s="78"/>
      <c r="AE65" s="78"/>
      <c r="AF65" s="78"/>
      <c r="AG65" s="78"/>
      <c r="AH65" s="78"/>
      <c r="AI65" s="78"/>
      <c r="AJ65" s="78"/>
      <c r="AK65" s="78"/>
      <c r="AL65" s="78"/>
      <c r="AM65" s="81"/>
      <c r="AN65" s="79"/>
      <c r="AO65" s="78"/>
      <c r="AP65" s="78"/>
      <c r="AQ65" s="78"/>
      <c r="AR65" s="78"/>
      <c r="AS65" s="78"/>
      <c r="AT65" s="78"/>
      <c r="AU65" s="79"/>
    </row>
    <row r="66" spans="1:47" ht="20.25" customHeight="1">
      <c r="A66" s="78"/>
      <c r="B66" s="78"/>
      <c r="C66" s="81"/>
      <c r="D66" s="78"/>
      <c r="E66" s="78"/>
      <c r="F66" s="78"/>
      <c r="G66" s="78"/>
      <c r="H66" s="78"/>
      <c r="I66" s="78"/>
      <c r="J66" s="78"/>
      <c r="K66" s="78"/>
      <c r="L66" s="78"/>
      <c r="M66" s="78"/>
      <c r="N66" s="78"/>
      <c r="O66" s="78"/>
      <c r="P66" s="78"/>
      <c r="Q66" s="103"/>
      <c r="R66" s="553"/>
      <c r="S66" s="553"/>
      <c r="T66" s="553"/>
      <c r="U66" s="553"/>
      <c r="V66" s="70"/>
      <c r="W66" s="78"/>
      <c r="X66" s="78"/>
      <c r="Y66" s="79"/>
      <c r="Z66" s="79"/>
      <c r="AA66" s="78"/>
      <c r="AB66" s="78"/>
      <c r="AC66" s="78"/>
      <c r="AD66" s="78"/>
      <c r="AE66" s="78"/>
      <c r="AF66" s="78"/>
      <c r="AG66" s="78"/>
      <c r="AH66" s="78"/>
      <c r="AI66" s="78"/>
      <c r="AJ66" s="78"/>
      <c r="AK66" s="78"/>
      <c r="AL66" s="78"/>
      <c r="AM66" s="81"/>
      <c r="AN66" s="79"/>
      <c r="AO66" s="78"/>
      <c r="AP66" s="78"/>
      <c r="AQ66" s="78"/>
      <c r="AR66" s="78"/>
      <c r="AS66" s="78"/>
      <c r="AT66" s="78"/>
      <c r="AU66" s="79"/>
    </row>
    <row r="67" spans="1:47" ht="20.25" customHeight="1">
      <c r="A67" s="78"/>
      <c r="B67" s="78"/>
      <c r="C67" s="81"/>
      <c r="D67" s="78"/>
      <c r="E67" s="78"/>
      <c r="F67" s="78"/>
      <c r="G67" s="78"/>
      <c r="H67" s="78"/>
      <c r="I67" s="78"/>
      <c r="J67" s="78"/>
      <c r="K67" s="78"/>
      <c r="L67" s="78"/>
      <c r="M67" s="78"/>
      <c r="N67" s="78"/>
      <c r="O67" s="78"/>
      <c r="P67" s="78"/>
      <c r="Q67" s="103"/>
      <c r="R67" s="553"/>
      <c r="S67" s="553"/>
      <c r="T67" s="553"/>
      <c r="U67" s="553"/>
      <c r="V67" s="70"/>
      <c r="W67" s="78"/>
      <c r="X67" s="78"/>
      <c r="Y67" s="79"/>
      <c r="Z67" s="79"/>
      <c r="AA67" s="78"/>
      <c r="AB67" s="78"/>
      <c r="AC67" s="78"/>
      <c r="AD67" s="78"/>
      <c r="AE67" s="78"/>
      <c r="AF67" s="78"/>
      <c r="AG67" s="78"/>
      <c r="AH67" s="78"/>
      <c r="AI67" s="78"/>
      <c r="AJ67" s="78"/>
      <c r="AK67" s="78"/>
      <c r="AL67" s="78"/>
      <c r="AM67" s="81"/>
      <c r="AN67" s="79"/>
      <c r="AO67" s="78"/>
      <c r="AP67" s="78"/>
      <c r="AQ67" s="78"/>
      <c r="AR67" s="78"/>
      <c r="AS67" s="78"/>
      <c r="AT67" s="78"/>
      <c r="AU67" s="79"/>
    </row>
    <row r="68" spans="1:47" ht="20.25" customHeight="1">
      <c r="A68" s="78"/>
      <c r="B68" s="78"/>
      <c r="C68" s="81"/>
      <c r="D68" s="78"/>
      <c r="E68" s="78"/>
      <c r="F68" s="78"/>
      <c r="G68" s="78"/>
      <c r="H68" s="78"/>
      <c r="I68" s="78"/>
      <c r="J68" s="78"/>
      <c r="K68" s="78"/>
      <c r="L68" s="78"/>
      <c r="M68" s="78"/>
      <c r="N68" s="78"/>
      <c r="O68" s="78"/>
      <c r="P68" s="78"/>
      <c r="Q68" s="103"/>
      <c r="R68" s="553"/>
      <c r="S68" s="553"/>
      <c r="T68" s="553"/>
      <c r="U68" s="553"/>
      <c r="V68" s="70"/>
      <c r="W68" s="78"/>
      <c r="X68" s="78"/>
      <c r="Y68" s="79"/>
      <c r="Z68" s="79"/>
      <c r="AA68" s="78"/>
      <c r="AB68" s="78"/>
      <c r="AC68" s="78"/>
      <c r="AD68" s="78"/>
      <c r="AE68" s="78"/>
      <c r="AF68" s="78"/>
      <c r="AG68" s="78"/>
      <c r="AH68" s="78"/>
      <c r="AI68" s="78"/>
      <c r="AJ68" s="78"/>
      <c r="AK68" s="78"/>
      <c r="AL68" s="78"/>
      <c r="AM68" s="81"/>
      <c r="AN68" s="79"/>
      <c r="AO68" s="78"/>
      <c r="AP68" s="78"/>
      <c r="AQ68" s="78"/>
      <c r="AR68" s="78"/>
      <c r="AS68" s="78"/>
      <c r="AT68" s="78"/>
      <c r="AU68" s="79"/>
    </row>
    <row r="69" spans="1:47" ht="20.25" customHeight="1">
      <c r="A69" s="78"/>
      <c r="B69" s="78"/>
      <c r="C69" s="81"/>
      <c r="D69" s="78"/>
      <c r="E69" s="78"/>
      <c r="F69" s="78"/>
      <c r="G69" s="78"/>
      <c r="H69" s="78"/>
      <c r="I69" s="78"/>
      <c r="J69" s="78"/>
      <c r="K69" s="78"/>
      <c r="L69" s="78"/>
      <c r="M69" s="78"/>
      <c r="N69" s="78"/>
      <c r="O69" s="78"/>
      <c r="P69" s="78"/>
      <c r="Q69" s="103"/>
      <c r="R69" s="553"/>
      <c r="S69" s="553"/>
      <c r="T69" s="553"/>
      <c r="U69" s="553"/>
      <c r="V69" s="70"/>
      <c r="W69" s="78"/>
      <c r="X69" s="78"/>
      <c r="Y69" s="79"/>
      <c r="Z69" s="79"/>
      <c r="AA69" s="78"/>
      <c r="AB69" s="78"/>
      <c r="AC69" s="78"/>
      <c r="AD69" s="78"/>
      <c r="AE69" s="78"/>
      <c r="AF69" s="78"/>
      <c r="AG69" s="78"/>
      <c r="AH69" s="78"/>
      <c r="AI69" s="78"/>
      <c r="AJ69" s="78"/>
      <c r="AK69" s="78"/>
      <c r="AL69" s="78"/>
      <c r="AM69" s="81"/>
      <c r="AN69" s="79"/>
      <c r="AO69" s="78"/>
      <c r="AP69" s="78"/>
      <c r="AQ69" s="78"/>
      <c r="AR69" s="78"/>
      <c r="AS69" s="78"/>
      <c r="AT69" s="78"/>
      <c r="AU69" s="79"/>
    </row>
    <row r="70" spans="1:47" ht="20.25" customHeight="1">
      <c r="A70" s="78"/>
      <c r="B70" s="78"/>
      <c r="C70" s="81"/>
      <c r="D70" s="78"/>
      <c r="E70" s="78"/>
      <c r="F70" s="78"/>
      <c r="G70" s="78"/>
      <c r="H70" s="78"/>
      <c r="I70" s="78"/>
      <c r="J70" s="78"/>
      <c r="K70" s="78"/>
      <c r="L70" s="78"/>
      <c r="M70" s="78"/>
      <c r="N70" s="78"/>
      <c r="O70" s="78"/>
      <c r="P70" s="78"/>
      <c r="Q70" s="103"/>
      <c r="R70" s="553"/>
      <c r="S70" s="553"/>
      <c r="T70" s="553"/>
      <c r="U70" s="553"/>
      <c r="V70" s="70"/>
      <c r="W70" s="78"/>
      <c r="X70" s="78"/>
      <c r="Y70" s="79"/>
      <c r="Z70" s="79"/>
      <c r="AA70" s="78"/>
      <c r="AB70" s="78"/>
      <c r="AC70" s="78"/>
      <c r="AD70" s="78"/>
      <c r="AE70" s="78"/>
      <c r="AF70" s="78"/>
      <c r="AG70" s="78"/>
      <c r="AH70" s="78"/>
      <c r="AI70" s="78"/>
      <c r="AJ70" s="78"/>
      <c r="AK70" s="78"/>
      <c r="AL70" s="78"/>
      <c r="AM70" s="81"/>
      <c r="AN70" s="79"/>
      <c r="AO70" s="78"/>
      <c r="AP70" s="78"/>
      <c r="AQ70" s="78"/>
      <c r="AR70" s="78"/>
      <c r="AS70" s="78"/>
      <c r="AT70" s="78"/>
      <c r="AU70" s="79"/>
    </row>
    <row r="71" spans="1:47" ht="20.25" customHeight="1">
      <c r="A71" s="78"/>
      <c r="B71" s="78"/>
      <c r="C71" s="81"/>
      <c r="D71" s="78"/>
      <c r="E71" s="78"/>
      <c r="F71" s="78"/>
      <c r="G71" s="78"/>
      <c r="H71" s="78"/>
      <c r="I71" s="78"/>
      <c r="J71" s="78"/>
      <c r="K71" s="78"/>
      <c r="L71" s="78"/>
      <c r="M71" s="78"/>
      <c r="N71" s="78"/>
      <c r="O71" s="78"/>
      <c r="P71" s="78"/>
      <c r="Q71" s="103"/>
      <c r="R71" s="553"/>
      <c r="S71" s="553"/>
      <c r="T71" s="553"/>
      <c r="U71" s="553"/>
      <c r="V71" s="70"/>
      <c r="W71" s="78"/>
      <c r="X71" s="78"/>
      <c r="Y71" s="79"/>
      <c r="Z71" s="79"/>
      <c r="AA71" s="78"/>
      <c r="AB71" s="78"/>
      <c r="AC71" s="78"/>
      <c r="AD71" s="78"/>
      <c r="AE71" s="78"/>
      <c r="AF71" s="78"/>
      <c r="AG71" s="78"/>
      <c r="AH71" s="78"/>
      <c r="AI71" s="78"/>
      <c r="AJ71" s="78"/>
      <c r="AK71" s="78"/>
      <c r="AL71" s="78"/>
      <c r="AM71" s="81"/>
      <c r="AN71" s="79"/>
      <c r="AO71" s="78"/>
      <c r="AP71" s="78"/>
      <c r="AQ71" s="78"/>
      <c r="AR71" s="78"/>
      <c r="AS71" s="78"/>
      <c r="AT71" s="78"/>
      <c r="AU71" s="79"/>
    </row>
    <row r="72" spans="1:47" ht="20.25" customHeight="1">
      <c r="A72" s="78"/>
      <c r="B72" s="78"/>
      <c r="C72" s="81"/>
      <c r="D72" s="78"/>
      <c r="E72" s="78"/>
      <c r="F72" s="78"/>
      <c r="G72" s="78"/>
      <c r="H72" s="78"/>
      <c r="I72" s="78"/>
      <c r="J72" s="78"/>
      <c r="K72" s="78"/>
      <c r="L72" s="78"/>
      <c r="M72" s="78"/>
      <c r="N72" s="78"/>
      <c r="O72" s="78"/>
      <c r="P72" s="78"/>
      <c r="Q72" s="103"/>
      <c r="R72" s="553"/>
      <c r="S72" s="553"/>
      <c r="T72" s="553"/>
      <c r="U72" s="553"/>
      <c r="V72" s="70"/>
      <c r="W72" s="78"/>
      <c r="X72" s="78"/>
      <c r="Y72" s="79"/>
      <c r="Z72" s="79"/>
      <c r="AA72" s="78"/>
      <c r="AB72" s="78"/>
      <c r="AC72" s="78"/>
      <c r="AD72" s="78"/>
      <c r="AE72" s="78"/>
      <c r="AF72" s="78"/>
      <c r="AG72" s="78"/>
      <c r="AH72" s="78"/>
      <c r="AI72" s="78"/>
      <c r="AJ72" s="78"/>
      <c r="AK72" s="78"/>
      <c r="AL72" s="78"/>
      <c r="AM72" s="81"/>
      <c r="AN72" s="79"/>
      <c r="AO72" s="78"/>
      <c r="AP72" s="78"/>
      <c r="AQ72" s="78"/>
      <c r="AR72" s="78"/>
      <c r="AS72" s="78"/>
      <c r="AT72" s="78"/>
      <c r="AU72" s="79"/>
    </row>
    <row r="73" spans="1:47" ht="20.25" customHeight="1">
      <c r="A73" s="78"/>
      <c r="B73" s="78"/>
      <c r="C73" s="81"/>
      <c r="D73" s="78"/>
      <c r="E73" s="78"/>
      <c r="F73" s="78"/>
      <c r="G73" s="78"/>
      <c r="H73" s="78"/>
      <c r="I73" s="78"/>
      <c r="J73" s="78"/>
      <c r="K73" s="78"/>
      <c r="L73" s="78"/>
      <c r="M73" s="78"/>
      <c r="N73" s="78"/>
      <c r="O73" s="78"/>
      <c r="P73" s="78"/>
      <c r="Q73" s="103"/>
      <c r="R73" s="553"/>
      <c r="S73" s="553"/>
      <c r="T73" s="553"/>
      <c r="U73" s="553"/>
      <c r="V73" s="70"/>
      <c r="W73" s="78"/>
      <c r="X73" s="78"/>
      <c r="Y73" s="79"/>
      <c r="Z73" s="79"/>
      <c r="AA73" s="78"/>
      <c r="AB73" s="78"/>
      <c r="AC73" s="78"/>
      <c r="AD73" s="78"/>
      <c r="AE73" s="78"/>
      <c r="AF73" s="78"/>
      <c r="AG73" s="78"/>
      <c r="AH73" s="78"/>
      <c r="AI73" s="78"/>
      <c r="AJ73" s="78"/>
      <c r="AK73" s="78"/>
      <c r="AL73" s="78"/>
      <c r="AM73" s="81"/>
      <c r="AN73" s="79"/>
      <c r="AO73" s="78"/>
      <c r="AP73" s="78"/>
      <c r="AQ73" s="78"/>
      <c r="AR73" s="78"/>
      <c r="AS73" s="78"/>
      <c r="AT73" s="78"/>
      <c r="AU73" s="79"/>
    </row>
    <row r="74" spans="1:47" ht="20.25" customHeight="1">
      <c r="A74" s="78"/>
      <c r="B74" s="78"/>
      <c r="C74" s="81"/>
      <c r="D74" s="78"/>
      <c r="E74" s="78"/>
      <c r="F74" s="78"/>
      <c r="G74" s="78"/>
      <c r="H74" s="78"/>
      <c r="I74" s="78"/>
      <c r="J74" s="78"/>
      <c r="K74" s="78"/>
      <c r="L74" s="78"/>
      <c r="M74" s="78"/>
      <c r="N74" s="78"/>
      <c r="O74" s="78"/>
      <c r="P74" s="78"/>
      <c r="Q74" s="103"/>
      <c r="R74" s="553"/>
      <c r="S74" s="553"/>
      <c r="T74" s="553"/>
      <c r="U74" s="553"/>
      <c r="V74" s="70"/>
      <c r="W74" s="78"/>
      <c r="X74" s="78"/>
      <c r="Y74" s="79"/>
      <c r="Z74" s="79"/>
      <c r="AA74" s="78"/>
      <c r="AB74" s="78"/>
      <c r="AC74" s="78"/>
      <c r="AD74" s="78"/>
      <c r="AE74" s="78"/>
      <c r="AF74" s="78"/>
      <c r="AG74" s="78"/>
      <c r="AH74" s="78"/>
      <c r="AI74" s="78"/>
      <c r="AJ74" s="78"/>
      <c r="AK74" s="78"/>
      <c r="AL74" s="78"/>
      <c r="AM74" s="81"/>
      <c r="AN74" s="79"/>
      <c r="AO74" s="78"/>
      <c r="AP74" s="78"/>
      <c r="AQ74" s="78"/>
      <c r="AR74" s="78"/>
      <c r="AS74" s="78"/>
      <c r="AT74" s="78"/>
      <c r="AU74" s="79"/>
    </row>
    <row r="75" spans="1:47" ht="20.25" customHeight="1">
      <c r="A75" s="78"/>
      <c r="B75" s="78"/>
      <c r="C75" s="81"/>
      <c r="D75" s="78"/>
      <c r="E75" s="78"/>
      <c r="F75" s="78"/>
      <c r="G75" s="78"/>
      <c r="H75" s="78"/>
      <c r="I75" s="78"/>
      <c r="J75" s="78"/>
      <c r="K75" s="78"/>
      <c r="L75" s="78"/>
      <c r="M75" s="78"/>
      <c r="N75" s="78"/>
      <c r="O75" s="78"/>
      <c r="P75" s="78"/>
      <c r="Q75" s="103"/>
      <c r="R75" s="553"/>
      <c r="S75" s="553"/>
      <c r="T75" s="553"/>
      <c r="U75" s="553"/>
      <c r="V75" s="70"/>
      <c r="W75" s="78"/>
      <c r="X75" s="78"/>
      <c r="Y75" s="79"/>
      <c r="Z75" s="79"/>
      <c r="AA75" s="78"/>
      <c r="AB75" s="78"/>
      <c r="AC75" s="78"/>
      <c r="AD75" s="78"/>
      <c r="AE75" s="78"/>
      <c r="AF75" s="78"/>
      <c r="AG75" s="78"/>
      <c r="AH75" s="78"/>
      <c r="AI75" s="78"/>
      <c r="AJ75" s="78"/>
      <c r="AK75" s="78"/>
      <c r="AL75" s="78"/>
      <c r="AM75" s="81"/>
      <c r="AN75" s="79"/>
      <c r="AO75" s="78"/>
      <c r="AP75" s="78"/>
      <c r="AQ75" s="78"/>
      <c r="AR75" s="78"/>
      <c r="AS75" s="78"/>
      <c r="AT75" s="78"/>
      <c r="AU75" s="79"/>
    </row>
    <row r="76" spans="1:47" ht="20.25" customHeight="1">
      <c r="A76" s="78"/>
      <c r="B76" s="78"/>
      <c r="C76" s="81"/>
      <c r="D76" s="78"/>
      <c r="E76" s="78"/>
      <c r="F76" s="78"/>
      <c r="G76" s="78"/>
      <c r="H76" s="78"/>
      <c r="I76" s="78"/>
      <c r="J76" s="78"/>
      <c r="K76" s="78"/>
      <c r="L76" s="78"/>
      <c r="M76" s="78"/>
      <c r="N76" s="78"/>
      <c r="O76" s="78"/>
      <c r="P76" s="78"/>
      <c r="Q76" s="103"/>
      <c r="R76" s="553"/>
      <c r="S76" s="553"/>
      <c r="T76" s="553"/>
      <c r="U76" s="553"/>
      <c r="V76" s="70"/>
      <c r="W76" s="78"/>
      <c r="X76" s="78"/>
      <c r="Y76" s="79"/>
      <c r="Z76" s="79"/>
      <c r="AA76" s="78"/>
      <c r="AB76" s="78"/>
      <c r="AC76" s="78"/>
      <c r="AD76" s="78"/>
      <c r="AE76" s="78"/>
      <c r="AF76" s="78"/>
      <c r="AG76" s="78"/>
      <c r="AH76" s="78"/>
      <c r="AI76" s="78"/>
      <c r="AJ76" s="78"/>
      <c r="AK76" s="78"/>
      <c r="AL76" s="78"/>
      <c r="AM76" s="81"/>
      <c r="AN76" s="79"/>
      <c r="AO76" s="78"/>
      <c r="AP76" s="78"/>
      <c r="AQ76" s="78"/>
      <c r="AR76" s="78"/>
      <c r="AS76" s="78"/>
      <c r="AT76" s="78"/>
      <c r="AU76" s="79"/>
    </row>
    <row r="77" spans="1:47" ht="20.25" customHeight="1">
      <c r="A77" s="78"/>
      <c r="B77" s="78"/>
      <c r="C77" s="81"/>
      <c r="D77" s="78"/>
      <c r="E77" s="78"/>
      <c r="F77" s="78"/>
      <c r="G77" s="78"/>
      <c r="H77" s="78"/>
      <c r="I77" s="78"/>
      <c r="J77" s="78"/>
      <c r="K77" s="78"/>
      <c r="L77" s="78"/>
      <c r="M77" s="78"/>
      <c r="N77" s="78"/>
      <c r="O77" s="78"/>
      <c r="P77" s="78"/>
      <c r="Q77" s="103"/>
      <c r="R77" s="553"/>
      <c r="S77" s="553"/>
      <c r="T77" s="553"/>
      <c r="U77" s="553"/>
      <c r="V77" s="70"/>
      <c r="W77" s="78"/>
      <c r="X77" s="78"/>
      <c r="Y77" s="79"/>
      <c r="Z77" s="79"/>
      <c r="AA77" s="78"/>
      <c r="AB77" s="78"/>
      <c r="AC77" s="78"/>
      <c r="AD77" s="78"/>
      <c r="AE77" s="78"/>
      <c r="AF77" s="78"/>
      <c r="AG77" s="78"/>
      <c r="AH77" s="78"/>
      <c r="AI77" s="78"/>
      <c r="AJ77" s="78"/>
      <c r="AK77" s="78"/>
      <c r="AL77" s="78"/>
      <c r="AM77" s="81"/>
      <c r="AN77" s="79"/>
      <c r="AO77" s="78"/>
      <c r="AP77" s="78"/>
      <c r="AQ77" s="78"/>
      <c r="AR77" s="78"/>
      <c r="AS77" s="78"/>
      <c r="AT77" s="78"/>
      <c r="AU77" s="79"/>
    </row>
    <row r="78" spans="1:47" ht="20.25" customHeight="1">
      <c r="A78" s="78"/>
      <c r="B78" s="78"/>
      <c r="C78" s="81"/>
      <c r="D78" s="78"/>
      <c r="E78" s="78"/>
      <c r="F78" s="78"/>
      <c r="G78" s="78"/>
      <c r="H78" s="78"/>
      <c r="I78" s="78"/>
      <c r="J78" s="78"/>
      <c r="K78" s="78"/>
      <c r="L78" s="78"/>
      <c r="M78" s="78"/>
      <c r="N78" s="78"/>
      <c r="O78" s="78"/>
      <c r="P78" s="78"/>
      <c r="Q78" s="103"/>
      <c r="R78" s="553"/>
      <c r="S78" s="553"/>
      <c r="T78" s="553"/>
      <c r="U78" s="553"/>
      <c r="V78" s="70"/>
      <c r="W78" s="78"/>
      <c r="X78" s="78"/>
      <c r="Y78" s="79"/>
      <c r="Z78" s="79"/>
      <c r="AA78" s="78"/>
      <c r="AB78" s="78"/>
      <c r="AC78" s="78"/>
      <c r="AD78" s="78"/>
      <c r="AE78" s="78"/>
      <c r="AF78" s="78"/>
      <c r="AG78" s="78"/>
      <c r="AH78" s="78"/>
      <c r="AI78" s="78"/>
      <c r="AJ78" s="78"/>
      <c r="AK78" s="78"/>
      <c r="AL78" s="78"/>
      <c r="AM78" s="81"/>
      <c r="AN78" s="79"/>
      <c r="AO78" s="78"/>
      <c r="AP78" s="78"/>
      <c r="AQ78" s="78"/>
      <c r="AR78" s="78"/>
      <c r="AS78" s="78"/>
      <c r="AT78" s="78"/>
      <c r="AU78" s="79"/>
    </row>
    <row r="79" spans="1:47" ht="20.25" customHeight="1">
      <c r="A79" s="78"/>
      <c r="B79" s="78"/>
      <c r="C79" s="81"/>
      <c r="D79" s="78"/>
      <c r="E79" s="78"/>
      <c r="F79" s="78"/>
      <c r="G79" s="78"/>
      <c r="H79" s="78"/>
      <c r="I79" s="78"/>
      <c r="J79" s="78"/>
      <c r="K79" s="78"/>
      <c r="L79" s="78"/>
      <c r="M79" s="78"/>
      <c r="N79" s="78"/>
      <c r="O79" s="78"/>
      <c r="P79" s="78"/>
      <c r="Q79" s="103"/>
      <c r="R79" s="553"/>
      <c r="S79" s="553"/>
      <c r="T79" s="553"/>
      <c r="U79" s="553"/>
      <c r="V79" s="70"/>
      <c r="W79" s="78"/>
      <c r="X79" s="78"/>
      <c r="Y79" s="79"/>
      <c r="Z79" s="79"/>
      <c r="AA79" s="78"/>
      <c r="AB79" s="78"/>
      <c r="AC79" s="78"/>
      <c r="AD79" s="78"/>
      <c r="AE79" s="78"/>
      <c r="AF79" s="78"/>
      <c r="AG79" s="78"/>
      <c r="AH79" s="78"/>
      <c r="AI79" s="78"/>
      <c r="AJ79" s="78"/>
      <c r="AK79" s="78"/>
      <c r="AL79" s="78"/>
      <c r="AM79" s="81"/>
      <c r="AN79" s="79"/>
      <c r="AO79" s="78"/>
      <c r="AP79" s="78"/>
      <c r="AQ79" s="78"/>
      <c r="AR79" s="78"/>
      <c r="AS79" s="78"/>
      <c r="AT79" s="78"/>
      <c r="AU79" s="79"/>
    </row>
    <row r="80" spans="1:47" ht="20.25" customHeight="1">
      <c r="A80" s="78"/>
      <c r="B80" s="78"/>
      <c r="C80" s="81"/>
      <c r="D80" s="78"/>
      <c r="E80" s="78"/>
      <c r="F80" s="78"/>
      <c r="G80" s="78"/>
      <c r="H80" s="78"/>
      <c r="I80" s="78"/>
      <c r="J80" s="78"/>
      <c r="K80" s="78"/>
      <c r="L80" s="78"/>
      <c r="M80" s="78"/>
      <c r="N80" s="78"/>
      <c r="O80" s="78"/>
      <c r="P80" s="78"/>
      <c r="Q80" s="103"/>
      <c r="R80" s="553"/>
      <c r="S80" s="553"/>
      <c r="T80" s="553"/>
      <c r="U80" s="553"/>
      <c r="V80" s="70"/>
      <c r="W80" s="78"/>
      <c r="X80" s="78"/>
      <c r="Y80" s="79"/>
      <c r="Z80" s="79"/>
      <c r="AA80" s="78"/>
      <c r="AB80" s="78"/>
      <c r="AC80" s="78"/>
      <c r="AD80" s="78"/>
      <c r="AE80" s="78"/>
      <c r="AF80" s="78"/>
      <c r="AG80" s="78"/>
      <c r="AH80" s="78"/>
      <c r="AI80" s="78"/>
      <c r="AJ80" s="78"/>
      <c r="AK80" s="78"/>
      <c r="AL80" s="78"/>
      <c r="AM80" s="81"/>
      <c r="AN80" s="79"/>
      <c r="AO80" s="78"/>
      <c r="AP80" s="78"/>
      <c r="AQ80" s="78"/>
      <c r="AR80" s="78"/>
      <c r="AS80" s="78"/>
      <c r="AT80" s="78"/>
      <c r="AU80" s="79"/>
    </row>
    <row r="81" spans="1:47" ht="20.25" customHeight="1">
      <c r="A81" s="78"/>
      <c r="B81" s="78"/>
      <c r="C81" s="81"/>
      <c r="D81" s="78"/>
      <c r="E81" s="78"/>
      <c r="F81" s="78"/>
      <c r="G81" s="78"/>
      <c r="H81" s="78"/>
      <c r="I81" s="78"/>
      <c r="J81" s="78"/>
      <c r="K81" s="78"/>
      <c r="L81" s="78"/>
      <c r="M81" s="78"/>
      <c r="N81" s="78"/>
      <c r="O81" s="78"/>
      <c r="P81" s="78"/>
      <c r="Q81" s="103"/>
      <c r="R81" s="553"/>
      <c r="S81" s="553"/>
      <c r="T81" s="553"/>
      <c r="U81" s="553"/>
      <c r="V81" s="70"/>
      <c r="W81" s="78"/>
      <c r="X81" s="78"/>
      <c r="Y81" s="79"/>
      <c r="Z81" s="79"/>
      <c r="AA81" s="78"/>
      <c r="AB81" s="78"/>
      <c r="AC81" s="78"/>
      <c r="AD81" s="78"/>
      <c r="AE81" s="78"/>
      <c r="AF81" s="78"/>
      <c r="AG81" s="78"/>
      <c r="AH81" s="78"/>
      <c r="AI81" s="78"/>
      <c r="AJ81" s="78"/>
      <c r="AK81" s="78"/>
      <c r="AL81" s="78"/>
      <c r="AM81" s="81"/>
      <c r="AN81" s="79"/>
      <c r="AO81" s="78"/>
      <c r="AP81" s="78"/>
      <c r="AQ81" s="78"/>
      <c r="AR81" s="78"/>
      <c r="AS81" s="78"/>
      <c r="AT81" s="78"/>
      <c r="AU81" s="79"/>
    </row>
    <row r="82" spans="1:47" ht="20.25" customHeight="1">
      <c r="A82" s="78"/>
      <c r="B82" s="78"/>
      <c r="C82" s="81"/>
      <c r="D82" s="78"/>
      <c r="E82" s="78"/>
      <c r="F82" s="78"/>
      <c r="G82" s="78"/>
      <c r="H82" s="78"/>
      <c r="I82" s="78"/>
      <c r="J82" s="78"/>
      <c r="K82" s="78"/>
      <c r="L82" s="78"/>
      <c r="M82" s="78"/>
      <c r="N82" s="78"/>
      <c r="O82" s="78"/>
      <c r="P82" s="78"/>
      <c r="Q82" s="103"/>
      <c r="R82" s="553"/>
      <c r="S82" s="553"/>
      <c r="T82" s="553"/>
      <c r="U82" s="553"/>
      <c r="V82" s="70"/>
      <c r="W82" s="78"/>
      <c r="X82" s="78"/>
      <c r="Y82" s="79"/>
      <c r="Z82" s="79"/>
      <c r="AA82" s="78"/>
      <c r="AB82" s="78"/>
      <c r="AC82" s="78"/>
      <c r="AD82" s="78"/>
      <c r="AE82" s="78"/>
      <c r="AF82" s="78"/>
      <c r="AG82" s="78"/>
      <c r="AH82" s="78"/>
      <c r="AI82" s="78"/>
      <c r="AJ82" s="78"/>
      <c r="AK82" s="78"/>
      <c r="AL82" s="78"/>
      <c r="AM82" s="81"/>
      <c r="AN82" s="79"/>
      <c r="AO82" s="78"/>
      <c r="AP82" s="78"/>
      <c r="AQ82" s="78"/>
      <c r="AR82" s="78"/>
      <c r="AS82" s="78"/>
      <c r="AT82" s="78"/>
      <c r="AU82" s="79"/>
    </row>
    <row r="83" spans="1:47" ht="20.25" customHeight="1">
      <c r="A83" s="78"/>
      <c r="B83" s="78"/>
      <c r="C83" s="81"/>
      <c r="D83" s="78"/>
      <c r="E83" s="78"/>
      <c r="F83" s="78"/>
      <c r="G83" s="78"/>
      <c r="H83" s="78"/>
      <c r="I83" s="78"/>
      <c r="J83" s="78"/>
      <c r="K83" s="78"/>
      <c r="L83" s="78"/>
      <c r="M83" s="78"/>
      <c r="N83" s="78"/>
      <c r="O83" s="78"/>
      <c r="P83" s="78"/>
      <c r="Q83" s="103"/>
      <c r="R83" s="553"/>
      <c r="S83" s="553"/>
      <c r="T83" s="553"/>
      <c r="U83" s="553"/>
      <c r="V83" s="70"/>
      <c r="W83" s="78"/>
      <c r="X83" s="78"/>
      <c r="Y83" s="79"/>
      <c r="Z83" s="79"/>
      <c r="AA83" s="78"/>
      <c r="AB83" s="78"/>
      <c r="AC83" s="78"/>
      <c r="AD83" s="78"/>
      <c r="AE83" s="78"/>
      <c r="AF83" s="78"/>
      <c r="AG83" s="78"/>
      <c r="AH83" s="78"/>
      <c r="AI83" s="78"/>
      <c r="AJ83" s="78"/>
      <c r="AK83" s="78"/>
      <c r="AL83" s="78"/>
      <c r="AM83" s="81"/>
      <c r="AN83" s="79"/>
      <c r="AO83" s="78"/>
      <c r="AP83" s="78"/>
      <c r="AQ83" s="78"/>
      <c r="AR83" s="78"/>
      <c r="AS83" s="78"/>
      <c r="AT83" s="78"/>
      <c r="AU83" s="79"/>
    </row>
    <row r="84" spans="1:47" ht="20.25" customHeight="1">
      <c r="A84" s="78"/>
      <c r="B84" s="78"/>
      <c r="C84" s="81"/>
      <c r="D84" s="78"/>
      <c r="E84" s="78"/>
      <c r="F84" s="78"/>
      <c r="G84" s="78"/>
      <c r="H84" s="78"/>
      <c r="I84" s="78"/>
      <c r="J84" s="78"/>
      <c r="K84" s="78"/>
      <c r="L84" s="78"/>
      <c r="M84" s="78"/>
      <c r="N84" s="78"/>
      <c r="O84" s="78"/>
      <c r="P84" s="78"/>
      <c r="Q84" s="103"/>
      <c r="R84" s="553"/>
      <c r="S84" s="553"/>
      <c r="T84" s="553"/>
      <c r="U84" s="553"/>
      <c r="V84" s="70"/>
      <c r="W84" s="78"/>
      <c r="X84" s="78"/>
      <c r="Y84" s="79"/>
      <c r="Z84" s="79"/>
      <c r="AA84" s="78"/>
      <c r="AB84" s="78"/>
      <c r="AC84" s="78"/>
      <c r="AD84" s="78"/>
      <c r="AE84" s="78"/>
      <c r="AF84" s="78"/>
      <c r="AG84" s="78"/>
      <c r="AH84" s="78"/>
      <c r="AI84" s="78"/>
      <c r="AJ84" s="78"/>
      <c r="AK84" s="78"/>
      <c r="AL84" s="78"/>
      <c r="AM84" s="81"/>
      <c r="AN84" s="79"/>
      <c r="AO84" s="78"/>
      <c r="AP84" s="78"/>
      <c r="AQ84" s="78"/>
      <c r="AR84" s="78"/>
      <c r="AS84" s="78"/>
      <c r="AT84" s="78"/>
      <c r="AU84" s="79"/>
    </row>
    <row r="85" spans="1:47" ht="20.25" customHeight="1">
      <c r="A85" s="78"/>
      <c r="B85" s="78"/>
      <c r="C85" s="81"/>
      <c r="D85" s="78"/>
      <c r="E85" s="78"/>
      <c r="F85" s="78"/>
      <c r="G85" s="78"/>
      <c r="H85" s="78"/>
      <c r="I85" s="78"/>
      <c r="J85" s="78"/>
      <c r="K85" s="78"/>
      <c r="L85" s="78"/>
      <c r="M85" s="78"/>
      <c r="N85" s="78"/>
      <c r="O85" s="78"/>
      <c r="P85" s="78"/>
      <c r="Q85" s="103"/>
      <c r="R85" s="553"/>
      <c r="S85" s="553"/>
      <c r="T85" s="553"/>
      <c r="U85" s="553"/>
      <c r="V85" s="70"/>
      <c r="W85" s="78"/>
      <c r="X85" s="78"/>
      <c r="Y85" s="79"/>
      <c r="Z85" s="79"/>
      <c r="AA85" s="78"/>
      <c r="AB85" s="78"/>
      <c r="AC85" s="78"/>
      <c r="AD85" s="78"/>
      <c r="AE85" s="78"/>
      <c r="AF85" s="78"/>
      <c r="AG85" s="78"/>
      <c r="AH85" s="78"/>
      <c r="AI85" s="78"/>
      <c r="AJ85" s="78"/>
      <c r="AK85" s="78"/>
      <c r="AL85" s="78"/>
      <c r="AM85" s="81"/>
      <c r="AN85" s="79"/>
      <c r="AO85" s="78"/>
      <c r="AP85" s="78"/>
      <c r="AQ85" s="78"/>
      <c r="AR85" s="78"/>
      <c r="AS85" s="78"/>
      <c r="AT85" s="78"/>
      <c r="AU85" s="79"/>
    </row>
    <row r="86" spans="1:47" ht="20.25" customHeight="1">
      <c r="A86" s="78"/>
      <c r="B86" s="78"/>
      <c r="C86" s="81"/>
      <c r="D86" s="78"/>
      <c r="E86" s="78"/>
      <c r="F86" s="78"/>
      <c r="G86" s="78"/>
      <c r="H86" s="78"/>
      <c r="I86" s="78"/>
      <c r="J86" s="78"/>
      <c r="K86" s="78"/>
      <c r="L86" s="78"/>
      <c r="M86" s="78"/>
      <c r="N86" s="78"/>
      <c r="O86" s="78"/>
      <c r="P86" s="78"/>
      <c r="Q86" s="103"/>
      <c r="R86" s="553"/>
      <c r="S86" s="553"/>
      <c r="T86" s="553"/>
      <c r="U86" s="553"/>
      <c r="V86" s="70"/>
      <c r="W86" s="78"/>
      <c r="X86" s="78"/>
      <c r="Y86" s="79"/>
      <c r="Z86" s="79"/>
      <c r="AA86" s="78"/>
      <c r="AB86" s="78"/>
      <c r="AC86" s="78"/>
      <c r="AD86" s="78"/>
      <c r="AE86" s="78"/>
      <c r="AF86" s="78"/>
      <c r="AG86" s="78"/>
      <c r="AH86" s="78"/>
      <c r="AI86" s="78"/>
      <c r="AJ86" s="78"/>
      <c r="AK86" s="78"/>
      <c r="AL86" s="78"/>
      <c r="AM86" s="81"/>
      <c r="AN86" s="79"/>
      <c r="AO86" s="78"/>
      <c r="AP86" s="78"/>
      <c r="AQ86" s="78"/>
      <c r="AR86" s="78"/>
      <c r="AS86" s="78"/>
      <c r="AT86" s="78"/>
      <c r="AU86" s="79"/>
    </row>
  </sheetData>
  <mergeCells count="10">
    <mergeCell ref="AL8:AM8"/>
    <mergeCell ref="A1:AM1"/>
    <mergeCell ref="A2:AM2"/>
    <mergeCell ref="D3:Q3"/>
    <mergeCell ref="AK3:AL3"/>
    <mergeCell ref="R3:U3"/>
    <mergeCell ref="AB3:AI3"/>
    <mergeCell ref="A7:Q7"/>
    <mergeCell ref="A8:B8"/>
    <mergeCell ref="U8:Z8"/>
  </mergeCells>
  <conditionalFormatting sqref="J5:N6">
    <cfRule type="cellIs" dxfId="20" priority="1" stopIfTrue="1" operator="equal">
      <formula>"ER"</formula>
    </cfRule>
  </conditionalFormatting>
  <printOptions horizontalCentered="1"/>
  <pageMargins left="0" right="0" top="0.23622047244094499" bottom="0" header="0" footer="0"/>
  <pageSetup paperSize="9" scale="26" fitToHeight="0" orientation="landscape"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85623"/>
    <pageSetUpPr fitToPage="1"/>
  </sheetPr>
  <dimension ref="A1:AT91"/>
  <sheetViews>
    <sheetView zoomScale="55" zoomScaleNormal="55" workbookViewId="0">
      <pane xSplit="2" ySplit="4" topLeftCell="C13" activePane="bottomRight" state="frozen"/>
      <selection pane="topRight" activeCell="C1" sqref="C1"/>
      <selection pane="bottomLeft" activeCell="A5" sqref="A5"/>
      <selection pane="bottomRight" activeCell="A15" sqref="A7:XFD15"/>
    </sheetView>
  </sheetViews>
  <sheetFormatPr defaultColWidth="16.81640625" defaultRowHeight="15" customHeight="1" outlineLevelCol="1"/>
  <cols>
    <col min="1" max="1" width="5.1796875" customWidth="1"/>
    <col min="2" max="2" width="28.453125" customWidth="1"/>
    <col min="3" max="3" width="13.26953125" customWidth="1" outlineLevel="1"/>
    <col min="4" max="4" width="6.81640625" customWidth="1" outlineLevel="1"/>
    <col min="5" max="5" width="4" customWidth="1" outlineLevel="1"/>
    <col min="6" max="7" width="7" customWidth="1" outlineLevel="1"/>
    <col min="8" max="8" width="4" customWidth="1" outlineLevel="1"/>
    <col min="9" max="9" width="7.453125" customWidth="1" outlineLevel="1"/>
    <col min="10" max="10" width="4" customWidth="1" outlineLevel="1"/>
    <col min="11" max="13" width="7" customWidth="1" outlineLevel="1"/>
    <col min="14" max="15" width="4" customWidth="1" outlineLevel="1"/>
    <col min="16" max="17" width="8.453125" customWidth="1" outlineLevel="1"/>
    <col min="18" max="18" width="15.453125" style="355" customWidth="1" outlineLevel="1"/>
    <col min="19" max="19" width="14.1796875" style="355" hidden="1" customWidth="1" outlineLevel="1"/>
    <col min="20" max="20" width="13" style="355" hidden="1" customWidth="1" outlineLevel="1"/>
    <col min="21" max="21" width="14.1796875" style="355" hidden="1" customWidth="1" outlineLevel="1"/>
    <col min="22" max="22" width="19.1796875" customWidth="1" outlineLevel="1"/>
    <col min="23" max="23" width="14.81640625" customWidth="1" outlineLevel="1"/>
    <col min="24" max="24" width="11.26953125" customWidth="1" outlineLevel="1"/>
    <col min="25" max="25" width="17.26953125" customWidth="1" outlineLevel="1"/>
    <col min="26" max="26" width="20" customWidth="1" outlineLevel="1"/>
    <col min="27" max="27" width="15.1796875" customWidth="1" outlineLevel="1"/>
    <col min="28" max="28" width="13" customWidth="1" outlineLevel="1"/>
    <col min="29" max="30" width="13.26953125" hidden="1" customWidth="1" outlineLevel="1"/>
    <col min="31" max="31" width="16.81640625" hidden="1" customWidth="1" outlineLevel="1"/>
    <col min="32" max="32" width="19.1796875" customWidth="1" outlineLevel="1"/>
    <col min="33" max="33" width="14.453125" customWidth="1" outlineLevel="1"/>
    <col min="34" max="34" width="16.81640625" customWidth="1" outlineLevel="1"/>
    <col min="35" max="35" width="13.7265625" customWidth="1" outlineLevel="1"/>
    <col min="36" max="36" width="14.26953125" customWidth="1"/>
    <col min="37" max="38" width="13.26953125" hidden="1" customWidth="1"/>
    <col min="39" max="39" width="33" customWidth="1"/>
    <col min="40" max="40" width="27.1796875" customWidth="1"/>
    <col min="41" max="41" width="6.1796875" customWidth="1"/>
    <col min="42" max="43" width="11" customWidth="1"/>
    <col min="44" max="44" width="3.7265625" customWidth="1"/>
    <col min="45" max="45" width="36.1796875" customWidth="1"/>
    <col min="46" max="46" width="20.26953125" customWidth="1"/>
  </cols>
  <sheetData>
    <row r="1" spans="1:46" ht="20.25" customHeight="1">
      <c r="A1" s="733" t="s">
        <v>0</v>
      </c>
      <c r="B1" s="734"/>
      <c r="C1" s="734"/>
      <c r="D1" s="734"/>
      <c r="E1" s="734"/>
      <c r="F1" s="734"/>
      <c r="G1" s="734"/>
      <c r="H1" s="734"/>
      <c r="I1" s="734"/>
      <c r="J1" s="734"/>
      <c r="K1" s="734"/>
      <c r="L1" s="734"/>
      <c r="M1" s="734"/>
      <c r="N1" s="734"/>
      <c r="O1" s="734"/>
      <c r="P1" s="734"/>
      <c r="Q1" s="734"/>
      <c r="R1" s="734"/>
      <c r="S1" s="734"/>
      <c r="T1" s="734"/>
      <c r="U1" s="734"/>
      <c r="V1" s="734"/>
      <c r="W1" s="734"/>
      <c r="X1" s="734"/>
      <c r="Y1" s="734"/>
      <c r="Z1" s="734"/>
      <c r="AA1" s="734"/>
      <c r="AB1" s="734"/>
      <c r="AC1" s="734"/>
      <c r="AD1" s="734"/>
      <c r="AE1" s="734"/>
      <c r="AF1" s="734"/>
      <c r="AG1" s="734"/>
      <c r="AH1" s="734"/>
      <c r="AI1" s="734"/>
      <c r="AJ1" s="734"/>
      <c r="AK1" s="734"/>
      <c r="AL1" s="734"/>
      <c r="AM1" s="735"/>
      <c r="AN1" s="79"/>
      <c r="AO1" s="78"/>
      <c r="AP1" s="31"/>
      <c r="AQ1" s="31"/>
      <c r="AR1" s="31"/>
      <c r="AS1" s="31"/>
      <c r="AT1" s="60"/>
    </row>
    <row r="2" spans="1:46" ht="20.25" customHeight="1">
      <c r="A2" s="736" t="s">
        <v>574</v>
      </c>
      <c r="B2" s="737"/>
      <c r="C2" s="737"/>
      <c r="D2" s="737"/>
      <c r="E2" s="737"/>
      <c r="F2" s="737"/>
      <c r="G2" s="737"/>
      <c r="H2" s="737"/>
      <c r="I2" s="737"/>
      <c r="J2" s="737"/>
      <c r="K2" s="737"/>
      <c r="L2" s="737"/>
      <c r="M2" s="737"/>
      <c r="N2" s="737"/>
      <c r="O2" s="737"/>
      <c r="P2" s="737"/>
      <c r="Q2" s="737"/>
      <c r="R2" s="737"/>
      <c r="S2" s="737"/>
      <c r="T2" s="737"/>
      <c r="U2" s="737"/>
      <c r="V2" s="737"/>
      <c r="W2" s="737"/>
      <c r="X2" s="737"/>
      <c r="Y2" s="737"/>
      <c r="Z2" s="737"/>
      <c r="AA2" s="737"/>
      <c r="AB2" s="737"/>
      <c r="AC2" s="737"/>
      <c r="AD2" s="737"/>
      <c r="AE2" s="737"/>
      <c r="AF2" s="737"/>
      <c r="AG2" s="737"/>
      <c r="AH2" s="737"/>
      <c r="AI2" s="737"/>
      <c r="AJ2" s="737"/>
      <c r="AK2" s="737"/>
      <c r="AL2" s="737"/>
      <c r="AM2" s="738"/>
      <c r="AN2" s="79"/>
      <c r="AO2" s="78"/>
      <c r="AP2" s="31"/>
      <c r="AQ2" s="31"/>
      <c r="AR2" s="31"/>
      <c r="AS2" s="31"/>
      <c r="AT2" s="60"/>
    </row>
    <row r="3" spans="1:46" ht="44.25" customHeight="1">
      <c r="A3" s="489" t="s">
        <v>39</v>
      </c>
      <c r="B3" s="400" t="s">
        <v>40</v>
      </c>
      <c r="C3" s="400" t="s">
        <v>41</v>
      </c>
      <c r="D3" s="739" t="s">
        <v>42</v>
      </c>
      <c r="E3" s="737"/>
      <c r="F3" s="737"/>
      <c r="G3" s="737"/>
      <c r="H3" s="737"/>
      <c r="I3" s="737"/>
      <c r="J3" s="737"/>
      <c r="K3" s="737"/>
      <c r="L3" s="737"/>
      <c r="M3" s="737"/>
      <c r="N3" s="737"/>
      <c r="O3" s="737"/>
      <c r="P3" s="737"/>
      <c r="Q3" s="740"/>
      <c r="R3" s="741" t="s">
        <v>43</v>
      </c>
      <c r="S3" s="737"/>
      <c r="T3" s="737"/>
      <c r="U3" s="740"/>
      <c r="V3" s="401" t="s">
        <v>44</v>
      </c>
      <c r="W3" s="402" t="s">
        <v>45</v>
      </c>
      <c r="X3" s="402" t="s">
        <v>46</v>
      </c>
      <c r="Y3" s="403" t="s">
        <v>171</v>
      </c>
      <c r="Z3" s="403" t="s">
        <v>48</v>
      </c>
      <c r="AA3" s="404" t="s">
        <v>49</v>
      </c>
      <c r="AB3" s="739" t="s">
        <v>6</v>
      </c>
      <c r="AC3" s="737"/>
      <c r="AD3" s="737"/>
      <c r="AE3" s="737"/>
      <c r="AF3" s="737"/>
      <c r="AG3" s="737"/>
      <c r="AH3" s="737"/>
      <c r="AI3" s="740"/>
      <c r="AJ3" s="404" t="s">
        <v>50</v>
      </c>
      <c r="AK3" s="739" t="s">
        <v>51</v>
      </c>
      <c r="AL3" s="740"/>
      <c r="AM3" s="490" t="s">
        <v>52</v>
      </c>
      <c r="AN3" s="82"/>
      <c r="AO3" s="81"/>
      <c r="AP3" s="1"/>
      <c r="AQ3" s="1"/>
      <c r="AR3" s="111"/>
      <c r="AS3" s="1"/>
      <c r="AT3" s="1"/>
    </row>
    <row r="4" spans="1:46" ht="159.75" customHeight="1">
      <c r="A4" s="489"/>
      <c r="B4" s="400"/>
      <c r="C4" s="400"/>
      <c r="D4" s="405" t="s">
        <v>53</v>
      </c>
      <c r="E4" s="406" t="s">
        <v>54</v>
      </c>
      <c r="F4" s="407" t="s">
        <v>55</v>
      </c>
      <c r="G4" s="407" t="s">
        <v>56</v>
      </c>
      <c r="H4" s="405" t="s">
        <v>57</v>
      </c>
      <c r="I4" s="407" t="s">
        <v>58</v>
      </c>
      <c r="J4" s="407" t="s">
        <v>59</v>
      </c>
      <c r="K4" s="407" t="s">
        <v>60</v>
      </c>
      <c r="L4" s="408" t="s">
        <v>116</v>
      </c>
      <c r="M4" s="407" t="s">
        <v>62</v>
      </c>
      <c r="N4" s="407" t="s">
        <v>63</v>
      </c>
      <c r="O4" s="407" t="s">
        <v>64</v>
      </c>
      <c r="P4" s="407" t="s">
        <v>65</v>
      </c>
      <c r="Q4" s="409" t="s">
        <v>66</v>
      </c>
      <c r="R4" s="410" t="s">
        <v>67</v>
      </c>
      <c r="S4" s="410" t="s">
        <v>68</v>
      </c>
      <c r="T4" s="411" t="s">
        <v>69</v>
      </c>
      <c r="U4" s="411" t="s">
        <v>70</v>
      </c>
      <c r="V4" s="412"/>
      <c r="W4" s="402"/>
      <c r="X4" s="402"/>
      <c r="Y4" s="403"/>
      <c r="Z4" s="403"/>
      <c r="AA4" s="404"/>
      <c r="AB4" s="404" t="s">
        <v>71</v>
      </c>
      <c r="AC4" s="402" t="s">
        <v>72</v>
      </c>
      <c r="AD4" s="404" t="s">
        <v>11</v>
      </c>
      <c r="AE4" s="404" t="s">
        <v>12</v>
      </c>
      <c r="AF4" s="404" t="s">
        <v>13</v>
      </c>
      <c r="AG4" s="404" t="s">
        <v>74</v>
      </c>
      <c r="AH4" s="404" t="s">
        <v>75</v>
      </c>
      <c r="AI4" s="413" t="s">
        <v>32</v>
      </c>
      <c r="AJ4" s="404"/>
      <c r="AK4" s="404" t="s">
        <v>76</v>
      </c>
      <c r="AL4" s="404" t="s">
        <v>77</v>
      </c>
      <c r="AM4" s="490"/>
      <c r="AN4" s="85"/>
      <c r="AO4" s="84"/>
      <c r="AP4" s="49"/>
      <c r="AQ4" s="49"/>
      <c r="AR4" s="112"/>
      <c r="AS4" s="49"/>
      <c r="AT4" s="49"/>
    </row>
    <row r="5" spans="1:46" ht="57" customHeight="1">
      <c r="A5" s="491">
        <v>1</v>
      </c>
      <c r="B5" s="414" t="s">
        <v>172</v>
      </c>
      <c r="C5" s="371" t="s">
        <v>173</v>
      </c>
      <c r="D5" s="371">
        <v>30</v>
      </c>
      <c r="E5" s="451">
        <v>0</v>
      </c>
      <c r="F5" s="383">
        <f t="shared" ref="F5:F6" si="0">IF((E5/3)&gt;=1,TRUNC(E5/3,0),0)</f>
        <v>0</v>
      </c>
      <c r="G5" s="383">
        <f t="shared" ref="G5:G6" si="1">E5-F5*3</f>
        <v>0</v>
      </c>
      <c r="H5" s="451">
        <v>0</v>
      </c>
      <c r="I5" s="383">
        <f t="shared" ref="I5:I6" si="2">IF(H5&lt;2,H5,H5-2)</f>
        <v>0</v>
      </c>
      <c r="J5" s="383">
        <f t="shared" ref="J5:J6" si="3">H5-I5</f>
        <v>0</v>
      </c>
      <c r="K5" s="383">
        <v>0</v>
      </c>
      <c r="L5" s="451">
        <v>0.5</v>
      </c>
      <c r="M5" s="383">
        <v>0</v>
      </c>
      <c r="N5" s="383">
        <v>0</v>
      </c>
      <c r="O5" s="383">
        <v>0</v>
      </c>
      <c r="P5" s="415">
        <f t="shared" ref="P5:P6" si="4">L5+M5+N5+O5</f>
        <v>0.5</v>
      </c>
      <c r="Q5" s="384">
        <f t="shared" ref="Q5:Q6" si="5">(F5*0.5)+(I5*0.5)+M5+(N5*2)</f>
        <v>0</v>
      </c>
      <c r="R5" s="382">
        <v>0</v>
      </c>
      <c r="S5" s="382">
        <v>0</v>
      </c>
      <c r="T5" s="382">
        <v>0</v>
      </c>
      <c r="U5" s="382">
        <f t="shared" ref="U5:U6" si="6">R5-(S5+T5)</f>
        <v>0</v>
      </c>
      <c r="V5" s="382">
        <v>9400</v>
      </c>
      <c r="W5" s="382">
        <f t="shared" ref="W5:W6" si="7">V5</f>
        <v>9400</v>
      </c>
      <c r="X5" s="382"/>
      <c r="Y5" s="382">
        <f t="shared" ref="Y5:Y6" si="8">(W5+X5)-AB5</f>
        <v>9400</v>
      </c>
      <c r="Z5" s="382">
        <f>(W5+X5)/D5</f>
        <v>313.33333333333331</v>
      </c>
      <c r="AA5" s="382">
        <f t="shared" ref="AA5:AA6" si="9">W5*45%</f>
        <v>4230</v>
      </c>
      <c r="AB5" s="374">
        <f t="shared" ref="AB5:AB6" si="10">Q5*Z5</f>
        <v>0</v>
      </c>
      <c r="AC5" s="374">
        <v>0</v>
      </c>
      <c r="AD5" s="374">
        <f t="shared" ref="AD5:AD6" si="11">(AC5)*Z5</f>
        <v>0</v>
      </c>
      <c r="AE5" s="382">
        <f t="shared" ref="AE5:AE6" si="12">T5</f>
        <v>0</v>
      </c>
      <c r="AF5" s="385"/>
      <c r="AG5" s="374">
        <v>0</v>
      </c>
      <c r="AH5" s="374">
        <v>0</v>
      </c>
      <c r="AI5" s="374">
        <f t="shared" ref="AI5:AI6" si="13">SUM(AB5,AD5:AH5)</f>
        <v>0</v>
      </c>
      <c r="AJ5" s="374">
        <f t="shared" ref="AJ5:AJ6" si="14">ROUND(SUM(W5:X5)-AI5,0)</f>
        <v>9400</v>
      </c>
      <c r="AK5" s="374">
        <v>0</v>
      </c>
      <c r="AL5" s="374">
        <v>0</v>
      </c>
      <c r="AM5" s="492"/>
      <c r="AN5" s="113" t="s">
        <v>174</v>
      </c>
      <c r="AO5" s="104"/>
      <c r="AP5" s="104"/>
      <c r="AQ5" s="104"/>
      <c r="AR5" s="104"/>
      <c r="AS5" s="104"/>
      <c r="AT5" s="104"/>
    </row>
    <row r="6" spans="1:46" ht="57" customHeight="1">
      <c r="A6" s="491">
        <v>2</v>
      </c>
      <c r="B6" s="414" t="s">
        <v>175</v>
      </c>
      <c r="C6" s="371" t="s">
        <v>173</v>
      </c>
      <c r="D6" s="371">
        <v>30</v>
      </c>
      <c r="E6" s="451">
        <v>0</v>
      </c>
      <c r="F6" s="383">
        <f t="shared" si="0"/>
        <v>0</v>
      </c>
      <c r="G6" s="383">
        <f t="shared" si="1"/>
        <v>0</v>
      </c>
      <c r="H6" s="451">
        <v>2</v>
      </c>
      <c r="I6" s="383">
        <f t="shared" si="2"/>
        <v>0</v>
      </c>
      <c r="J6" s="383">
        <f t="shared" si="3"/>
        <v>2</v>
      </c>
      <c r="K6" s="383">
        <v>0</v>
      </c>
      <c r="L6" s="451">
        <v>1</v>
      </c>
      <c r="M6" s="383">
        <v>0</v>
      </c>
      <c r="N6" s="383">
        <v>0</v>
      </c>
      <c r="O6" s="383">
        <v>0</v>
      </c>
      <c r="P6" s="415">
        <f t="shared" si="4"/>
        <v>1</v>
      </c>
      <c r="Q6" s="384">
        <f t="shared" si="5"/>
        <v>0</v>
      </c>
      <c r="R6" s="382">
        <v>0</v>
      </c>
      <c r="S6" s="382">
        <v>0</v>
      </c>
      <c r="T6" s="382">
        <v>0</v>
      </c>
      <c r="U6" s="382">
        <f t="shared" si="6"/>
        <v>0</v>
      </c>
      <c r="V6" s="382">
        <v>12900</v>
      </c>
      <c r="W6" s="382">
        <f t="shared" si="7"/>
        <v>12900</v>
      </c>
      <c r="X6" s="382"/>
      <c r="Y6" s="382">
        <f t="shared" si="8"/>
        <v>12900</v>
      </c>
      <c r="Z6" s="382">
        <f t="shared" ref="Z6" si="15">(W6+X6)/D6</f>
        <v>430</v>
      </c>
      <c r="AA6" s="382">
        <f t="shared" si="9"/>
        <v>5805</v>
      </c>
      <c r="AB6" s="374">
        <f t="shared" si="10"/>
        <v>0</v>
      </c>
      <c r="AC6" s="374"/>
      <c r="AD6" s="374">
        <f t="shared" si="11"/>
        <v>0</v>
      </c>
      <c r="AE6" s="382">
        <f t="shared" si="12"/>
        <v>0</v>
      </c>
      <c r="AF6" s="385"/>
      <c r="AG6" s="374">
        <f t="shared" ref="AG6" si="16">ROUNDUP(AA6*12%,0)</f>
        <v>697</v>
      </c>
      <c r="AH6" s="374">
        <f t="shared" ref="AH6" si="17">ROUNDUP((Y6+X6)*0.75%,0)</f>
        <v>97</v>
      </c>
      <c r="AI6" s="374">
        <f t="shared" si="13"/>
        <v>794</v>
      </c>
      <c r="AJ6" s="374">
        <f t="shared" si="14"/>
        <v>12106</v>
      </c>
      <c r="AK6" s="374">
        <f t="shared" ref="AK6" si="18">ROUNDUP(AA6*13.01%,0)</f>
        <v>756</v>
      </c>
      <c r="AL6" s="374">
        <f t="shared" ref="AL6" si="19">ROUNDUP((Y6+X6)*3.25%,0)</f>
        <v>420</v>
      </c>
      <c r="AM6" s="492"/>
      <c r="AN6" s="113" t="s">
        <v>176</v>
      </c>
      <c r="AO6" s="104"/>
      <c r="AP6" s="104"/>
      <c r="AQ6" s="104"/>
      <c r="AR6" s="104"/>
      <c r="AS6" s="104"/>
      <c r="AT6" s="104"/>
    </row>
    <row r="7" spans="1:46" ht="51" customHeight="1">
      <c r="A7" s="742" t="s">
        <v>123</v>
      </c>
      <c r="B7" s="737"/>
      <c r="C7" s="737"/>
      <c r="D7" s="737"/>
      <c r="E7" s="737"/>
      <c r="F7" s="737"/>
      <c r="G7" s="737"/>
      <c r="H7" s="737"/>
      <c r="I7" s="737"/>
      <c r="J7" s="737"/>
      <c r="K7" s="737"/>
      <c r="L7" s="737"/>
      <c r="M7" s="737"/>
      <c r="N7" s="737"/>
      <c r="O7" s="737"/>
      <c r="P7" s="737"/>
      <c r="Q7" s="740"/>
      <c r="R7" s="388">
        <f>SUM(R5:R6)</f>
        <v>0</v>
      </c>
      <c r="S7" s="388">
        <f>SUM(S5:S6)</f>
        <v>0</v>
      </c>
      <c r="T7" s="388">
        <f>SUM(T5:T6)</f>
        <v>0</v>
      </c>
      <c r="U7" s="388">
        <f>SUM(U5:U6)</f>
        <v>0</v>
      </c>
      <c r="V7" s="388">
        <f>SUM(V5:V6)</f>
        <v>22300</v>
      </c>
      <c r="W7" s="388">
        <f>SUM(W5:W6)</f>
        <v>22300</v>
      </c>
      <c r="X7" s="388">
        <f>SUM(X5:X6)</f>
        <v>0</v>
      </c>
      <c r="Y7" s="388">
        <f>SUM(Y5:Y6)</f>
        <v>22300</v>
      </c>
      <c r="Z7" s="388">
        <f>SUM(Z5:Z6)</f>
        <v>743.33333333333326</v>
      </c>
      <c r="AA7" s="388">
        <f>SUM(AA5:AA6)</f>
        <v>10035</v>
      </c>
      <c r="AB7" s="388">
        <f>SUM(AB5:AB6)</f>
        <v>0</v>
      </c>
      <c r="AC7" s="388">
        <f>SUM(AC5:AC6)</f>
        <v>0</v>
      </c>
      <c r="AD7" s="388">
        <f>SUM(AD5:AD6)</f>
        <v>0</v>
      </c>
      <c r="AE7" s="388">
        <f>SUM(AE5:AE6)</f>
        <v>0</v>
      </c>
      <c r="AF7" s="388">
        <f>SUM(AF5:AF6)</f>
        <v>0</v>
      </c>
      <c r="AG7" s="388">
        <f>SUM(AG5:AG6)</f>
        <v>697</v>
      </c>
      <c r="AH7" s="388">
        <f>SUM(AH5:AH6)</f>
        <v>97</v>
      </c>
      <c r="AI7" s="388">
        <f>SUM(AI5:AI6)</f>
        <v>794</v>
      </c>
      <c r="AJ7" s="388">
        <f>SUM(AJ5:AJ6)</f>
        <v>21506</v>
      </c>
      <c r="AK7" s="388">
        <f>SUM(AK5:AK6)</f>
        <v>756</v>
      </c>
      <c r="AL7" s="388">
        <f>SUM(AL5:AL6)</f>
        <v>420</v>
      </c>
      <c r="AM7" s="493">
        <f>SUM(AM5:AM6)</f>
        <v>0</v>
      </c>
      <c r="AN7" s="115"/>
      <c r="AO7" s="66">
        <f>SUM(AO5:AO6)</f>
        <v>0</v>
      </c>
      <c r="AP7" s="104"/>
      <c r="AQ7" s="104"/>
      <c r="AR7" s="104"/>
      <c r="AS7" s="104"/>
      <c r="AT7" s="104"/>
    </row>
    <row r="8" spans="1:46" ht="105" customHeight="1">
      <c r="A8" s="743" t="s">
        <v>34</v>
      </c>
      <c r="B8" s="744"/>
      <c r="C8" s="494"/>
      <c r="D8" s="494"/>
      <c r="E8" s="494"/>
      <c r="F8" s="494"/>
      <c r="G8" s="494"/>
      <c r="H8" s="494"/>
      <c r="I8" s="494"/>
      <c r="J8" s="494"/>
      <c r="K8" s="494"/>
      <c r="L8" s="494"/>
      <c r="M8" s="494"/>
      <c r="N8" s="494"/>
      <c r="O8" s="494"/>
      <c r="P8" s="494"/>
      <c r="Q8" s="494"/>
      <c r="R8" s="494"/>
      <c r="S8" s="494"/>
      <c r="T8" s="494"/>
      <c r="U8" s="731" t="s">
        <v>35</v>
      </c>
      <c r="V8" s="744"/>
      <c r="W8" s="744"/>
      <c r="X8" s="744"/>
      <c r="Y8" s="744"/>
      <c r="Z8" s="494"/>
      <c r="AA8" s="494"/>
      <c r="AB8" s="494"/>
      <c r="AC8" s="494"/>
      <c r="AD8" s="494"/>
      <c r="AE8" s="494"/>
      <c r="AF8" s="494"/>
      <c r="AG8" s="494"/>
      <c r="AH8" s="494"/>
      <c r="AI8" s="494"/>
      <c r="AJ8" s="494"/>
      <c r="AK8" s="494"/>
      <c r="AL8" s="731" t="s">
        <v>156</v>
      </c>
      <c r="AM8" s="732"/>
      <c r="AN8" s="116"/>
      <c r="AO8" s="76"/>
      <c r="AP8" s="76"/>
      <c r="AQ8" s="76"/>
      <c r="AR8" s="76"/>
      <c r="AS8" s="76"/>
      <c r="AT8" s="76"/>
    </row>
    <row r="9" spans="1:46" ht="20.25" customHeight="1">
      <c r="A9" s="31"/>
      <c r="B9" s="31"/>
      <c r="C9" s="1"/>
      <c r="D9" s="31"/>
      <c r="E9" s="31"/>
      <c r="F9" s="31"/>
      <c r="G9" s="31"/>
      <c r="H9" s="31"/>
      <c r="I9" s="31"/>
      <c r="J9" s="31"/>
      <c r="K9" s="31"/>
      <c r="L9" s="31"/>
      <c r="M9" s="31"/>
      <c r="N9" s="31"/>
      <c r="O9" s="31"/>
      <c r="P9" s="31"/>
      <c r="Q9" s="58"/>
      <c r="R9" s="555"/>
      <c r="S9" s="555"/>
      <c r="T9" s="555"/>
      <c r="U9" s="555"/>
      <c r="V9" s="58"/>
      <c r="W9" s="31"/>
      <c r="X9" s="31"/>
      <c r="Y9" s="60"/>
      <c r="Z9" s="60"/>
      <c r="AA9" s="31"/>
      <c r="AB9" s="31"/>
      <c r="AC9" s="31"/>
      <c r="AD9" s="31"/>
      <c r="AE9" s="31"/>
      <c r="AF9" s="31"/>
      <c r="AG9" s="31"/>
      <c r="AH9" s="31"/>
      <c r="AI9" s="31"/>
      <c r="AJ9" s="31"/>
      <c r="AK9" s="31"/>
      <c r="AL9" s="31"/>
      <c r="AM9" s="1"/>
      <c r="AN9" s="60"/>
      <c r="AO9" s="31"/>
      <c r="AP9" s="31"/>
      <c r="AQ9" s="31"/>
      <c r="AR9" s="31"/>
      <c r="AS9" s="31"/>
      <c r="AT9" s="60"/>
    </row>
    <row r="10" spans="1:46" ht="20.25" customHeight="1">
      <c r="A10" s="31"/>
      <c r="B10" s="31"/>
      <c r="C10" s="1"/>
      <c r="D10" s="31"/>
      <c r="E10" s="31"/>
      <c r="F10" s="31"/>
      <c r="G10" s="31"/>
      <c r="H10" s="31"/>
      <c r="I10" s="31"/>
      <c r="J10" s="31"/>
      <c r="K10" s="31"/>
      <c r="L10" s="31"/>
      <c r="M10" s="31"/>
      <c r="N10" s="31"/>
      <c r="O10" s="31"/>
      <c r="P10" s="31"/>
      <c r="Q10" s="58"/>
      <c r="R10" s="555"/>
      <c r="S10" s="555"/>
      <c r="T10" s="555"/>
      <c r="U10" s="555"/>
      <c r="V10" s="58"/>
      <c r="W10" s="31"/>
      <c r="X10" s="31"/>
      <c r="Y10" s="60"/>
      <c r="Z10" s="60"/>
      <c r="AA10" s="31"/>
      <c r="AB10" s="31"/>
      <c r="AC10" s="31"/>
      <c r="AD10" s="31"/>
      <c r="AE10" s="31"/>
      <c r="AF10" s="31"/>
      <c r="AG10" s="31"/>
      <c r="AH10" s="31"/>
      <c r="AI10" s="31"/>
      <c r="AJ10" s="31"/>
      <c r="AK10" s="31"/>
      <c r="AL10" s="31"/>
      <c r="AM10" s="1"/>
      <c r="AN10" s="60"/>
      <c r="AO10" s="31"/>
      <c r="AP10" s="31"/>
      <c r="AQ10" s="31"/>
      <c r="AR10" s="31"/>
      <c r="AS10" s="31"/>
      <c r="AT10" s="60"/>
    </row>
    <row r="11" spans="1:46" ht="20.25" customHeight="1">
      <c r="A11" s="31"/>
      <c r="B11" s="31"/>
      <c r="C11" s="1"/>
      <c r="D11" s="31"/>
      <c r="E11" s="31"/>
      <c r="F11" s="31"/>
      <c r="G11" s="31"/>
      <c r="H11" s="31"/>
      <c r="I11" s="31"/>
      <c r="J11" s="31"/>
      <c r="K11" s="31"/>
      <c r="L11" s="31"/>
      <c r="M11" s="31"/>
      <c r="N11" s="31"/>
      <c r="O11" s="31"/>
      <c r="P11" s="31"/>
      <c r="Q11" s="58"/>
      <c r="R11" s="555"/>
      <c r="S11" s="555"/>
      <c r="T11" s="555"/>
      <c r="U11" s="555"/>
      <c r="V11" s="58"/>
      <c r="W11" s="31"/>
      <c r="X11" s="31"/>
      <c r="Y11" s="60"/>
      <c r="Z11" s="60"/>
      <c r="AA11" s="31"/>
      <c r="AB11" s="31"/>
      <c r="AC11" s="31"/>
      <c r="AD11" s="31"/>
      <c r="AE11" s="31"/>
      <c r="AF11" s="31"/>
      <c r="AG11" s="31"/>
      <c r="AH11" s="31"/>
      <c r="AI11" s="31"/>
      <c r="AJ11" s="31"/>
      <c r="AK11" s="31"/>
      <c r="AL11" s="31"/>
      <c r="AM11" s="1"/>
      <c r="AN11" s="60"/>
      <c r="AO11" s="31"/>
      <c r="AP11" s="31"/>
      <c r="AQ11" s="31"/>
      <c r="AR11" s="31"/>
      <c r="AS11" s="31"/>
      <c r="AT11" s="60"/>
    </row>
    <row r="12" spans="1:46" ht="20.25" customHeight="1">
      <c r="A12" s="31"/>
      <c r="B12" s="31"/>
      <c r="C12" s="1"/>
      <c r="D12" s="31"/>
      <c r="E12" s="31"/>
      <c r="F12" s="31"/>
      <c r="G12" s="31"/>
      <c r="H12" s="31"/>
      <c r="I12" s="31"/>
      <c r="J12" s="31"/>
      <c r="K12" s="31"/>
      <c r="L12" s="31"/>
      <c r="M12" s="31"/>
      <c r="N12" s="31"/>
      <c r="O12" s="31"/>
      <c r="P12" s="31"/>
      <c r="Q12" s="58"/>
      <c r="R12" s="555"/>
      <c r="S12" s="555"/>
      <c r="T12" s="555"/>
      <c r="U12" s="555"/>
      <c r="V12" s="58"/>
      <c r="W12" s="31"/>
      <c r="X12" s="31"/>
      <c r="Y12" s="60"/>
      <c r="Z12" s="60"/>
      <c r="AA12" s="31"/>
      <c r="AB12" s="31"/>
      <c r="AC12" s="31"/>
      <c r="AD12" s="31"/>
      <c r="AE12" s="31"/>
      <c r="AF12" s="31"/>
      <c r="AG12" s="31"/>
      <c r="AH12" s="31"/>
      <c r="AI12" s="31"/>
      <c r="AJ12" s="31"/>
      <c r="AK12" s="31"/>
      <c r="AL12" s="31"/>
      <c r="AM12" s="1"/>
      <c r="AN12" s="60"/>
      <c r="AO12" s="31"/>
      <c r="AP12" s="31"/>
      <c r="AQ12" s="31"/>
      <c r="AR12" s="31"/>
      <c r="AS12" s="31"/>
      <c r="AT12" s="60"/>
    </row>
    <row r="13" spans="1:46" ht="20.25" customHeight="1">
      <c r="A13" s="31"/>
      <c r="B13" s="31"/>
      <c r="C13" s="1"/>
      <c r="D13" s="31"/>
      <c r="E13" s="31"/>
      <c r="F13" s="31"/>
      <c r="G13" s="31"/>
      <c r="H13" s="31"/>
      <c r="I13" s="31"/>
      <c r="J13" s="31"/>
      <c r="K13" s="31"/>
      <c r="L13" s="31"/>
      <c r="M13" s="31"/>
      <c r="N13" s="31"/>
      <c r="O13" s="31"/>
      <c r="P13" s="31"/>
      <c r="Q13" s="58"/>
      <c r="R13" s="555"/>
      <c r="S13" s="555"/>
      <c r="T13" s="555"/>
      <c r="U13" s="555"/>
      <c r="V13" s="58"/>
      <c r="W13" s="31"/>
      <c r="X13" s="31"/>
      <c r="Y13" s="60"/>
      <c r="Z13" s="60"/>
      <c r="AA13" s="31"/>
      <c r="AB13" s="31"/>
      <c r="AC13" s="31"/>
      <c r="AD13" s="31"/>
      <c r="AE13" s="31"/>
      <c r="AF13" s="31"/>
      <c r="AG13" s="31"/>
      <c r="AH13" s="31"/>
      <c r="AI13" s="31"/>
      <c r="AJ13" s="31"/>
      <c r="AK13" s="31"/>
      <c r="AL13" s="31"/>
      <c r="AM13" s="1"/>
      <c r="AN13" s="60"/>
      <c r="AO13" s="31"/>
      <c r="AP13" s="31"/>
      <c r="AQ13" s="31"/>
      <c r="AR13" s="31"/>
      <c r="AS13" s="31"/>
      <c r="AT13" s="60"/>
    </row>
    <row r="14" spans="1:46" ht="20.25" customHeight="1">
      <c r="A14" s="31"/>
      <c r="B14" s="31"/>
      <c r="C14" s="1"/>
      <c r="D14" s="31"/>
      <c r="E14" s="31"/>
      <c r="F14" s="31"/>
      <c r="G14" s="31"/>
      <c r="H14" s="31"/>
      <c r="I14" s="31"/>
      <c r="J14" s="31"/>
      <c r="K14" s="31"/>
      <c r="L14" s="31"/>
      <c r="M14" s="31"/>
      <c r="N14" s="31"/>
      <c r="O14" s="31"/>
      <c r="P14" s="31"/>
      <c r="Q14" s="58"/>
      <c r="R14" s="555"/>
      <c r="S14" s="555"/>
      <c r="T14" s="555"/>
      <c r="U14" s="555"/>
      <c r="V14" s="58"/>
      <c r="W14" s="31"/>
      <c r="X14" s="31"/>
      <c r="Y14" s="60"/>
      <c r="Z14" s="60"/>
      <c r="AA14" s="31"/>
      <c r="AB14" s="31"/>
      <c r="AC14" s="31"/>
      <c r="AD14" s="31"/>
      <c r="AE14" s="31"/>
      <c r="AF14" s="31"/>
      <c r="AG14" s="31"/>
      <c r="AH14" s="31"/>
      <c r="AI14" s="31"/>
      <c r="AJ14" s="31"/>
      <c r="AK14" s="31"/>
      <c r="AL14" s="31"/>
      <c r="AM14" s="1"/>
      <c r="AN14" s="60"/>
      <c r="AO14" s="31"/>
      <c r="AP14" s="31"/>
      <c r="AQ14" s="31"/>
      <c r="AR14" s="31"/>
      <c r="AS14" s="31"/>
      <c r="AT14" s="60"/>
    </row>
    <row r="15" spans="1:46" ht="20.25" customHeight="1">
      <c r="A15" s="31"/>
      <c r="B15" s="31"/>
      <c r="C15" s="1"/>
      <c r="D15" s="31"/>
      <c r="E15" s="31"/>
      <c r="F15" s="31"/>
      <c r="G15" s="31"/>
      <c r="H15" s="31"/>
      <c r="I15" s="31"/>
      <c r="J15" s="31"/>
      <c r="K15" s="31"/>
      <c r="L15" s="31"/>
      <c r="M15" s="31"/>
      <c r="N15" s="31"/>
      <c r="O15" s="31"/>
      <c r="P15" s="31"/>
      <c r="Q15" s="58"/>
      <c r="R15" s="555"/>
      <c r="S15" s="555"/>
      <c r="T15" s="555"/>
      <c r="U15" s="555"/>
      <c r="V15" s="58"/>
      <c r="W15" s="31"/>
      <c r="X15" s="31"/>
      <c r="Y15" s="60"/>
      <c r="Z15" s="60"/>
      <c r="AA15" s="31"/>
      <c r="AB15" s="31"/>
      <c r="AC15" s="31"/>
      <c r="AD15" s="31"/>
      <c r="AE15" s="31"/>
      <c r="AF15" s="31"/>
      <c r="AG15" s="31"/>
      <c r="AH15" s="31"/>
      <c r="AI15" s="31"/>
      <c r="AJ15" s="31"/>
      <c r="AK15" s="31"/>
      <c r="AL15" s="31"/>
      <c r="AM15" s="1"/>
      <c r="AN15" s="60"/>
      <c r="AO15" s="31"/>
      <c r="AP15" s="31"/>
      <c r="AQ15" s="31"/>
      <c r="AR15" s="31"/>
      <c r="AS15" s="31"/>
      <c r="AT15" s="60"/>
    </row>
    <row r="16" spans="1:46" ht="20.25" customHeight="1">
      <c r="A16" s="31"/>
      <c r="B16" s="31"/>
      <c r="C16" s="1"/>
      <c r="D16" s="31"/>
      <c r="E16" s="31"/>
      <c r="F16" s="31"/>
      <c r="G16" s="31"/>
      <c r="H16" s="31"/>
      <c r="I16" s="31"/>
      <c r="J16" s="31"/>
      <c r="K16" s="31"/>
      <c r="L16" s="31"/>
      <c r="M16" s="31"/>
      <c r="N16" s="31"/>
      <c r="O16" s="31"/>
      <c r="P16" s="31"/>
      <c r="Q16" s="58"/>
      <c r="R16" s="555"/>
      <c r="S16" s="555"/>
      <c r="T16" s="555"/>
      <c r="U16" s="555"/>
      <c r="V16" s="58"/>
      <c r="W16" s="31"/>
      <c r="X16" s="31"/>
      <c r="Y16" s="60"/>
      <c r="Z16" s="60"/>
      <c r="AA16" s="31"/>
      <c r="AB16" s="31"/>
      <c r="AC16" s="31"/>
      <c r="AD16" s="31"/>
      <c r="AE16" s="31"/>
      <c r="AF16" s="31"/>
      <c r="AG16" s="31"/>
      <c r="AH16" s="31"/>
      <c r="AI16" s="31"/>
      <c r="AJ16" s="31"/>
      <c r="AK16" s="31"/>
      <c r="AL16" s="31"/>
      <c r="AM16" s="1"/>
      <c r="AN16" s="60"/>
      <c r="AO16" s="31"/>
      <c r="AP16" s="31"/>
      <c r="AQ16" s="31"/>
      <c r="AR16" s="31"/>
      <c r="AS16" s="31"/>
      <c r="AT16" s="60"/>
    </row>
    <row r="17" spans="1:46" ht="20.25" customHeight="1">
      <c r="A17" s="31"/>
      <c r="B17" s="31"/>
      <c r="C17" s="1"/>
      <c r="D17" s="31"/>
      <c r="E17" s="31"/>
      <c r="F17" s="31"/>
      <c r="G17" s="31"/>
      <c r="H17" s="31"/>
      <c r="I17" s="31"/>
      <c r="J17" s="31"/>
      <c r="K17" s="31"/>
      <c r="L17" s="31"/>
      <c r="M17" s="31"/>
      <c r="N17" s="31"/>
      <c r="O17" s="31"/>
      <c r="P17" s="31"/>
      <c r="Q17" s="58"/>
      <c r="R17" s="555"/>
      <c r="S17" s="555"/>
      <c r="T17" s="555"/>
      <c r="U17" s="555"/>
      <c r="V17" s="58"/>
      <c r="W17" s="31"/>
      <c r="X17" s="31"/>
      <c r="Y17" s="60"/>
      <c r="Z17" s="60"/>
      <c r="AA17" s="31"/>
      <c r="AB17" s="31"/>
      <c r="AC17" s="31"/>
      <c r="AD17" s="31"/>
      <c r="AE17" s="31"/>
      <c r="AF17" s="31"/>
      <c r="AG17" s="31"/>
      <c r="AH17" s="31"/>
      <c r="AI17" s="31"/>
      <c r="AJ17" s="31"/>
      <c r="AK17" s="31"/>
      <c r="AL17" s="31"/>
      <c r="AM17" s="1"/>
      <c r="AN17" s="60"/>
      <c r="AO17" s="31"/>
      <c r="AP17" s="31"/>
      <c r="AQ17" s="31"/>
      <c r="AR17" s="31"/>
      <c r="AS17" s="31"/>
      <c r="AT17" s="60"/>
    </row>
    <row r="18" spans="1:46" ht="20.25" customHeight="1">
      <c r="A18" s="31"/>
      <c r="B18" s="31"/>
      <c r="C18" s="1"/>
      <c r="D18" s="31"/>
      <c r="E18" s="31"/>
      <c r="F18" s="31"/>
      <c r="G18" s="31"/>
      <c r="H18" s="31"/>
      <c r="I18" s="31"/>
      <c r="J18" s="31"/>
      <c r="K18" s="31"/>
      <c r="L18" s="31"/>
      <c r="M18" s="31"/>
      <c r="N18" s="31"/>
      <c r="O18" s="31"/>
      <c r="P18" s="31"/>
      <c r="Q18" s="58"/>
      <c r="R18" s="555"/>
      <c r="S18" s="555"/>
      <c r="T18" s="555"/>
      <c r="U18" s="555"/>
      <c r="V18" s="58"/>
      <c r="W18" s="31"/>
      <c r="X18" s="31"/>
      <c r="Y18" s="60"/>
      <c r="Z18" s="60"/>
      <c r="AA18" s="31"/>
      <c r="AB18" s="31"/>
      <c r="AC18" s="31"/>
      <c r="AD18" s="31"/>
      <c r="AE18" s="31"/>
      <c r="AF18" s="31"/>
      <c r="AG18" s="31"/>
      <c r="AH18" s="31"/>
      <c r="AI18" s="31"/>
      <c r="AJ18" s="31"/>
      <c r="AK18" s="31"/>
      <c r="AL18" s="31"/>
      <c r="AM18" s="1"/>
      <c r="AN18" s="60"/>
      <c r="AO18" s="31"/>
      <c r="AP18" s="31"/>
      <c r="AQ18" s="31"/>
      <c r="AR18" s="31"/>
      <c r="AS18" s="31"/>
      <c r="AT18" s="60"/>
    </row>
    <row r="19" spans="1:46" ht="20.25" customHeight="1">
      <c r="A19" s="31"/>
      <c r="B19" s="31"/>
      <c r="C19" s="1"/>
      <c r="D19" s="31"/>
      <c r="E19" s="31"/>
      <c r="F19" s="31"/>
      <c r="G19" s="31"/>
      <c r="H19" s="31"/>
      <c r="I19" s="31"/>
      <c r="J19" s="31"/>
      <c r="K19" s="31"/>
      <c r="L19" s="31"/>
      <c r="M19" s="31"/>
      <c r="N19" s="31"/>
      <c r="O19" s="31"/>
      <c r="P19" s="31"/>
      <c r="Q19" s="58"/>
      <c r="R19" s="555"/>
      <c r="S19" s="555"/>
      <c r="T19" s="555"/>
      <c r="U19" s="555"/>
      <c r="V19" s="58"/>
      <c r="W19" s="31"/>
      <c r="X19" s="31"/>
      <c r="Y19" s="60"/>
      <c r="Z19" s="60"/>
      <c r="AA19" s="31"/>
      <c r="AB19" s="31"/>
      <c r="AC19" s="31"/>
      <c r="AD19" s="31"/>
      <c r="AE19" s="31"/>
      <c r="AF19" s="31"/>
      <c r="AG19" s="31"/>
      <c r="AH19" s="31"/>
      <c r="AI19" s="31"/>
      <c r="AJ19" s="31"/>
      <c r="AK19" s="31"/>
      <c r="AL19" s="31"/>
      <c r="AM19" s="1"/>
      <c r="AN19" s="60"/>
      <c r="AO19" s="31"/>
      <c r="AP19" s="31"/>
      <c r="AQ19" s="31"/>
      <c r="AR19" s="31"/>
      <c r="AS19" s="31"/>
      <c r="AT19" s="60"/>
    </row>
    <row r="20" spans="1:46" ht="20.25" customHeight="1">
      <c r="A20" s="31"/>
      <c r="B20" s="31"/>
      <c r="C20" s="1"/>
      <c r="D20" s="31"/>
      <c r="E20" s="31"/>
      <c r="F20" s="31"/>
      <c r="G20" s="31"/>
      <c r="H20" s="31"/>
      <c r="I20" s="31"/>
      <c r="J20" s="31"/>
      <c r="K20" s="31"/>
      <c r="L20" s="31"/>
      <c r="M20" s="31"/>
      <c r="N20" s="31"/>
      <c r="O20" s="31"/>
      <c r="P20" s="31"/>
      <c r="Q20" s="58"/>
      <c r="R20" s="555"/>
      <c r="S20" s="555"/>
      <c r="T20" s="555"/>
      <c r="U20" s="555"/>
      <c r="V20" s="58"/>
      <c r="W20" s="31"/>
      <c r="X20" s="31"/>
      <c r="Y20" s="60"/>
      <c r="Z20" s="60"/>
      <c r="AA20" s="31"/>
      <c r="AB20" s="31"/>
      <c r="AC20" s="31"/>
      <c r="AD20" s="31"/>
      <c r="AE20" s="31"/>
      <c r="AF20" s="31"/>
      <c r="AG20" s="31"/>
      <c r="AH20" s="31"/>
      <c r="AI20" s="31"/>
      <c r="AJ20" s="31"/>
      <c r="AK20" s="31"/>
      <c r="AL20" s="31"/>
      <c r="AM20" s="1"/>
      <c r="AN20" s="60"/>
      <c r="AO20" s="31"/>
      <c r="AP20" s="31"/>
      <c r="AQ20" s="31"/>
      <c r="AR20" s="31"/>
      <c r="AS20" s="31"/>
      <c r="AT20" s="60"/>
    </row>
    <row r="21" spans="1:46" ht="20.25" customHeight="1">
      <c r="A21" s="31"/>
      <c r="B21" s="31"/>
      <c r="C21" s="1"/>
      <c r="D21" s="31"/>
      <c r="E21" s="31"/>
      <c r="F21" s="31"/>
      <c r="G21" s="31"/>
      <c r="H21" s="31"/>
      <c r="I21" s="31"/>
      <c r="J21" s="31"/>
      <c r="K21" s="31"/>
      <c r="L21" s="31"/>
      <c r="M21" s="31"/>
      <c r="N21" s="31"/>
      <c r="O21" s="31"/>
      <c r="P21" s="31"/>
      <c r="Q21" s="58"/>
      <c r="R21" s="555"/>
      <c r="S21" s="555"/>
      <c r="T21" s="555"/>
      <c r="U21" s="555"/>
      <c r="V21" s="58"/>
      <c r="W21" s="31"/>
      <c r="X21" s="31"/>
      <c r="Y21" s="60"/>
      <c r="Z21" s="60"/>
      <c r="AA21" s="31"/>
      <c r="AB21" s="31"/>
      <c r="AC21" s="31"/>
      <c r="AD21" s="31"/>
      <c r="AE21" s="31"/>
      <c r="AF21" s="31"/>
      <c r="AG21" s="31"/>
      <c r="AH21" s="31"/>
      <c r="AI21" s="31"/>
      <c r="AJ21" s="31"/>
      <c r="AK21" s="31"/>
      <c r="AL21" s="31"/>
      <c r="AM21" s="1"/>
      <c r="AN21" s="60"/>
      <c r="AO21" s="31"/>
      <c r="AP21" s="31"/>
      <c r="AQ21" s="31"/>
      <c r="AR21" s="31"/>
      <c r="AS21" s="31"/>
      <c r="AT21" s="60"/>
    </row>
    <row r="22" spans="1:46" ht="20.25" customHeight="1">
      <c r="A22" s="31"/>
      <c r="B22" s="31"/>
      <c r="C22" s="1"/>
      <c r="D22" s="31"/>
      <c r="E22" s="31"/>
      <c r="F22" s="31"/>
      <c r="G22" s="31"/>
      <c r="H22" s="31"/>
      <c r="I22" s="31"/>
      <c r="J22" s="31"/>
      <c r="K22" s="31"/>
      <c r="L22" s="31"/>
      <c r="M22" s="31"/>
      <c r="N22" s="31"/>
      <c r="O22" s="31"/>
      <c r="P22" s="31"/>
      <c r="Q22" s="58"/>
      <c r="R22" s="555"/>
      <c r="S22" s="555"/>
      <c r="T22" s="555"/>
      <c r="U22" s="555"/>
      <c r="V22" s="58"/>
      <c r="W22" s="31"/>
      <c r="X22" s="31"/>
      <c r="Y22" s="60"/>
      <c r="Z22" s="60"/>
      <c r="AA22" s="31"/>
      <c r="AB22" s="31"/>
      <c r="AC22" s="31"/>
      <c r="AD22" s="31"/>
      <c r="AE22" s="31"/>
      <c r="AF22" s="31"/>
      <c r="AG22" s="31"/>
      <c r="AH22" s="31"/>
      <c r="AI22" s="31"/>
      <c r="AJ22" s="31"/>
      <c r="AK22" s="31"/>
      <c r="AL22" s="31"/>
      <c r="AM22" s="1"/>
      <c r="AN22" s="60"/>
      <c r="AO22" s="31"/>
      <c r="AP22" s="31"/>
      <c r="AQ22" s="31"/>
      <c r="AR22" s="31"/>
      <c r="AS22" s="31"/>
      <c r="AT22" s="60"/>
    </row>
    <row r="23" spans="1:46" ht="20.25" customHeight="1">
      <c r="A23" s="31"/>
      <c r="B23" s="31"/>
      <c r="C23" s="1"/>
      <c r="D23" s="31"/>
      <c r="E23" s="31"/>
      <c r="F23" s="31"/>
      <c r="G23" s="31"/>
      <c r="H23" s="31"/>
      <c r="I23" s="31"/>
      <c r="J23" s="31"/>
      <c r="K23" s="31"/>
      <c r="L23" s="31"/>
      <c r="M23" s="31"/>
      <c r="N23" s="31"/>
      <c r="O23" s="31"/>
      <c r="P23" s="31"/>
      <c r="Q23" s="58"/>
      <c r="R23" s="555"/>
      <c r="S23" s="555"/>
      <c r="T23" s="555"/>
      <c r="U23" s="555"/>
      <c r="V23" s="58"/>
      <c r="W23" s="31"/>
      <c r="X23" s="31"/>
      <c r="Y23" s="60"/>
      <c r="Z23" s="60"/>
      <c r="AA23" s="31"/>
      <c r="AB23" s="31"/>
      <c r="AC23" s="31"/>
      <c r="AD23" s="31"/>
      <c r="AE23" s="31"/>
      <c r="AF23" s="31"/>
      <c r="AG23" s="31"/>
      <c r="AH23" s="31"/>
      <c r="AI23" s="31"/>
      <c r="AJ23" s="31"/>
      <c r="AK23" s="31"/>
      <c r="AL23" s="31"/>
      <c r="AM23" s="1"/>
      <c r="AN23" s="60"/>
      <c r="AO23" s="31"/>
      <c r="AP23" s="31"/>
      <c r="AQ23" s="31"/>
      <c r="AR23" s="31"/>
      <c r="AS23" s="31"/>
      <c r="AT23" s="60"/>
    </row>
    <row r="24" spans="1:46" ht="20.25" customHeight="1">
      <c r="A24" s="31"/>
      <c r="B24" s="31"/>
      <c r="C24" s="1"/>
      <c r="D24" s="31"/>
      <c r="E24" s="31"/>
      <c r="F24" s="31"/>
      <c r="G24" s="31"/>
      <c r="H24" s="31"/>
      <c r="I24" s="31"/>
      <c r="J24" s="31"/>
      <c r="K24" s="31"/>
      <c r="L24" s="31"/>
      <c r="M24" s="31"/>
      <c r="N24" s="31"/>
      <c r="O24" s="31"/>
      <c r="P24" s="31"/>
      <c r="Q24" s="58"/>
      <c r="R24" s="555"/>
      <c r="S24" s="555"/>
      <c r="T24" s="555"/>
      <c r="U24" s="555"/>
      <c r="V24" s="58"/>
      <c r="W24" s="31"/>
      <c r="X24" s="31"/>
      <c r="Y24" s="60"/>
      <c r="Z24" s="60"/>
      <c r="AA24" s="31"/>
      <c r="AB24" s="31"/>
      <c r="AC24" s="31"/>
      <c r="AD24" s="31"/>
      <c r="AE24" s="31"/>
      <c r="AF24" s="31"/>
      <c r="AG24" s="31"/>
      <c r="AH24" s="31"/>
      <c r="AI24" s="31"/>
      <c r="AJ24" s="31"/>
      <c r="AK24" s="31"/>
      <c r="AL24" s="31"/>
      <c r="AM24" s="1"/>
      <c r="AN24" s="60"/>
      <c r="AO24" s="31"/>
      <c r="AP24" s="31"/>
      <c r="AQ24" s="31"/>
      <c r="AR24" s="31"/>
      <c r="AS24" s="31"/>
      <c r="AT24" s="60"/>
    </row>
    <row r="25" spans="1:46" ht="20.25" customHeight="1">
      <c r="A25" s="31"/>
      <c r="B25" s="31"/>
      <c r="C25" s="1"/>
      <c r="D25" s="31"/>
      <c r="E25" s="31"/>
      <c r="F25" s="31"/>
      <c r="G25" s="31"/>
      <c r="H25" s="31"/>
      <c r="I25" s="31"/>
      <c r="J25" s="31"/>
      <c r="K25" s="31"/>
      <c r="L25" s="31"/>
      <c r="M25" s="31"/>
      <c r="N25" s="31"/>
      <c r="O25" s="31"/>
      <c r="P25" s="31"/>
      <c r="Q25" s="58"/>
      <c r="R25" s="555"/>
      <c r="S25" s="555"/>
      <c r="T25" s="555"/>
      <c r="U25" s="555"/>
      <c r="V25" s="58"/>
      <c r="W25" s="31"/>
      <c r="X25" s="31"/>
      <c r="Y25" s="60"/>
      <c r="Z25" s="60"/>
      <c r="AA25" s="31"/>
      <c r="AB25" s="31"/>
      <c r="AC25" s="31"/>
      <c r="AD25" s="31"/>
      <c r="AE25" s="31"/>
      <c r="AF25" s="31"/>
      <c r="AG25" s="31"/>
      <c r="AH25" s="31"/>
      <c r="AI25" s="31"/>
      <c r="AJ25" s="31"/>
      <c r="AK25" s="31"/>
      <c r="AL25" s="31"/>
      <c r="AM25" s="1"/>
      <c r="AN25" s="60"/>
      <c r="AO25" s="31"/>
      <c r="AP25" s="31"/>
      <c r="AQ25" s="31"/>
      <c r="AR25" s="31"/>
      <c r="AS25" s="31"/>
      <c r="AT25" s="60"/>
    </row>
    <row r="26" spans="1:46" ht="20.25" customHeight="1">
      <c r="A26" s="31"/>
      <c r="B26" s="31"/>
      <c r="C26" s="1"/>
      <c r="D26" s="31"/>
      <c r="E26" s="31"/>
      <c r="F26" s="31"/>
      <c r="G26" s="31"/>
      <c r="H26" s="31"/>
      <c r="I26" s="31"/>
      <c r="J26" s="31"/>
      <c r="K26" s="31"/>
      <c r="L26" s="31"/>
      <c r="M26" s="31"/>
      <c r="N26" s="31"/>
      <c r="O26" s="31"/>
      <c r="P26" s="31"/>
      <c r="Q26" s="58"/>
      <c r="R26" s="555"/>
      <c r="S26" s="555"/>
      <c r="T26" s="555"/>
      <c r="U26" s="555"/>
      <c r="V26" s="58"/>
      <c r="W26" s="31"/>
      <c r="X26" s="31"/>
      <c r="Y26" s="60"/>
      <c r="Z26" s="60"/>
      <c r="AA26" s="31"/>
      <c r="AB26" s="31"/>
      <c r="AC26" s="31"/>
      <c r="AD26" s="31"/>
      <c r="AE26" s="31"/>
      <c r="AF26" s="31"/>
      <c r="AG26" s="31"/>
      <c r="AH26" s="31"/>
      <c r="AI26" s="31"/>
      <c r="AJ26" s="31"/>
      <c r="AK26" s="31"/>
      <c r="AL26" s="31"/>
      <c r="AM26" s="1"/>
      <c r="AN26" s="60"/>
      <c r="AO26" s="31"/>
      <c r="AP26" s="31"/>
      <c r="AQ26" s="31"/>
      <c r="AR26" s="31"/>
      <c r="AS26" s="31"/>
      <c r="AT26" s="60"/>
    </row>
    <row r="27" spans="1:46" ht="20.25" customHeight="1">
      <c r="A27" s="31"/>
      <c r="B27" s="31"/>
      <c r="C27" s="1"/>
      <c r="D27" s="31"/>
      <c r="E27" s="31"/>
      <c r="F27" s="31"/>
      <c r="G27" s="31"/>
      <c r="H27" s="31"/>
      <c r="I27" s="31"/>
      <c r="J27" s="31"/>
      <c r="K27" s="31"/>
      <c r="L27" s="31"/>
      <c r="M27" s="31"/>
      <c r="N27" s="31"/>
      <c r="O27" s="31"/>
      <c r="P27" s="31"/>
      <c r="Q27" s="58"/>
      <c r="R27" s="555"/>
      <c r="S27" s="555"/>
      <c r="T27" s="555"/>
      <c r="U27" s="555"/>
      <c r="V27" s="58"/>
      <c r="W27" s="31"/>
      <c r="X27" s="31"/>
      <c r="Y27" s="60"/>
      <c r="Z27" s="60"/>
      <c r="AA27" s="31"/>
      <c r="AB27" s="31"/>
      <c r="AC27" s="31"/>
      <c r="AD27" s="31"/>
      <c r="AE27" s="31"/>
      <c r="AF27" s="31"/>
      <c r="AG27" s="31"/>
      <c r="AH27" s="31"/>
      <c r="AI27" s="31"/>
      <c r="AJ27" s="31"/>
      <c r="AK27" s="31"/>
      <c r="AL27" s="31"/>
      <c r="AM27" s="1"/>
      <c r="AN27" s="60"/>
      <c r="AO27" s="31"/>
      <c r="AP27" s="31"/>
      <c r="AQ27" s="31"/>
      <c r="AR27" s="31"/>
      <c r="AS27" s="31"/>
      <c r="AT27" s="60"/>
    </row>
    <row r="28" spans="1:46" ht="20.25" customHeight="1">
      <c r="A28" s="31"/>
      <c r="B28" s="31"/>
      <c r="C28" s="1"/>
      <c r="D28" s="31"/>
      <c r="E28" s="31"/>
      <c r="F28" s="31"/>
      <c r="G28" s="31"/>
      <c r="H28" s="31"/>
      <c r="I28" s="31"/>
      <c r="J28" s="31"/>
      <c r="K28" s="31"/>
      <c r="L28" s="31"/>
      <c r="M28" s="31"/>
      <c r="N28" s="31"/>
      <c r="O28" s="31"/>
      <c r="P28" s="31"/>
      <c r="Q28" s="58"/>
      <c r="R28" s="555"/>
      <c r="S28" s="555"/>
      <c r="T28" s="555"/>
      <c r="U28" s="555"/>
      <c r="V28" s="58"/>
      <c r="W28" s="31"/>
      <c r="X28" s="31"/>
      <c r="Y28" s="60"/>
      <c r="Z28" s="60"/>
      <c r="AA28" s="31"/>
      <c r="AB28" s="31"/>
      <c r="AC28" s="31"/>
      <c r="AD28" s="31"/>
      <c r="AE28" s="31"/>
      <c r="AF28" s="31"/>
      <c r="AG28" s="31"/>
      <c r="AH28" s="31"/>
      <c r="AI28" s="31"/>
      <c r="AJ28" s="31"/>
      <c r="AK28" s="31"/>
      <c r="AL28" s="31"/>
      <c r="AM28" s="1"/>
      <c r="AN28" s="60"/>
      <c r="AO28" s="31"/>
      <c r="AP28" s="31"/>
      <c r="AQ28" s="31"/>
      <c r="AR28" s="31"/>
      <c r="AS28" s="31"/>
      <c r="AT28" s="60"/>
    </row>
    <row r="29" spans="1:46" ht="20.25" customHeight="1">
      <c r="A29" s="31"/>
      <c r="B29" s="31"/>
      <c r="C29" s="1"/>
      <c r="D29" s="31"/>
      <c r="E29" s="31"/>
      <c r="F29" s="31"/>
      <c r="G29" s="31"/>
      <c r="H29" s="31"/>
      <c r="I29" s="31"/>
      <c r="J29" s="31"/>
      <c r="K29" s="31"/>
      <c r="L29" s="31"/>
      <c r="M29" s="31"/>
      <c r="N29" s="31"/>
      <c r="O29" s="31"/>
      <c r="P29" s="31"/>
      <c r="Q29" s="58"/>
      <c r="R29" s="555"/>
      <c r="S29" s="555"/>
      <c r="T29" s="555"/>
      <c r="U29" s="555"/>
      <c r="V29" s="58"/>
      <c r="W29" s="31"/>
      <c r="X29" s="31"/>
      <c r="Y29" s="60"/>
      <c r="Z29" s="60"/>
      <c r="AA29" s="31"/>
      <c r="AB29" s="31"/>
      <c r="AC29" s="31"/>
      <c r="AD29" s="31"/>
      <c r="AE29" s="31"/>
      <c r="AF29" s="31"/>
      <c r="AG29" s="31"/>
      <c r="AH29" s="31"/>
      <c r="AI29" s="31"/>
      <c r="AJ29" s="31"/>
      <c r="AK29" s="31"/>
      <c r="AL29" s="31"/>
      <c r="AM29" s="1"/>
      <c r="AN29" s="60"/>
      <c r="AO29" s="31"/>
      <c r="AP29" s="31"/>
      <c r="AQ29" s="31"/>
      <c r="AR29" s="31"/>
      <c r="AS29" s="31"/>
      <c r="AT29" s="60"/>
    </row>
    <row r="30" spans="1:46" ht="20.25" customHeight="1">
      <c r="A30" s="31"/>
      <c r="B30" s="31"/>
      <c r="C30" s="1"/>
      <c r="D30" s="31"/>
      <c r="E30" s="31"/>
      <c r="F30" s="31"/>
      <c r="G30" s="31"/>
      <c r="H30" s="31"/>
      <c r="I30" s="31"/>
      <c r="J30" s="31"/>
      <c r="K30" s="31"/>
      <c r="L30" s="31"/>
      <c r="M30" s="31"/>
      <c r="N30" s="31"/>
      <c r="O30" s="31"/>
      <c r="P30" s="31"/>
      <c r="Q30" s="58"/>
      <c r="R30" s="555"/>
      <c r="S30" s="555"/>
      <c r="T30" s="555"/>
      <c r="U30" s="555"/>
      <c r="V30" s="58"/>
      <c r="W30" s="31"/>
      <c r="X30" s="31"/>
      <c r="Y30" s="60"/>
      <c r="Z30" s="60"/>
      <c r="AA30" s="31"/>
      <c r="AB30" s="31"/>
      <c r="AC30" s="31"/>
      <c r="AD30" s="31"/>
      <c r="AE30" s="31"/>
      <c r="AF30" s="31"/>
      <c r="AG30" s="31"/>
      <c r="AH30" s="31"/>
      <c r="AI30" s="31"/>
      <c r="AJ30" s="31"/>
      <c r="AK30" s="31"/>
      <c r="AL30" s="31"/>
      <c r="AM30" s="1"/>
      <c r="AN30" s="60"/>
      <c r="AO30" s="31"/>
      <c r="AP30" s="31"/>
      <c r="AQ30" s="31"/>
      <c r="AR30" s="31"/>
      <c r="AS30" s="31"/>
      <c r="AT30" s="60"/>
    </row>
    <row r="31" spans="1:46" ht="20.25" customHeight="1">
      <c r="A31" s="31"/>
      <c r="B31" s="31"/>
      <c r="C31" s="1"/>
      <c r="D31" s="31"/>
      <c r="E31" s="31"/>
      <c r="F31" s="31"/>
      <c r="G31" s="31"/>
      <c r="H31" s="31"/>
      <c r="I31" s="31"/>
      <c r="J31" s="31"/>
      <c r="K31" s="31"/>
      <c r="L31" s="31"/>
      <c r="M31" s="31"/>
      <c r="N31" s="31"/>
      <c r="O31" s="31"/>
      <c r="P31" s="31"/>
      <c r="Q31" s="58"/>
      <c r="R31" s="555"/>
      <c r="S31" s="555"/>
      <c r="T31" s="555"/>
      <c r="U31" s="555"/>
      <c r="V31" s="58"/>
      <c r="W31" s="31"/>
      <c r="X31" s="31"/>
      <c r="Y31" s="60"/>
      <c r="Z31" s="60"/>
      <c r="AA31" s="31"/>
      <c r="AB31" s="31"/>
      <c r="AC31" s="31"/>
      <c r="AD31" s="31"/>
      <c r="AE31" s="31"/>
      <c r="AF31" s="31"/>
      <c r="AG31" s="31"/>
      <c r="AH31" s="31"/>
      <c r="AI31" s="31"/>
      <c r="AJ31" s="31"/>
      <c r="AK31" s="31"/>
      <c r="AL31" s="31"/>
      <c r="AM31" s="1"/>
      <c r="AN31" s="60"/>
      <c r="AO31" s="31"/>
      <c r="AP31" s="31"/>
      <c r="AQ31" s="31"/>
      <c r="AR31" s="31"/>
      <c r="AS31" s="31"/>
      <c r="AT31" s="60"/>
    </row>
    <row r="32" spans="1:46" ht="20.25" customHeight="1">
      <c r="A32" s="31"/>
      <c r="B32" s="31"/>
      <c r="C32" s="1"/>
      <c r="D32" s="31"/>
      <c r="E32" s="31"/>
      <c r="F32" s="31"/>
      <c r="G32" s="31"/>
      <c r="H32" s="31"/>
      <c r="I32" s="31"/>
      <c r="J32" s="31"/>
      <c r="K32" s="31"/>
      <c r="L32" s="31"/>
      <c r="M32" s="31"/>
      <c r="N32" s="31"/>
      <c r="O32" s="31"/>
      <c r="P32" s="31"/>
      <c r="Q32" s="58"/>
      <c r="R32" s="555"/>
      <c r="S32" s="555"/>
      <c r="T32" s="555"/>
      <c r="U32" s="555"/>
      <c r="V32" s="58"/>
      <c r="W32" s="31"/>
      <c r="X32" s="31"/>
      <c r="Y32" s="60"/>
      <c r="Z32" s="60"/>
      <c r="AA32" s="31"/>
      <c r="AB32" s="31"/>
      <c r="AC32" s="31"/>
      <c r="AD32" s="31"/>
      <c r="AE32" s="31"/>
      <c r="AF32" s="31"/>
      <c r="AG32" s="31"/>
      <c r="AH32" s="31"/>
      <c r="AI32" s="31"/>
      <c r="AJ32" s="31"/>
      <c r="AK32" s="31"/>
      <c r="AL32" s="31"/>
      <c r="AM32" s="1"/>
      <c r="AN32" s="60"/>
      <c r="AO32" s="31"/>
      <c r="AP32" s="31"/>
      <c r="AQ32" s="31"/>
      <c r="AR32" s="31"/>
      <c r="AS32" s="31"/>
      <c r="AT32" s="60"/>
    </row>
    <row r="33" spans="1:46" ht="20.25" customHeight="1">
      <c r="A33" s="31"/>
      <c r="B33" s="31"/>
      <c r="C33" s="1"/>
      <c r="D33" s="31"/>
      <c r="E33" s="31"/>
      <c r="F33" s="31"/>
      <c r="G33" s="31"/>
      <c r="H33" s="31"/>
      <c r="I33" s="31"/>
      <c r="J33" s="31"/>
      <c r="K33" s="31"/>
      <c r="L33" s="31"/>
      <c r="M33" s="31"/>
      <c r="N33" s="31"/>
      <c r="O33" s="31"/>
      <c r="P33" s="31"/>
      <c r="Q33" s="58"/>
      <c r="R33" s="555"/>
      <c r="S33" s="555"/>
      <c r="T33" s="555"/>
      <c r="U33" s="555"/>
      <c r="V33" s="58"/>
      <c r="W33" s="31"/>
      <c r="X33" s="31"/>
      <c r="Y33" s="60"/>
      <c r="Z33" s="60"/>
      <c r="AA33" s="31"/>
      <c r="AB33" s="31"/>
      <c r="AC33" s="31"/>
      <c r="AD33" s="31"/>
      <c r="AE33" s="31"/>
      <c r="AF33" s="31"/>
      <c r="AG33" s="31"/>
      <c r="AH33" s="31"/>
      <c r="AI33" s="31"/>
      <c r="AJ33" s="31"/>
      <c r="AK33" s="31"/>
      <c r="AL33" s="31"/>
      <c r="AM33" s="1"/>
      <c r="AN33" s="60"/>
      <c r="AO33" s="31"/>
      <c r="AP33" s="31"/>
      <c r="AQ33" s="31"/>
      <c r="AR33" s="31"/>
      <c r="AS33" s="31"/>
      <c r="AT33" s="60"/>
    </row>
    <row r="34" spans="1:46" ht="20.25" customHeight="1">
      <c r="A34" s="31"/>
      <c r="B34" s="31"/>
      <c r="C34" s="1"/>
      <c r="D34" s="31"/>
      <c r="E34" s="31"/>
      <c r="F34" s="31"/>
      <c r="G34" s="31"/>
      <c r="H34" s="31"/>
      <c r="I34" s="31"/>
      <c r="J34" s="31"/>
      <c r="K34" s="31"/>
      <c r="L34" s="31"/>
      <c r="M34" s="31"/>
      <c r="N34" s="31"/>
      <c r="O34" s="31"/>
      <c r="P34" s="31"/>
      <c r="Q34" s="58"/>
      <c r="R34" s="555"/>
      <c r="S34" s="555"/>
      <c r="T34" s="555"/>
      <c r="U34" s="555"/>
      <c r="V34" s="58"/>
      <c r="W34" s="31"/>
      <c r="X34" s="31"/>
      <c r="Y34" s="60"/>
      <c r="Z34" s="60"/>
      <c r="AA34" s="31"/>
      <c r="AB34" s="31"/>
      <c r="AC34" s="31"/>
      <c r="AD34" s="31"/>
      <c r="AE34" s="31"/>
      <c r="AF34" s="31"/>
      <c r="AG34" s="31"/>
      <c r="AH34" s="31"/>
      <c r="AI34" s="31"/>
      <c r="AJ34" s="31"/>
      <c r="AK34" s="31"/>
      <c r="AL34" s="31"/>
      <c r="AM34" s="1"/>
      <c r="AN34" s="60"/>
      <c r="AO34" s="31"/>
      <c r="AP34" s="31"/>
      <c r="AQ34" s="31"/>
      <c r="AR34" s="31"/>
      <c r="AS34" s="31"/>
      <c r="AT34" s="60"/>
    </row>
    <row r="35" spans="1:46" ht="20.25" customHeight="1">
      <c r="A35" s="31"/>
      <c r="B35" s="31"/>
      <c r="C35" s="1"/>
      <c r="D35" s="31"/>
      <c r="E35" s="31"/>
      <c r="F35" s="31"/>
      <c r="G35" s="31"/>
      <c r="H35" s="31"/>
      <c r="I35" s="31"/>
      <c r="J35" s="31"/>
      <c r="K35" s="31"/>
      <c r="L35" s="31"/>
      <c r="M35" s="31"/>
      <c r="N35" s="31"/>
      <c r="O35" s="31"/>
      <c r="P35" s="31"/>
      <c r="Q35" s="58"/>
      <c r="R35" s="555"/>
      <c r="S35" s="555"/>
      <c r="T35" s="555"/>
      <c r="U35" s="555"/>
      <c r="V35" s="58"/>
      <c r="W35" s="31"/>
      <c r="X35" s="31"/>
      <c r="Y35" s="60"/>
      <c r="Z35" s="60"/>
      <c r="AA35" s="31"/>
      <c r="AB35" s="31"/>
      <c r="AC35" s="31"/>
      <c r="AD35" s="31"/>
      <c r="AE35" s="31"/>
      <c r="AF35" s="31"/>
      <c r="AG35" s="31"/>
      <c r="AH35" s="31"/>
      <c r="AI35" s="31"/>
      <c r="AJ35" s="31"/>
      <c r="AK35" s="31"/>
      <c r="AL35" s="31"/>
      <c r="AM35" s="1"/>
      <c r="AN35" s="60"/>
      <c r="AO35" s="31"/>
      <c r="AP35" s="31"/>
      <c r="AQ35" s="31"/>
      <c r="AR35" s="31"/>
      <c r="AS35" s="31"/>
      <c r="AT35" s="60"/>
    </row>
    <row r="36" spans="1:46" ht="20.25" customHeight="1">
      <c r="A36" s="31"/>
      <c r="B36" s="31"/>
      <c r="C36" s="1"/>
      <c r="D36" s="31"/>
      <c r="E36" s="31"/>
      <c r="F36" s="31"/>
      <c r="G36" s="31"/>
      <c r="H36" s="31"/>
      <c r="I36" s="31"/>
      <c r="J36" s="31"/>
      <c r="K36" s="31"/>
      <c r="L36" s="31"/>
      <c r="M36" s="31"/>
      <c r="N36" s="31"/>
      <c r="O36" s="31"/>
      <c r="P36" s="31"/>
      <c r="Q36" s="58"/>
      <c r="R36" s="555"/>
      <c r="S36" s="555"/>
      <c r="T36" s="555"/>
      <c r="U36" s="555"/>
      <c r="V36" s="58"/>
      <c r="W36" s="31"/>
      <c r="X36" s="31"/>
      <c r="Y36" s="60"/>
      <c r="Z36" s="60"/>
      <c r="AA36" s="31"/>
      <c r="AB36" s="31"/>
      <c r="AC36" s="31"/>
      <c r="AD36" s="31"/>
      <c r="AE36" s="31"/>
      <c r="AF36" s="31"/>
      <c r="AG36" s="31"/>
      <c r="AH36" s="31"/>
      <c r="AI36" s="31"/>
      <c r="AJ36" s="31"/>
      <c r="AK36" s="31"/>
      <c r="AL36" s="31"/>
      <c r="AM36" s="1"/>
      <c r="AN36" s="60"/>
      <c r="AO36" s="31"/>
      <c r="AP36" s="31"/>
      <c r="AQ36" s="31"/>
      <c r="AR36" s="31"/>
      <c r="AS36" s="31"/>
      <c r="AT36" s="60"/>
    </row>
    <row r="37" spans="1:46" ht="20.25" customHeight="1">
      <c r="A37" s="31"/>
      <c r="B37" s="31"/>
      <c r="C37" s="1"/>
      <c r="D37" s="31"/>
      <c r="E37" s="31"/>
      <c r="F37" s="31"/>
      <c r="G37" s="31"/>
      <c r="H37" s="31"/>
      <c r="I37" s="31"/>
      <c r="J37" s="31"/>
      <c r="K37" s="31"/>
      <c r="L37" s="31"/>
      <c r="M37" s="31"/>
      <c r="N37" s="31"/>
      <c r="O37" s="31"/>
      <c r="P37" s="31"/>
      <c r="Q37" s="58"/>
      <c r="R37" s="555"/>
      <c r="S37" s="555"/>
      <c r="T37" s="555"/>
      <c r="U37" s="555"/>
      <c r="V37" s="58"/>
      <c r="W37" s="31"/>
      <c r="X37" s="31"/>
      <c r="Y37" s="60"/>
      <c r="Z37" s="60"/>
      <c r="AA37" s="31"/>
      <c r="AB37" s="31"/>
      <c r="AC37" s="31"/>
      <c r="AD37" s="31"/>
      <c r="AE37" s="31"/>
      <c r="AF37" s="31"/>
      <c r="AG37" s="31"/>
      <c r="AH37" s="31"/>
      <c r="AI37" s="31"/>
      <c r="AJ37" s="31"/>
      <c r="AK37" s="31"/>
      <c r="AL37" s="31"/>
      <c r="AM37" s="1"/>
      <c r="AN37" s="60"/>
      <c r="AO37" s="31"/>
      <c r="AP37" s="31"/>
      <c r="AQ37" s="31"/>
      <c r="AR37" s="31"/>
      <c r="AS37" s="31"/>
      <c r="AT37" s="60"/>
    </row>
    <row r="38" spans="1:46" ht="20.25" customHeight="1">
      <c r="A38" s="31"/>
      <c r="B38" s="31"/>
      <c r="C38" s="1"/>
      <c r="D38" s="31"/>
      <c r="E38" s="31"/>
      <c r="F38" s="31"/>
      <c r="G38" s="31"/>
      <c r="H38" s="31"/>
      <c r="I38" s="31"/>
      <c r="J38" s="31"/>
      <c r="K38" s="31"/>
      <c r="L38" s="31"/>
      <c r="M38" s="31"/>
      <c r="N38" s="31"/>
      <c r="O38" s="31"/>
      <c r="P38" s="31"/>
      <c r="Q38" s="58"/>
      <c r="R38" s="555"/>
      <c r="S38" s="555"/>
      <c r="T38" s="555"/>
      <c r="U38" s="555"/>
      <c r="V38" s="58"/>
      <c r="W38" s="31"/>
      <c r="X38" s="31"/>
      <c r="Y38" s="60"/>
      <c r="Z38" s="60"/>
      <c r="AA38" s="31"/>
      <c r="AB38" s="31"/>
      <c r="AC38" s="31"/>
      <c r="AD38" s="31"/>
      <c r="AE38" s="31"/>
      <c r="AF38" s="31"/>
      <c r="AG38" s="31"/>
      <c r="AH38" s="31"/>
      <c r="AI38" s="31"/>
      <c r="AJ38" s="31"/>
      <c r="AK38" s="31"/>
      <c r="AL38" s="31"/>
      <c r="AM38" s="1"/>
      <c r="AN38" s="60"/>
      <c r="AO38" s="31"/>
      <c r="AP38" s="31"/>
      <c r="AQ38" s="31"/>
      <c r="AR38" s="31"/>
      <c r="AS38" s="31"/>
      <c r="AT38" s="60"/>
    </row>
    <row r="39" spans="1:46" ht="20.25" customHeight="1">
      <c r="A39" s="31"/>
      <c r="B39" s="31"/>
      <c r="C39" s="1"/>
      <c r="D39" s="31"/>
      <c r="E39" s="31"/>
      <c r="F39" s="31"/>
      <c r="G39" s="31"/>
      <c r="H39" s="31"/>
      <c r="I39" s="31"/>
      <c r="J39" s="31"/>
      <c r="K39" s="31"/>
      <c r="L39" s="31"/>
      <c r="M39" s="31"/>
      <c r="N39" s="31"/>
      <c r="O39" s="31"/>
      <c r="P39" s="31"/>
      <c r="Q39" s="58"/>
      <c r="R39" s="555"/>
      <c r="S39" s="555"/>
      <c r="T39" s="555"/>
      <c r="U39" s="555"/>
      <c r="V39" s="58"/>
      <c r="W39" s="31"/>
      <c r="X39" s="31"/>
      <c r="Y39" s="60"/>
      <c r="Z39" s="60"/>
      <c r="AA39" s="31"/>
      <c r="AB39" s="31"/>
      <c r="AC39" s="31"/>
      <c r="AD39" s="31"/>
      <c r="AE39" s="31"/>
      <c r="AF39" s="31"/>
      <c r="AG39" s="31"/>
      <c r="AH39" s="31"/>
      <c r="AI39" s="31"/>
      <c r="AJ39" s="31"/>
      <c r="AK39" s="31"/>
      <c r="AL39" s="31"/>
      <c r="AM39" s="1"/>
      <c r="AN39" s="60"/>
      <c r="AO39" s="31"/>
      <c r="AP39" s="31"/>
      <c r="AQ39" s="31"/>
      <c r="AR39" s="31"/>
      <c r="AS39" s="31"/>
      <c r="AT39" s="60"/>
    </row>
    <row r="40" spans="1:46" ht="20.25" customHeight="1">
      <c r="A40" s="117"/>
      <c r="B40" s="117"/>
      <c r="C40" s="118"/>
      <c r="D40" s="117"/>
      <c r="E40" s="117"/>
      <c r="F40" s="117"/>
      <c r="G40" s="117"/>
      <c r="H40" s="117"/>
      <c r="I40" s="117"/>
      <c r="J40" s="117"/>
      <c r="K40" s="117"/>
      <c r="L40" s="117"/>
      <c r="M40" s="117"/>
      <c r="N40" s="117"/>
      <c r="O40" s="117"/>
      <c r="P40" s="117"/>
      <c r="Q40" s="119"/>
      <c r="R40" s="556"/>
      <c r="S40" s="556"/>
      <c r="T40" s="556"/>
      <c r="U40" s="556"/>
      <c r="V40" s="119"/>
      <c r="W40" s="117"/>
      <c r="X40" s="117"/>
      <c r="Y40" s="120"/>
      <c r="Z40" s="120"/>
      <c r="AA40" s="117"/>
      <c r="AB40" s="117"/>
      <c r="AC40" s="117"/>
      <c r="AD40" s="117"/>
      <c r="AE40" s="117"/>
      <c r="AF40" s="117"/>
      <c r="AG40" s="117"/>
      <c r="AH40" s="117"/>
      <c r="AI40" s="117"/>
      <c r="AJ40" s="117"/>
      <c r="AK40" s="117"/>
      <c r="AL40" s="117"/>
      <c r="AM40" s="118"/>
      <c r="AN40" s="120"/>
      <c r="AO40" s="117"/>
      <c r="AP40" s="117"/>
      <c r="AQ40" s="117"/>
      <c r="AR40" s="117"/>
      <c r="AS40" s="117"/>
      <c r="AT40" s="120"/>
    </row>
    <row r="41" spans="1:46" ht="20.25" customHeight="1">
      <c r="A41" s="117"/>
      <c r="B41" s="117"/>
      <c r="C41" s="118"/>
      <c r="D41" s="117"/>
      <c r="E41" s="117"/>
      <c r="F41" s="117"/>
      <c r="G41" s="117"/>
      <c r="H41" s="117"/>
      <c r="I41" s="117"/>
      <c r="J41" s="117"/>
      <c r="K41" s="117"/>
      <c r="L41" s="117"/>
      <c r="M41" s="117"/>
      <c r="N41" s="117"/>
      <c r="O41" s="117"/>
      <c r="P41" s="117"/>
      <c r="Q41" s="119"/>
      <c r="R41" s="556"/>
      <c r="S41" s="556"/>
      <c r="T41" s="556"/>
      <c r="U41" s="556"/>
      <c r="V41" s="119"/>
      <c r="W41" s="117"/>
      <c r="X41" s="117"/>
      <c r="Y41" s="120"/>
      <c r="Z41" s="120"/>
      <c r="AA41" s="117"/>
      <c r="AB41" s="117"/>
      <c r="AC41" s="117"/>
      <c r="AD41" s="117"/>
      <c r="AE41" s="117"/>
      <c r="AF41" s="117"/>
      <c r="AG41" s="117"/>
      <c r="AH41" s="117"/>
      <c r="AI41" s="117"/>
      <c r="AJ41" s="117"/>
      <c r="AK41" s="117"/>
      <c r="AL41" s="117"/>
      <c r="AM41" s="118"/>
      <c r="AN41" s="120"/>
      <c r="AO41" s="117"/>
      <c r="AP41" s="117"/>
      <c r="AQ41" s="117"/>
      <c r="AR41" s="117"/>
      <c r="AS41" s="117"/>
      <c r="AT41" s="120"/>
    </row>
    <row r="42" spans="1:46" ht="20.25" customHeight="1">
      <c r="A42" s="117"/>
      <c r="B42" s="117"/>
      <c r="C42" s="118"/>
      <c r="D42" s="117"/>
      <c r="E42" s="117"/>
      <c r="F42" s="117"/>
      <c r="G42" s="117"/>
      <c r="H42" s="117"/>
      <c r="I42" s="117"/>
      <c r="J42" s="117"/>
      <c r="K42" s="117"/>
      <c r="L42" s="117"/>
      <c r="M42" s="117"/>
      <c r="N42" s="117"/>
      <c r="O42" s="117"/>
      <c r="P42" s="117"/>
      <c r="Q42" s="119"/>
      <c r="R42" s="556"/>
      <c r="S42" s="556"/>
      <c r="T42" s="556"/>
      <c r="U42" s="556"/>
      <c r="V42" s="119"/>
      <c r="W42" s="117"/>
      <c r="X42" s="117"/>
      <c r="Y42" s="120"/>
      <c r="Z42" s="120"/>
      <c r="AA42" s="117"/>
      <c r="AB42" s="117"/>
      <c r="AC42" s="117"/>
      <c r="AD42" s="117"/>
      <c r="AE42" s="117"/>
      <c r="AF42" s="117"/>
      <c r="AG42" s="117"/>
      <c r="AH42" s="117"/>
      <c r="AI42" s="117"/>
      <c r="AJ42" s="117"/>
      <c r="AK42" s="117"/>
      <c r="AL42" s="117"/>
      <c r="AM42" s="118"/>
      <c r="AN42" s="120"/>
      <c r="AO42" s="117"/>
      <c r="AP42" s="117"/>
      <c r="AQ42" s="117"/>
      <c r="AR42" s="117"/>
      <c r="AS42" s="117"/>
      <c r="AT42" s="120"/>
    </row>
    <row r="43" spans="1:46" ht="20.25" customHeight="1">
      <c r="A43" s="117"/>
      <c r="B43" s="117"/>
      <c r="C43" s="118"/>
      <c r="D43" s="117"/>
      <c r="E43" s="117"/>
      <c r="F43" s="117"/>
      <c r="G43" s="117"/>
      <c r="H43" s="117"/>
      <c r="I43" s="117"/>
      <c r="J43" s="117"/>
      <c r="K43" s="117"/>
      <c r="L43" s="117"/>
      <c r="M43" s="117"/>
      <c r="N43" s="117"/>
      <c r="O43" s="117"/>
      <c r="P43" s="117"/>
      <c r="Q43" s="119"/>
      <c r="R43" s="556"/>
      <c r="S43" s="556"/>
      <c r="T43" s="556"/>
      <c r="U43" s="556"/>
      <c r="V43" s="119"/>
      <c r="W43" s="117"/>
      <c r="X43" s="117"/>
      <c r="Y43" s="120"/>
      <c r="Z43" s="120"/>
      <c r="AA43" s="117"/>
      <c r="AB43" s="117"/>
      <c r="AC43" s="117"/>
      <c r="AD43" s="117"/>
      <c r="AE43" s="117"/>
      <c r="AF43" s="117"/>
      <c r="AG43" s="117"/>
      <c r="AH43" s="117"/>
      <c r="AI43" s="117"/>
      <c r="AJ43" s="117"/>
      <c r="AK43" s="117"/>
      <c r="AL43" s="117"/>
      <c r="AM43" s="118"/>
      <c r="AN43" s="120"/>
      <c r="AO43" s="117"/>
      <c r="AP43" s="117"/>
      <c r="AQ43" s="117"/>
      <c r="AR43" s="117"/>
      <c r="AS43" s="117"/>
      <c r="AT43" s="120"/>
    </row>
    <row r="44" spans="1:46" ht="20.25" customHeight="1">
      <c r="A44" s="117"/>
      <c r="B44" s="117"/>
      <c r="C44" s="118"/>
      <c r="D44" s="117"/>
      <c r="E44" s="117"/>
      <c r="F44" s="117"/>
      <c r="G44" s="117"/>
      <c r="H44" s="117"/>
      <c r="I44" s="117"/>
      <c r="J44" s="117"/>
      <c r="K44" s="117"/>
      <c r="L44" s="117"/>
      <c r="M44" s="117"/>
      <c r="N44" s="117"/>
      <c r="O44" s="117"/>
      <c r="P44" s="117"/>
      <c r="Q44" s="119"/>
      <c r="R44" s="556"/>
      <c r="S44" s="556"/>
      <c r="T44" s="556"/>
      <c r="U44" s="556"/>
      <c r="V44" s="119"/>
      <c r="W44" s="117"/>
      <c r="X44" s="117"/>
      <c r="Y44" s="120"/>
      <c r="Z44" s="120"/>
      <c r="AA44" s="117"/>
      <c r="AB44" s="117"/>
      <c r="AC44" s="117"/>
      <c r="AD44" s="117"/>
      <c r="AE44" s="117"/>
      <c r="AF44" s="117"/>
      <c r="AG44" s="117"/>
      <c r="AH44" s="117"/>
      <c r="AI44" s="117"/>
      <c r="AJ44" s="117"/>
      <c r="AK44" s="117"/>
      <c r="AL44" s="117"/>
      <c r="AM44" s="118"/>
      <c r="AN44" s="120"/>
      <c r="AO44" s="117"/>
      <c r="AP44" s="117"/>
      <c r="AQ44" s="117"/>
      <c r="AR44" s="117"/>
      <c r="AS44" s="117"/>
      <c r="AT44" s="120"/>
    </row>
    <row r="45" spans="1:46" ht="20.25" customHeight="1">
      <c r="A45" s="117"/>
      <c r="B45" s="117"/>
      <c r="C45" s="118"/>
      <c r="D45" s="117"/>
      <c r="E45" s="117"/>
      <c r="F45" s="117"/>
      <c r="G45" s="117"/>
      <c r="H45" s="117"/>
      <c r="I45" s="117"/>
      <c r="J45" s="117"/>
      <c r="K45" s="117"/>
      <c r="L45" s="117"/>
      <c r="M45" s="117"/>
      <c r="N45" s="117"/>
      <c r="O45" s="117"/>
      <c r="P45" s="117"/>
      <c r="Q45" s="119"/>
      <c r="R45" s="556"/>
      <c r="S45" s="556"/>
      <c r="T45" s="556"/>
      <c r="U45" s="556"/>
      <c r="V45" s="119"/>
      <c r="W45" s="117"/>
      <c r="X45" s="117"/>
      <c r="Y45" s="120"/>
      <c r="Z45" s="120"/>
      <c r="AA45" s="117"/>
      <c r="AB45" s="117"/>
      <c r="AC45" s="117"/>
      <c r="AD45" s="117"/>
      <c r="AE45" s="117"/>
      <c r="AF45" s="117"/>
      <c r="AG45" s="117"/>
      <c r="AH45" s="117"/>
      <c r="AI45" s="117"/>
      <c r="AJ45" s="117"/>
      <c r="AK45" s="117"/>
      <c r="AL45" s="117"/>
      <c r="AM45" s="118"/>
      <c r="AN45" s="120"/>
      <c r="AO45" s="117"/>
      <c r="AP45" s="117"/>
      <c r="AQ45" s="117"/>
      <c r="AR45" s="117"/>
      <c r="AS45" s="117"/>
      <c r="AT45" s="120"/>
    </row>
    <row r="46" spans="1:46" ht="20.25" customHeight="1">
      <c r="A46" s="117"/>
      <c r="B46" s="117"/>
      <c r="C46" s="118"/>
      <c r="D46" s="117"/>
      <c r="E46" s="117"/>
      <c r="F46" s="117"/>
      <c r="G46" s="117"/>
      <c r="H46" s="117"/>
      <c r="I46" s="117"/>
      <c r="J46" s="117"/>
      <c r="K46" s="117"/>
      <c r="L46" s="117"/>
      <c r="M46" s="117"/>
      <c r="N46" s="117"/>
      <c r="O46" s="117"/>
      <c r="P46" s="117"/>
      <c r="Q46" s="119"/>
      <c r="R46" s="556"/>
      <c r="S46" s="556"/>
      <c r="T46" s="556"/>
      <c r="U46" s="556"/>
      <c r="V46" s="119"/>
      <c r="W46" s="117"/>
      <c r="X46" s="117"/>
      <c r="Y46" s="120"/>
      <c r="Z46" s="120"/>
      <c r="AA46" s="117"/>
      <c r="AB46" s="117"/>
      <c r="AC46" s="117"/>
      <c r="AD46" s="117"/>
      <c r="AE46" s="117"/>
      <c r="AF46" s="117"/>
      <c r="AG46" s="117"/>
      <c r="AH46" s="117"/>
      <c r="AI46" s="117"/>
      <c r="AJ46" s="117"/>
      <c r="AK46" s="117"/>
      <c r="AL46" s="117"/>
      <c r="AM46" s="118"/>
      <c r="AN46" s="120"/>
      <c r="AO46" s="117"/>
      <c r="AP46" s="117"/>
      <c r="AQ46" s="117"/>
      <c r="AR46" s="117"/>
      <c r="AS46" s="117"/>
      <c r="AT46" s="120"/>
    </row>
    <row r="47" spans="1:46" ht="20.25" customHeight="1">
      <c r="A47" s="117"/>
      <c r="B47" s="117"/>
      <c r="C47" s="118"/>
      <c r="D47" s="117"/>
      <c r="E47" s="117"/>
      <c r="F47" s="117"/>
      <c r="G47" s="117"/>
      <c r="H47" s="117"/>
      <c r="I47" s="117"/>
      <c r="J47" s="117"/>
      <c r="K47" s="117"/>
      <c r="L47" s="117"/>
      <c r="M47" s="117"/>
      <c r="N47" s="117"/>
      <c r="O47" s="117"/>
      <c r="P47" s="117"/>
      <c r="Q47" s="119"/>
      <c r="R47" s="556"/>
      <c r="S47" s="556"/>
      <c r="T47" s="556"/>
      <c r="U47" s="556"/>
      <c r="V47" s="119"/>
      <c r="W47" s="117"/>
      <c r="X47" s="117"/>
      <c r="Y47" s="120"/>
      <c r="Z47" s="120"/>
      <c r="AA47" s="117"/>
      <c r="AB47" s="117"/>
      <c r="AC47" s="117"/>
      <c r="AD47" s="117"/>
      <c r="AE47" s="117"/>
      <c r="AF47" s="117"/>
      <c r="AG47" s="117"/>
      <c r="AH47" s="117"/>
      <c r="AI47" s="117"/>
      <c r="AJ47" s="117"/>
      <c r="AK47" s="117"/>
      <c r="AL47" s="117"/>
      <c r="AM47" s="118"/>
      <c r="AN47" s="120"/>
      <c r="AO47" s="117"/>
      <c r="AP47" s="117"/>
      <c r="AQ47" s="117"/>
      <c r="AR47" s="117"/>
      <c r="AS47" s="117"/>
      <c r="AT47" s="120"/>
    </row>
    <row r="48" spans="1:46" ht="20.25" customHeight="1">
      <c r="A48" s="117"/>
      <c r="B48" s="117"/>
      <c r="C48" s="118"/>
      <c r="D48" s="117"/>
      <c r="E48" s="117"/>
      <c r="F48" s="117"/>
      <c r="G48" s="117"/>
      <c r="H48" s="117"/>
      <c r="I48" s="117"/>
      <c r="J48" s="117"/>
      <c r="K48" s="117"/>
      <c r="L48" s="117"/>
      <c r="M48" s="117"/>
      <c r="N48" s="117"/>
      <c r="O48" s="117"/>
      <c r="P48" s="117"/>
      <c r="Q48" s="119"/>
      <c r="R48" s="556"/>
      <c r="S48" s="556"/>
      <c r="T48" s="556"/>
      <c r="U48" s="556"/>
      <c r="V48" s="119"/>
      <c r="W48" s="117"/>
      <c r="X48" s="117"/>
      <c r="Y48" s="120"/>
      <c r="Z48" s="120"/>
      <c r="AA48" s="117"/>
      <c r="AB48" s="117"/>
      <c r="AC48" s="117"/>
      <c r="AD48" s="117"/>
      <c r="AE48" s="117"/>
      <c r="AF48" s="117"/>
      <c r="AG48" s="117"/>
      <c r="AH48" s="117"/>
      <c r="AI48" s="117"/>
      <c r="AJ48" s="117"/>
      <c r="AK48" s="117"/>
      <c r="AL48" s="117"/>
      <c r="AM48" s="118"/>
      <c r="AN48" s="120"/>
      <c r="AO48" s="117"/>
      <c r="AP48" s="117"/>
      <c r="AQ48" s="117"/>
      <c r="AR48" s="117"/>
      <c r="AS48" s="117"/>
      <c r="AT48" s="120"/>
    </row>
    <row r="49" spans="1:46" ht="20.25" customHeight="1">
      <c r="A49" s="117"/>
      <c r="B49" s="117"/>
      <c r="C49" s="118"/>
      <c r="D49" s="117"/>
      <c r="E49" s="117"/>
      <c r="F49" s="117"/>
      <c r="G49" s="117"/>
      <c r="H49" s="117"/>
      <c r="I49" s="117"/>
      <c r="J49" s="117"/>
      <c r="K49" s="117"/>
      <c r="L49" s="117"/>
      <c r="M49" s="117"/>
      <c r="N49" s="117"/>
      <c r="O49" s="117"/>
      <c r="P49" s="117"/>
      <c r="Q49" s="119"/>
      <c r="R49" s="556"/>
      <c r="S49" s="556"/>
      <c r="T49" s="556"/>
      <c r="U49" s="556"/>
      <c r="V49" s="119"/>
      <c r="W49" s="117"/>
      <c r="X49" s="117"/>
      <c r="Y49" s="120"/>
      <c r="Z49" s="120"/>
      <c r="AA49" s="117"/>
      <c r="AB49" s="117"/>
      <c r="AC49" s="117"/>
      <c r="AD49" s="117"/>
      <c r="AE49" s="117"/>
      <c r="AF49" s="117"/>
      <c r="AG49" s="117"/>
      <c r="AH49" s="117"/>
      <c r="AI49" s="117"/>
      <c r="AJ49" s="117"/>
      <c r="AK49" s="117"/>
      <c r="AL49" s="117"/>
      <c r="AM49" s="118"/>
      <c r="AN49" s="120"/>
      <c r="AO49" s="117"/>
      <c r="AP49" s="117"/>
      <c r="AQ49" s="117"/>
      <c r="AR49" s="117"/>
      <c r="AS49" s="117"/>
      <c r="AT49" s="120"/>
    </row>
    <row r="50" spans="1:46" ht="20.25" customHeight="1">
      <c r="A50" s="117"/>
      <c r="B50" s="117"/>
      <c r="C50" s="118"/>
      <c r="D50" s="117"/>
      <c r="E50" s="117"/>
      <c r="F50" s="117"/>
      <c r="G50" s="117"/>
      <c r="H50" s="117"/>
      <c r="I50" s="117"/>
      <c r="J50" s="117"/>
      <c r="K50" s="117"/>
      <c r="L50" s="117"/>
      <c r="M50" s="117"/>
      <c r="N50" s="117"/>
      <c r="O50" s="117"/>
      <c r="P50" s="117"/>
      <c r="Q50" s="119"/>
      <c r="R50" s="556"/>
      <c r="S50" s="556"/>
      <c r="T50" s="556"/>
      <c r="U50" s="556"/>
      <c r="V50" s="119"/>
      <c r="W50" s="117"/>
      <c r="X50" s="117"/>
      <c r="Y50" s="120"/>
      <c r="Z50" s="120"/>
      <c r="AA50" s="117"/>
      <c r="AB50" s="117"/>
      <c r="AC50" s="117"/>
      <c r="AD50" s="117"/>
      <c r="AE50" s="117"/>
      <c r="AF50" s="117"/>
      <c r="AG50" s="117"/>
      <c r="AH50" s="117"/>
      <c r="AI50" s="117"/>
      <c r="AJ50" s="117"/>
      <c r="AK50" s="117"/>
      <c r="AL50" s="117"/>
      <c r="AM50" s="118"/>
      <c r="AN50" s="120"/>
      <c r="AO50" s="117"/>
      <c r="AP50" s="117"/>
      <c r="AQ50" s="117"/>
      <c r="AR50" s="117"/>
      <c r="AS50" s="117"/>
      <c r="AT50" s="120"/>
    </row>
    <row r="51" spans="1:46" ht="20.25" customHeight="1">
      <c r="A51" s="117"/>
      <c r="B51" s="117"/>
      <c r="C51" s="118"/>
      <c r="D51" s="117"/>
      <c r="E51" s="117"/>
      <c r="F51" s="117"/>
      <c r="G51" s="117"/>
      <c r="H51" s="117"/>
      <c r="I51" s="117"/>
      <c r="J51" s="117"/>
      <c r="K51" s="117"/>
      <c r="L51" s="117"/>
      <c r="M51" s="117"/>
      <c r="N51" s="117"/>
      <c r="O51" s="117"/>
      <c r="P51" s="117"/>
      <c r="Q51" s="119"/>
      <c r="R51" s="556"/>
      <c r="S51" s="556"/>
      <c r="T51" s="556"/>
      <c r="U51" s="556"/>
      <c r="V51" s="119"/>
      <c r="W51" s="117"/>
      <c r="X51" s="117"/>
      <c r="Y51" s="120"/>
      <c r="Z51" s="120"/>
      <c r="AA51" s="117"/>
      <c r="AB51" s="117"/>
      <c r="AC51" s="117"/>
      <c r="AD51" s="117"/>
      <c r="AE51" s="117"/>
      <c r="AF51" s="117"/>
      <c r="AG51" s="117"/>
      <c r="AH51" s="117"/>
      <c r="AI51" s="117"/>
      <c r="AJ51" s="117"/>
      <c r="AK51" s="117"/>
      <c r="AL51" s="117"/>
      <c r="AM51" s="118"/>
      <c r="AN51" s="120"/>
      <c r="AO51" s="117"/>
      <c r="AP51" s="117"/>
      <c r="AQ51" s="117"/>
      <c r="AR51" s="117"/>
      <c r="AS51" s="117"/>
      <c r="AT51" s="120"/>
    </row>
    <row r="52" spans="1:46" ht="20.25" customHeight="1">
      <c r="A52" s="117"/>
      <c r="B52" s="117"/>
      <c r="C52" s="118"/>
      <c r="D52" s="117"/>
      <c r="E52" s="117"/>
      <c r="F52" s="117"/>
      <c r="G52" s="117"/>
      <c r="H52" s="117"/>
      <c r="I52" s="117"/>
      <c r="J52" s="117"/>
      <c r="K52" s="117"/>
      <c r="L52" s="117"/>
      <c r="M52" s="117"/>
      <c r="N52" s="117"/>
      <c r="O52" s="117"/>
      <c r="P52" s="117"/>
      <c r="Q52" s="119"/>
      <c r="R52" s="556"/>
      <c r="S52" s="556"/>
      <c r="T52" s="556"/>
      <c r="U52" s="556"/>
      <c r="V52" s="119"/>
      <c r="W52" s="117"/>
      <c r="X52" s="117"/>
      <c r="Y52" s="120"/>
      <c r="Z52" s="120"/>
      <c r="AA52" s="117"/>
      <c r="AB52" s="117"/>
      <c r="AC52" s="117"/>
      <c r="AD52" s="117"/>
      <c r="AE52" s="117"/>
      <c r="AF52" s="117"/>
      <c r="AG52" s="117"/>
      <c r="AH52" s="117"/>
      <c r="AI52" s="117"/>
      <c r="AJ52" s="117"/>
      <c r="AK52" s="117"/>
      <c r="AL52" s="117"/>
      <c r="AM52" s="118"/>
      <c r="AN52" s="120"/>
      <c r="AO52" s="117"/>
      <c r="AP52" s="117"/>
      <c r="AQ52" s="117"/>
      <c r="AR52" s="117"/>
      <c r="AS52" s="117"/>
      <c r="AT52" s="120"/>
    </row>
    <row r="53" spans="1:46" ht="20.25" customHeight="1">
      <c r="A53" s="117"/>
      <c r="B53" s="117"/>
      <c r="C53" s="118"/>
      <c r="D53" s="117"/>
      <c r="E53" s="117"/>
      <c r="F53" s="117"/>
      <c r="G53" s="117"/>
      <c r="H53" s="117"/>
      <c r="I53" s="117"/>
      <c r="J53" s="117"/>
      <c r="K53" s="117"/>
      <c r="L53" s="117"/>
      <c r="M53" s="117"/>
      <c r="N53" s="117"/>
      <c r="O53" s="117"/>
      <c r="P53" s="117"/>
      <c r="Q53" s="119"/>
      <c r="R53" s="556"/>
      <c r="S53" s="556"/>
      <c r="T53" s="556"/>
      <c r="U53" s="556"/>
      <c r="V53" s="119"/>
      <c r="W53" s="117"/>
      <c r="X53" s="117"/>
      <c r="Y53" s="120"/>
      <c r="Z53" s="120"/>
      <c r="AA53" s="117"/>
      <c r="AB53" s="117"/>
      <c r="AC53" s="117"/>
      <c r="AD53" s="117"/>
      <c r="AE53" s="117"/>
      <c r="AF53" s="117"/>
      <c r="AG53" s="117"/>
      <c r="AH53" s="117"/>
      <c r="AI53" s="117"/>
      <c r="AJ53" s="117"/>
      <c r="AK53" s="117"/>
      <c r="AL53" s="117"/>
      <c r="AM53" s="118"/>
      <c r="AN53" s="120"/>
      <c r="AO53" s="117"/>
      <c r="AP53" s="117"/>
      <c r="AQ53" s="117"/>
      <c r="AR53" s="117"/>
      <c r="AS53" s="117"/>
      <c r="AT53" s="120"/>
    </row>
    <row r="54" spans="1:46" ht="20.25" customHeight="1">
      <c r="A54" s="117"/>
      <c r="B54" s="117"/>
      <c r="C54" s="118"/>
      <c r="D54" s="117"/>
      <c r="E54" s="117"/>
      <c r="F54" s="117"/>
      <c r="G54" s="117"/>
      <c r="H54" s="117"/>
      <c r="I54" s="117"/>
      <c r="J54" s="117"/>
      <c r="K54" s="117"/>
      <c r="L54" s="117"/>
      <c r="M54" s="117"/>
      <c r="N54" s="117"/>
      <c r="O54" s="117"/>
      <c r="P54" s="117"/>
      <c r="Q54" s="119"/>
      <c r="R54" s="556"/>
      <c r="S54" s="556"/>
      <c r="T54" s="556"/>
      <c r="U54" s="556"/>
      <c r="V54" s="119"/>
      <c r="W54" s="117"/>
      <c r="X54" s="117"/>
      <c r="Y54" s="120"/>
      <c r="Z54" s="120"/>
      <c r="AA54" s="117"/>
      <c r="AB54" s="117"/>
      <c r="AC54" s="117"/>
      <c r="AD54" s="117"/>
      <c r="AE54" s="117"/>
      <c r="AF54" s="117"/>
      <c r="AG54" s="117"/>
      <c r="AH54" s="117"/>
      <c r="AI54" s="117"/>
      <c r="AJ54" s="117"/>
      <c r="AK54" s="117"/>
      <c r="AL54" s="117"/>
      <c r="AM54" s="118"/>
      <c r="AN54" s="120"/>
      <c r="AO54" s="117"/>
      <c r="AP54" s="117"/>
      <c r="AQ54" s="117"/>
      <c r="AR54" s="117"/>
      <c r="AS54" s="117"/>
      <c r="AT54" s="120"/>
    </row>
    <row r="55" spans="1:46" ht="20.25" customHeight="1">
      <c r="A55" s="117"/>
      <c r="B55" s="117"/>
      <c r="C55" s="118"/>
      <c r="D55" s="117"/>
      <c r="E55" s="117"/>
      <c r="F55" s="117"/>
      <c r="G55" s="117"/>
      <c r="H55" s="117"/>
      <c r="I55" s="117"/>
      <c r="J55" s="117"/>
      <c r="K55" s="117"/>
      <c r="L55" s="117"/>
      <c r="M55" s="117"/>
      <c r="N55" s="117"/>
      <c r="O55" s="117"/>
      <c r="P55" s="117"/>
      <c r="Q55" s="119"/>
      <c r="R55" s="556"/>
      <c r="S55" s="556"/>
      <c r="T55" s="556"/>
      <c r="U55" s="556"/>
      <c r="V55" s="119"/>
      <c r="W55" s="117"/>
      <c r="X55" s="117"/>
      <c r="Y55" s="120"/>
      <c r="Z55" s="120"/>
      <c r="AA55" s="117"/>
      <c r="AB55" s="117"/>
      <c r="AC55" s="117"/>
      <c r="AD55" s="117"/>
      <c r="AE55" s="117"/>
      <c r="AF55" s="117"/>
      <c r="AG55" s="117"/>
      <c r="AH55" s="117"/>
      <c r="AI55" s="117"/>
      <c r="AJ55" s="117"/>
      <c r="AK55" s="117"/>
      <c r="AL55" s="117"/>
      <c r="AM55" s="118"/>
      <c r="AN55" s="120"/>
      <c r="AO55" s="117"/>
      <c r="AP55" s="117"/>
      <c r="AQ55" s="117"/>
      <c r="AR55" s="117"/>
      <c r="AS55" s="117"/>
      <c r="AT55" s="120"/>
    </row>
    <row r="56" spans="1:46" ht="20.25" customHeight="1">
      <c r="A56" s="117"/>
      <c r="B56" s="117"/>
      <c r="C56" s="118"/>
      <c r="D56" s="117"/>
      <c r="E56" s="117"/>
      <c r="F56" s="117"/>
      <c r="G56" s="117"/>
      <c r="H56" s="117"/>
      <c r="I56" s="117"/>
      <c r="J56" s="117"/>
      <c r="K56" s="117"/>
      <c r="L56" s="117"/>
      <c r="M56" s="117"/>
      <c r="N56" s="117"/>
      <c r="O56" s="117"/>
      <c r="P56" s="117"/>
      <c r="Q56" s="119"/>
      <c r="R56" s="556"/>
      <c r="S56" s="556"/>
      <c r="T56" s="556"/>
      <c r="U56" s="556"/>
      <c r="V56" s="119"/>
      <c r="W56" s="117"/>
      <c r="X56" s="117"/>
      <c r="Y56" s="120"/>
      <c r="Z56" s="120"/>
      <c r="AA56" s="117"/>
      <c r="AB56" s="117"/>
      <c r="AC56" s="117"/>
      <c r="AD56" s="117"/>
      <c r="AE56" s="117"/>
      <c r="AF56" s="117"/>
      <c r="AG56" s="117"/>
      <c r="AH56" s="117"/>
      <c r="AI56" s="117"/>
      <c r="AJ56" s="117"/>
      <c r="AK56" s="117"/>
      <c r="AL56" s="117"/>
      <c r="AM56" s="118"/>
      <c r="AN56" s="120"/>
      <c r="AO56" s="117"/>
      <c r="AP56" s="117"/>
      <c r="AQ56" s="117"/>
      <c r="AR56" s="117"/>
      <c r="AS56" s="117"/>
      <c r="AT56" s="120"/>
    </row>
    <row r="57" spans="1:46" ht="20.25" customHeight="1">
      <c r="A57" s="117"/>
      <c r="B57" s="117"/>
      <c r="C57" s="118"/>
      <c r="D57" s="117"/>
      <c r="E57" s="117"/>
      <c r="F57" s="117"/>
      <c r="G57" s="117"/>
      <c r="H57" s="117"/>
      <c r="I57" s="117"/>
      <c r="J57" s="117"/>
      <c r="K57" s="117"/>
      <c r="L57" s="117"/>
      <c r="M57" s="117"/>
      <c r="N57" s="117"/>
      <c r="O57" s="117"/>
      <c r="P57" s="117"/>
      <c r="Q57" s="119"/>
      <c r="R57" s="556"/>
      <c r="S57" s="556"/>
      <c r="T57" s="556"/>
      <c r="U57" s="556"/>
      <c r="V57" s="119"/>
      <c r="W57" s="117"/>
      <c r="X57" s="117"/>
      <c r="Y57" s="120"/>
      <c r="Z57" s="120"/>
      <c r="AA57" s="117"/>
      <c r="AB57" s="117"/>
      <c r="AC57" s="117"/>
      <c r="AD57" s="117"/>
      <c r="AE57" s="117"/>
      <c r="AF57" s="117"/>
      <c r="AG57" s="117"/>
      <c r="AH57" s="117"/>
      <c r="AI57" s="117"/>
      <c r="AJ57" s="117"/>
      <c r="AK57" s="117"/>
      <c r="AL57" s="117"/>
      <c r="AM57" s="118"/>
      <c r="AN57" s="120"/>
      <c r="AO57" s="117"/>
      <c r="AP57" s="117"/>
      <c r="AQ57" s="117"/>
      <c r="AR57" s="117"/>
      <c r="AS57" s="117"/>
      <c r="AT57" s="120"/>
    </row>
    <row r="58" spans="1:46" ht="20.25" customHeight="1">
      <c r="A58" s="117"/>
      <c r="B58" s="117"/>
      <c r="C58" s="118"/>
      <c r="D58" s="117"/>
      <c r="E58" s="117"/>
      <c r="F58" s="117"/>
      <c r="G58" s="117"/>
      <c r="H58" s="117"/>
      <c r="I58" s="117"/>
      <c r="J58" s="117"/>
      <c r="K58" s="117"/>
      <c r="L58" s="117"/>
      <c r="M58" s="117"/>
      <c r="N58" s="117"/>
      <c r="O58" s="117"/>
      <c r="P58" s="117"/>
      <c r="Q58" s="119"/>
      <c r="R58" s="556"/>
      <c r="S58" s="556"/>
      <c r="T58" s="556"/>
      <c r="U58" s="556"/>
      <c r="V58" s="119"/>
      <c r="W58" s="117"/>
      <c r="X58" s="117"/>
      <c r="Y58" s="120"/>
      <c r="Z58" s="120"/>
      <c r="AA58" s="117"/>
      <c r="AB58" s="117"/>
      <c r="AC58" s="117"/>
      <c r="AD58" s="117"/>
      <c r="AE58" s="117"/>
      <c r="AF58" s="117"/>
      <c r="AG58" s="117"/>
      <c r="AH58" s="117"/>
      <c r="AI58" s="117"/>
      <c r="AJ58" s="117"/>
      <c r="AK58" s="117"/>
      <c r="AL58" s="117"/>
      <c r="AM58" s="118"/>
      <c r="AN58" s="120"/>
      <c r="AO58" s="117"/>
      <c r="AP58" s="117"/>
      <c r="AQ58" s="117"/>
      <c r="AR58" s="117"/>
      <c r="AS58" s="117"/>
      <c r="AT58" s="120"/>
    </row>
    <row r="59" spans="1:46" ht="20.25" customHeight="1">
      <c r="A59" s="117"/>
      <c r="B59" s="117"/>
      <c r="C59" s="118"/>
      <c r="D59" s="117"/>
      <c r="E59" s="117"/>
      <c r="F59" s="117"/>
      <c r="G59" s="117"/>
      <c r="H59" s="117"/>
      <c r="I59" s="117"/>
      <c r="J59" s="117"/>
      <c r="K59" s="117"/>
      <c r="L59" s="117"/>
      <c r="M59" s="117"/>
      <c r="N59" s="117"/>
      <c r="O59" s="117"/>
      <c r="P59" s="117"/>
      <c r="Q59" s="119"/>
      <c r="R59" s="556"/>
      <c r="S59" s="556"/>
      <c r="T59" s="556"/>
      <c r="U59" s="556"/>
      <c r="V59" s="119"/>
      <c r="W59" s="117"/>
      <c r="X59" s="117"/>
      <c r="Y59" s="120"/>
      <c r="Z59" s="120"/>
      <c r="AA59" s="117"/>
      <c r="AB59" s="117"/>
      <c r="AC59" s="117"/>
      <c r="AD59" s="117"/>
      <c r="AE59" s="117"/>
      <c r="AF59" s="117"/>
      <c r="AG59" s="117"/>
      <c r="AH59" s="117"/>
      <c r="AI59" s="117"/>
      <c r="AJ59" s="117"/>
      <c r="AK59" s="117"/>
      <c r="AL59" s="117"/>
      <c r="AM59" s="118"/>
      <c r="AN59" s="120"/>
      <c r="AO59" s="117"/>
      <c r="AP59" s="117"/>
      <c r="AQ59" s="117"/>
      <c r="AR59" s="117"/>
      <c r="AS59" s="117"/>
      <c r="AT59" s="120"/>
    </row>
    <row r="60" spans="1:46" ht="20.25" customHeight="1">
      <c r="A60" s="117"/>
      <c r="B60" s="117"/>
      <c r="C60" s="118"/>
      <c r="D60" s="117"/>
      <c r="E60" s="117"/>
      <c r="F60" s="117"/>
      <c r="G60" s="117"/>
      <c r="H60" s="117"/>
      <c r="I60" s="117"/>
      <c r="J60" s="117"/>
      <c r="K60" s="117"/>
      <c r="L60" s="117"/>
      <c r="M60" s="117"/>
      <c r="N60" s="117"/>
      <c r="O60" s="117"/>
      <c r="P60" s="117"/>
      <c r="Q60" s="119"/>
      <c r="R60" s="556"/>
      <c r="S60" s="556"/>
      <c r="T60" s="556"/>
      <c r="U60" s="556"/>
      <c r="V60" s="119"/>
      <c r="W60" s="117"/>
      <c r="X60" s="117"/>
      <c r="Y60" s="120"/>
      <c r="Z60" s="120"/>
      <c r="AA60" s="117"/>
      <c r="AB60" s="117"/>
      <c r="AC60" s="117"/>
      <c r="AD60" s="117"/>
      <c r="AE60" s="117"/>
      <c r="AF60" s="117"/>
      <c r="AG60" s="117"/>
      <c r="AH60" s="117"/>
      <c r="AI60" s="117"/>
      <c r="AJ60" s="117"/>
      <c r="AK60" s="117"/>
      <c r="AL60" s="117"/>
      <c r="AM60" s="118"/>
      <c r="AN60" s="120"/>
      <c r="AO60" s="117"/>
      <c r="AP60" s="117"/>
      <c r="AQ60" s="117"/>
      <c r="AR60" s="117"/>
      <c r="AS60" s="117"/>
      <c r="AT60" s="120"/>
    </row>
    <row r="61" spans="1:46" ht="20.25" customHeight="1">
      <c r="A61" s="117"/>
      <c r="B61" s="117"/>
      <c r="C61" s="118"/>
      <c r="D61" s="117"/>
      <c r="E61" s="117"/>
      <c r="F61" s="117"/>
      <c r="G61" s="117"/>
      <c r="H61" s="117"/>
      <c r="I61" s="117"/>
      <c r="J61" s="117"/>
      <c r="K61" s="117"/>
      <c r="L61" s="117"/>
      <c r="M61" s="117"/>
      <c r="N61" s="117"/>
      <c r="O61" s="117"/>
      <c r="P61" s="117"/>
      <c r="Q61" s="119"/>
      <c r="R61" s="556"/>
      <c r="S61" s="556"/>
      <c r="T61" s="556"/>
      <c r="U61" s="556"/>
      <c r="V61" s="119"/>
      <c r="W61" s="117"/>
      <c r="X61" s="117"/>
      <c r="Y61" s="120"/>
      <c r="Z61" s="120"/>
      <c r="AA61" s="117"/>
      <c r="AB61" s="117"/>
      <c r="AC61" s="117"/>
      <c r="AD61" s="117"/>
      <c r="AE61" s="117"/>
      <c r="AF61" s="117"/>
      <c r="AG61" s="117"/>
      <c r="AH61" s="117"/>
      <c r="AI61" s="117"/>
      <c r="AJ61" s="117"/>
      <c r="AK61" s="117"/>
      <c r="AL61" s="117"/>
      <c r="AM61" s="118"/>
      <c r="AN61" s="120"/>
      <c r="AO61" s="117"/>
      <c r="AP61" s="117"/>
      <c r="AQ61" s="117"/>
      <c r="AR61" s="117"/>
      <c r="AS61" s="117"/>
      <c r="AT61" s="120"/>
    </row>
    <row r="62" spans="1:46" ht="20.25" customHeight="1">
      <c r="A62" s="117"/>
      <c r="B62" s="117"/>
      <c r="C62" s="118"/>
      <c r="D62" s="117"/>
      <c r="E62" s="117"/>
      <c r="F62" s="117"/>
      <c r="G62" s="117"/>
      <c r="H62" s="117"/>
      <c r="I62" s="117"/>
      <c r="J62" s="117"/>
      <c r="K62" s="117"/>
      <c r="L62" s="117"/>
      <c r="M62" s="117"/>
      <c r="N62" s="117"/>
      <c r="O62" s="117"/>
      <c r="P62" s="117"/>
      <c r="Q62" s="119"/>
      <c r="R62" s="556"/>
      <c r="S62" s="556"/>
      <c r="T62" s="556"/>
      <c r="U62" s="556"/>
      <c r="V62" s="119"/>
      <c r="W62" s="117"/>
      <c r="X62" s="117"/>
      <c r="Y62" s="120"/>
      <c r="Z62" s="120"/>
      <c r="AA62" s="117"/>
      <c r="AB62" s="117"/>
      <c r="AC62" s="117"/>
      <c r="AD62" s="117"/>
      <c r="AE62" s="117"/>
      <c r="AF62" s="117"/>
      <c r="AG62" s="117"/>
      <c r="AH62" s="117"/>
      <c r="AI62" s="117"/>
      <c r="AJ62" s="117"/>
      <c r="AK62" s="117"/>
      <c r="AL62" s="117"/>
      <c r="AM62" s="118"/>
      <c r="AN62" s="120"/>
      <c r="AO62" s="117"/>
      <c r="AP62" s="117"/>
      <c r="AQ62" s="117"/>
      <c r="AR62" s="117"/>
      <c r="AS62" s="117"/>
      <c r="AT62" s="120"/>
    </row>
    <row r="63" spans="1:46" ht="20.25" customHeight="1">
      <c r="A63" s="117"/>
      <c r="B63" s="117"/>
      <c r="C63" s="118"/>
      <c r="D63" s="117"/>
      <c r="E63" s="117"/>
      <c r="F63" s="117"/>
      <c r="G63" s="117"/>
      <c r="H63" s="117"/>
      <c r="I63" s="117"/>
      <c r="J63" s="117"/>
      <c r="K63" s="117"/>
      <c r="L63" s="117"/>
      <c r="M63" s="117"/>
      <c r="N63" s="117"/>
      <c r="O63" s="117"/>
      <c r="P63" s="117"/>
      <c r="Q63" s="119"/>
      <c r="R63" s="556"/>
      <c r="S63" s="556"/>
      <c r="T63" s="556"/>
      <c r="U63" s="556"/>
      <c r="V63" s="119"/>
      <c r="W63" s="117"/>
      <c r="X63" s="117"/>
      <c r="Y63" s="120"/>
      <c r="Z63" s="120"/>
      <c r="AA63" s="117"/>
      <c r="AB63" s="117"/>
      <c r="AC63" s="117"/>
      <c r="AD63" s="117"/>
      <c r="AE63" s="117"/>
      <c r="AF63" s="117"/>
      <c r="AG63" s="117"/>
      <c r="AH63" s="117"/>
      <c r="AI63" s="117"/>
      <c r="AJ63" s="117"/>
      <c r="AK63" s="117"/>
      <c r="AL63" s="117"/>
      <c r="AM63" s="118"/>
      <c r="AN63" s="120"/>
      <c r="AO63" s="117"/>
      <c r="AP63" s="117"/>
      <c r="AQ63" s="117"/>
      <c r="AR63" s="117"/>
      <c r="AS63" s="117"/>
      <c r="AT63" s="120"/>
    </row>
    <row r="64" spans="1:46" ht="20.25" customHeight="1">
      <c r="A64" s="117"/>
      <c r="B64" s="117"/>
      <c r="C64" s="118"/>
      <c r="D64" s="117"/>
      <c r="E64" s="117"/>
      <c r="F64" s="117"/>
      <c r="G64" s="117"/>
      <c r="H64" s="117"/>
      <c r="I64" s="117"/>
      <c r="J64" s="117"/>
      <c r="K64" s="117"/>
      <c r="L64" s="117"/>
      <c r="M64" s="117"/>
      <c r="N64" s="117"/>
      <c r="O64" s="117"/>
      <c r="P64" s="117"/>
      <c r="Q64" s="119"/>
      <c r="R64" s="556"/>
      <c r="S64" s="556"/>
      <c r="T64" s="556"/>
      <c r="U64" s="556"/>
      <c r="V64" s="119"/>
      <c r="W64" s="117"/>
      <c r="X64" s="117"/>
      <c r="Y64" s="120"/>
      <c r="Z64" s="120"/>
      <c r="AA64" s="117"/>
      <c r="AB64" s="117"/>
      <c r="AC64" s="117"/>
      <c r="AD64" s="117"/>
      <c r="AE64" s="117"/>
      <c r="AF64" s="117"/>
      <c r="AG64" s="117"/>
      <c r="AH64" s="117"/>
      <c r="AI64" s="117"/>
      <c r="AJ64" s="117"/>
      <c r="AK64" s="117"/>
      <c r="AL64" s="117"/>
      <c r="AM64" s="118"/>
      <c r="AN64" s="120"/>
      <c r="AO64" s="117"/>
      <c r="AP64" s="117"/>
      <c r="AQ64" s="117"/>
      <c r="AR64" s="117"/>
      <c r="AS64" s="117"/>
      <c r="AT64" s="120"/>
    </row>
    <row r="65" spans="1:46" ht="20.25" customHeight="1">
      <c r="A65" s="117"/>
      <c r="B65" s="117"/>
      <c r="C65" s="118"/>
      <c r="D65" s="117"/>
      <c r="E65" s="117"/>
      <c r="F65" s="117"/>
      <c r="G65" s="117"/>
      <c r="H65" s="117"/>
      <c r="I65" s="117"/>
      <c r="J65" s="117"/>
      <c r="K65" s="117"/>
      <c r="L65" s="117"/>
      <c r="M65" s="117"/>
      <c r="N65" s="117"/>
      <c r="O65" s="117"/>
      <c r="P65" s="117"/>
      <c r="Q65" s="119"/>
      <c r="R65" s="556"/>
      <c r="S65" s="556"/>
      <c r="T65" s="556"/>
      <c r="U65" s="556"/>
      <c r="V65" s="119"/>
      <c r="W65" s="117"/>
      <c r="X65" s="117"/>
      <c r="Y65" s="120"/>
      <c r="Z65" s="120"/>
      <c r="AA65" s="117"/>
      <c r="AB65" s="117"/>
      <c r="AC65" s="117"/>
      <c r="AD65" s="117"/>
      <c r="AE65" s="117"/>
      <c r="AF65" s="117"/>
      <c r="AG65" s="117"/>
      <c r="AH65" s="117"/>
      <c r="AI65" s="117"/>
      <c r="AJ65" s="117"/>
      <c r="AK65" s="117"/>
      <c r="AL65" s="117"/>
      <c r="AM65" s="118"/>
      <c r="AN65" s="120"/>
      <c r="AO65" s="117"/>
      <c r="AP65" s="117"/>
      <c r="AQ65" s="117"/>
      <c r="AR65" s="117"/>
      <c r="AS65" s="117"/>
      <c r="AT65" s="120"/>
    </row>
    <row r="66" spans="1:46" ht="20.25" customHeight="1">
      <c r="A66" s="117"/>
      <c r="B66" s="117"/>
      <c r="C66" s="118"/>
      <c r="D66" s="117"/>
      <c r="E66" s="117"/>
      <c r="F66" s="117"/>
      <c r="G66" s="117"/>
      <c r="H66" s="117"/>
      <c r="I66" s="117"/>
      <c r="J66" s="117"/>
      <c r="K66" s="117"/>
      <c r="L66" s="117"/>
      <c r="M66" s="117"/>
      <c r="N66" s="117"/>
      <c r="O66" s="117"/>
      <c r="P66" s="117"/>
      <c r="Q66" s="119"/>
      <c r="R66" s="556"/>
      <c r="S66" s="556"/>
      <c r="T66" s="556"/>
      <c r="U66" s="556"/>
      <c r="V66" s="119"/>
      <c r="W66" s="117"/>
      <c r="X66" s="117"/>
      <c r="Y66" s="120"/>
      <c r="Z66" s="120"/>
      <c r="AA66" s="117"/>
      <c r="AB66" s="117"/>
      <c r="AC66" s="117"/>
      <c r="AD66" s="117"/>
      <c r="AE66" s="117"/>
      <c r="AF66" s="117"/>
      <c r="AG66" s="117"/>
      <c r="AH66" s="117"/>
      <c r="AI66" s="117"/>
      <c r="AJ66" s="117"/>
      <c r="AK66" s="117"/>
      <c r="AL66" s="117"/>
      <c r="AM66" s="118"/>
      <c r="AN66" s="120"/>
      <c r="AO66" s="117"/>
      <c r="AP66" s="117"/>
      <c r="AQ66" s="117"/>
      <c r="AR66" s="117"/>
      <c r="AS66" s="117"/>
      <c r="AT66" s="120"/>
    </row>
    <row r="67" spans="1:46" ht="20.25" customHeight="1">
      <c r="A67" s="117"/>
      <c r="B67" s="117"/>
      <c r="C67" s="118"/>
      <c r="D67" s="117"/>
      <c r="E67" s="117"/>
      <c r="F67" s="117"/>
      <c r="G67" s="117"/>
      <c r="H67" s="117"/>
      <c r="I67" s="117"/>
      <c r="J67" s="117"/>
      <c r="K67" s="117"/>
      <c r="L67" s="117"/>
      <c r="M67" s="117"/>
      <c r="N67" s="117"/>
      <c r="O67" s="117"/>
      <c r="P67" s="117"/>
      <c r="Q67" s="119"/>
      <c r="R67" s="556"/>
      <c r="S67" s="556"/>
      <c r="T67" s="556"/>
      <c r="U67" s="556"/>
      <c r="V67" s="119"/>
      <c r="W67" s="117"/>
      <c r="X67" s="117"/>
      <c r="Y67" s="120"/>
      <c r="Z67" s="120"/>
      <c r="AA67" s="117"/>
      <c r="AB67" s="117"/>
      <c r="AC67" s="117"/>
      <c r="AD67" s="117"/>
      <c r="AE67" s="117"/>
      <c r="AF67" s="117"/>
      <c r="AG67" s="117"/>
      <c r="AH67" s="117"/>
      <c r="AI67" s="117"/>
      <c r="AJ67" s="117"/>
      <c r="AK67" s="117"/>
      <c r="AL67" s="117"/>
      <c r="AM67" s="118"/>
      <c r="AN67" s="120"/>
      <c r="AO67" s="117"/>
      <c r="AP67" s="117"/>
      <c r="AQ67" s="117"/>
      <c r="AR67" s="117"/>
      <c r="AS67" s="117"/>
      <c r="AT67" s="120"/>
    </row>
    <row r="68" spans="1:46" ht="20.25" customHeight="1">
      <c r="A68" s="117"/>
      <c r="B68" s="117"/>
      <c r="C68" s="118"/>
      <c r="D68" s="117"/>
      <c r="E68" s="117"/>
      <c r="F68" s="117"/>
      <c r="G68" s="117"/>
      <c r="H68" s="117"/>
      <c r="I68" s="117"/>
      <c r="J68" s="117"/>
      <c r="K68" s="117"/>
      <c r="L68" s="117"/>
      <c r="M68" s="117"/>
      <c r="N68" s="117"/>
      <c r="O68" s="117"/>
      <c r="P68" s="117"/>
      <c r="Q68" s="119"/>
      <c r="R68" s="556"/>
      <c r="S68" s="556"/>
      <c r="T68" s="556"/>
      <c r="U68" s="556"/>
      <c r="V68" s="119"/>
      <c r="W68" s="117"/>
      <c r="X68" s="117"/>
      <c r="Y68" s="120"/>
      <c r="Z68" s="120"/>
      <c r="AA68" s="117"/>
      <c r="AB68" s="117"/>
      <c r="AC68" s="117"/>
      <c r="AD68" s="117"/>
      <c r="AE68" s="117"/>
      <c r="AF68" s="117"/>
      <c r="AG68" s="117"/>
      <c r="AH68" s="117"/>
      <c r="AI68" s="117"/>
      <c r="AJ68" s="117"/>
      <c r="AK68" s="117"/>
      <c r="AL68" s="117"/>
      <c r="AM68" s="118"/>
      <c r="AN68" s="120"/>
      <c r="AO68" s="117"/>
      <c r="AP68" s="117"/>
      <c r="AQ68" s="117"/>
      <c r="AR68" s="117"/>
      <c r="AS68" s="117"/>
      <c r="AT68" s="120"/>
    </row>
    <row r="69" spans="1:46" ht="20.25" customHeight="1">
      <c r="A69" s="117"/>
      <c r="B69" s="117"/>
      <c r="C69" s="118"/>
      <c r="D69" s="117"/>
      <c r="E69" s="117"/>
      <c r="F69" s="117"/>
      <c r="G69" s="117"/>
      <c r="H69" s="117"/>
      <c r="I69" s="117"/>
      <c r="J69" s="117"/>
      <c r="K69" s="117"/>
      <c r="L69" s="117"/>
      <c r="M69" s="117"/>
      <c r="N69" s="117"/>
      <c r="O69" s="117"/>
      <c r="P69" s="117"/>
      <c r="Q69" s="119"/>
      <c r="R69" s="556"/>
      <c r="S69" s="556"/>
      <c r="T69" s="556"/>
      <c r="U69" s="556"/>
      <c r="V69" s="119"/>
      <c r="W69" s="117"/>
      <c r="X69" s="117"/>
      <c r="Y69" s="120"/>
      <c r="Z69" s="120"/>
      <c r="AA69" s="117"/>
      <c r="AB69" s="117"/>
      <c r="AC69" s="117"/>
      <c r="AD69" s="117"/>
      <c r="AE69" s="117"/>
      <c r="AF69" s="117"/>
      <c r="AG69" s="117"/>
      <c r="AH69" s="117"/>
      <c r="AI69" s="117"/>
      <c r="AJ69" s="117"/>
      <c r="AK69" s="117"/>
      <c r="AL69" s="117"/>
      <c r="AM69" s="118"/>
      <c r="AN69" s="120"/>
      <c r="AO69" s="117"/>
      <c r="AP69" s="117"/>
      <c r="AQ69" s="117"/>
      <c r="AR69" s="117"/>
      <c r="AS69" s="117"/>
      <c r="AT69" s="120"/>
    </row>
    <row r="70" spans="1:46" ht="20.25" customHeight="1">
      <c r="A70" s="117"/>
      <c r="B70" s="117"/>
      <c r="C70" s="118"/>
      <c r="D70" s="117"/>
      <c r="E70" s="117"/>
      <c r="F70" s="117"/>
      <c r="G70" s="117"/>
      <c r="H70" s="117"/>
      <c r="I70" s="117"/>
      <c r="J70" s="117"/>
      <c r="K70" s="117"/>
      <c r="L70" s="117"/>
      <c r="M70" s="117"/>
      <c r="N70" s="117"/>
      <c r="O70" s="117"/>
      <c r="P70" s="117"/>
      <c r="Q70" s="119"/>
      <c r="R70" s="556"/>
      <c r="S70" s="556"/>
      <c r="T70" s="556"/>
      <c r="U70" s="556"/>
      <c r="V70" s="119"/>
      <c r="W70" s="117"/>
      <c r="X70" s="117"/>
      <c r="Y70" s="120"/>
      <c r="Z70" s="120"/>
      <c r="AA70" s="117"/>
      <c r="AB70" s="117"/>
      <c r="AC70" s="117"/>
      <c r="AD70" s="117"/>
      <c r="AE70" s="117"/>
      <c r="AF70" s="117"/>
      <c r="AG70" s="117"/>
      <c r="AH70" s="117"/>
      <c r="AI70" s="117"/>
      <c r="AJ70" s="117"/>
      <c r="AK70" s="117"/>
      <c r="AL70" s="117"/>
      <c r="AM70" s="118"/>
      <c r="AN70" s="120"/>
      <c r="AO70" s="117"/>
      <c r="AP70" s="117"/>
      <c r="AQ70" s="117"/>
      <c r="AR70" s="117"/>
      <c r="AS70" s="117"/>
      <c r="AT70" s="120"/>
    </row>
    <row r="71" spans="1:46" ht="20.25" customHeight="1">
      <c r="A71" s="117"/>
      <c r="B71" s="117"/>
      <c r="C71" s="118"/>
      <c r="D71" s="117"/>
      <c r="E71" s="117"/>
      <c r="F71" s="117"/>
      <c r="G71" s="117"/>
      <c r="H71" s="117"/>
      <c r="I71" s="117"/>
      <c r="J71" s="117"/>
      <c r="K71" s="117"/>
      <c r="L71" s="117"/>
      <c r="M71" s="117"/>
      <c r="N71" s="117"/>
      <c r="O71" s="117"/>
      <c r="P71" s="117"/>
      <c r="Q71" s="119"/>
      <c r="R71" s="556"/>
      <c r="S71" s="556"/>
      <c r="T71" s="556"/>
      <c r="U71" s="556"/>
      <c r="V71" s="119"/>
      <c r="W71" s="117"/>
      <c r="X71" s="117"/>
      <c r="Y71" s="120"/>
      <c r="Z71" s="120"/>
      <c r="AA71" s="117"/>
      <c r="AB71" s="117"/>
      <c r="AC71" s="117"/>
      <c r="AD71" s="117"/>
      <c r="AE71" s="117"/>
      <c r="AF71" s="117"/>
      <c r="AG71" s="117"/>
      <c r="AH71" s="117"/>
      <c r="AI71" s="117"/>
      <c r="AJ71" s="117"/>
      <c r="AK71" s="117"/>
      <c r="AL71" s="117"/>
      <c r="AM71" s="118"/>
      <c r="AN71" s="120"/>
      <c r="AO71" s="117"/>
      <c r="AP71" s="117"/>
      <c r="AQ71" s="117"/>
      <c r="AR71" s="117"/>
      <c r="AS71" s="117"/>
      <c r="AT71" s="120"/>
    </row>
    <row r="72" spans="1:46" ht="20.25" customHeight="1">
      <c r="A72" s="117"/>
      <c r="B72" s="117"/>
      <c r="C72" s="118"/>
      <c r="D72" s="117"/>
      <c r="E72" s="117"/>
      <c r="F72" s="117"/>
      <c r="G72" s="117"/>
      <c r="H72" s="117"/>
      <c r="I72" s="117"/>
      <c r="J72" s="117"/>
      <c r="K72" s="117"/>
      <c r="L72" s="117"/>
      <c r="M72" s="117"/>
      <c r="N72" s="117"/>
      <c r="O72" s="117"/>
      <c r="P72" s="117"/>
      <c r="Q72" s="119"/>
      <c r="R72" s="556"/>
      <c r="S72" s="556"/>
      <c r="T72" s="556"/>
      <c r="U72" s="556"/>
      <c r="V72" s="119"/>
      <c r="W72" s="117"/>
      <c r="X72" s="117"/>
      <c r="Y72" s="120"/>
      <c r="Z72" s="120"/>
      <c r="AA72" s="117"/>
      <c r="AB72" s="117"/>
      <c r="AC72" s="117"/>
      <c r="AD72" s="117"/>
      <c r="AE72" s="117"/>
      <c r="AF72" s="117"/>
      <c r="AG72" s="117"/>
      <c r="AH72" s="117"/>
      <c r="AI72" s="117"/>
      <c r="AJ72" s="117"/>
      <c r="AK72" s="117"/>
      <c r="AL72" s="117"/>
      <c r="AM72" s="118"/>
      <c r="AN72" s="120"/>
      <c r="AO72" s="117"/>
      <c r="AP72" s="117"/>
      <c r="AQ72" s="117"/>
      <c r="AR72" s="117"/>
      <c r="AS72" s="117"/>
      <c r="AT72" s="120"/>
    </row>
    <row r="73" spans="1:46" ht="20.25" customHeight="1">
      <c r="A73" s="117"/>
      <c r="B73" s="117"/>
      <c r="C73" s="118"/>
      <c r="D73" s="117"/>
      <c r="E73" s="117"/>
      <c r="F73" s="117"/>
      <c r="G73" s="117"/>
      <c r="H73" s="117"/>
      <c r="I73" s="117"/>
      <c r="J73" s="117"/>
      <c r="K73" s="117"/>
      <c r="L73" s="117"/>
      <c r="M73" s="117"/>
      <c r="N73" s="117"/>
      <c r="O73" s="117"/>
      <c r="P73" s="117"/>
      <c r="Q73" s="119"/>
      <c r="R73" s="556"/>
      <c r="S73" s="556"/>
      <c r="T73" s="556"/>
      <c r="U73" s="556"/>
      <c r="V73" s="119"/>
      <c r="W73" s="117"/>
      <c r="X73" s="117"/>
      <c r="Y73" s="120"/>
      <c r="Z73" s="120"/>
      <c r="AA73" s="117"/>
      <c r="AB73" s="117"/>
      <c r="AC73" s="117"/>
      <c r="AD73" s="117"/>
      <c r="AE73" s="117"/>
      <c r="AF73" s="117"/>
      <c r="AG73" s="117"/>
      <c r="AH73" s="117"/>
      <c r="AI73" s="117"/>
      <c r="AJ73" s="117"/>
      <c r="AK73" s="117"/>
      <c r="AL73" s="117"/>
      <c r="AM73" s="118"/>
      <c r="AN73" s="120"/>
      <c r="AO73" s="117"/>
      <c r="AP73" s="117"/>
      <c r="AQ73" s="117"/>
      <c r="AR73" s="117"/>
      <c r="AS73" s="117"/>
      <c r="AT73" s="120"/>
    </row>
    <row r="74" spans="1:46" ht="20.25" customHeight="1">
      <c r="A74" s="117"/>
      <c r="B74" s="117"/>
      <c r="C74" s="118"/>
      <c r="D74" s="117"/>
      <c r="E74" s="117"/>
      <c r="F74" s="117"/>
      <c r="G74" s="117"/>
      <c r="H74" s="117"/>
      <c r="I74" s="117"/>
      <c r="J74" s="117"/>
      <c r="K74" s="117"/>
      <c r="L74" s="117"/>
      <c r="M74" s="117"/>
      <c r="N74" s="117"/>
      <c r="O74" s="117"/>
      <c r="P74" s="117"/>
      <c r="Q74" s="119"/>
      <c r="R74" s="556"/>
      <c r="S74" s="556"/>
      <c r="T74" s="556"/>
      <c r="U74" s="556"/>
      <c r="V74" s="119"/>
      <c r="W74" s="117"/>
      <c r="X74" s="117"/>
      <c r="Y74" s="120"/>
      <c r="Z74" s="120"/>
      <c r="AA74" s="117"/>
      <c r="AB74" s="117"/>
      <c r="AC74" s="117"/>
      <c r="AD74" s="117"/>
      <c r="AE74" s="117"/>
      <c r="AF74" s="117"/>
      <c r="AG74" s="117"/>
      <c r="AH74" s="117"/>
      <c r="AI74" s="117"/>
      <c r="AJ74" s="117"/>
      <c r="AK74" s="117"/>
      <c r="AL74" s="117"/>
      <c r="AM74" s="118"/>
      <c r="AN74" s="120"/>
      <c r="AO74" s="117"/>
      <c r="AP74" s="117"/>
      <c r="AQ74" s="117"/>
      <c r="AR74" s="117"/>
      <c r="AS74" s="117"/>
      <c r="AT74" s="120"/>
    </row>
    <row r="75" spans="1:46" ht="20.25" customHeight="1">
      <c r="A75" s="117"/>
      <c r="B75" s="117"/>
      <c r="C75" s="118"/>
      <c r="D75" s="117"/>
      <c r="E75" s="117"/>
      <c r="F75" s="117"/>
      <c r="G75" s="117"/>
      <c r="H75" s="117"/>
      <c r="I75" s="117"/>
      <c r="J75" s="117"/>
      <c r="K75" s="117"/>
      <c r="L75" s="117"/>
      <c r="M75" s="117"/>
      <c r="N75" s="117"/>
      <c r="O75" s="117"/>
      <c r="P75" s="117"/>
      <c r="Q75" s="119"/>
      <c r="R75" s="556"/>
      <c r="S75" s="556"/>
      <c r="T75" s="556"/>
      <c r="U75" s="556"/>
      <c r="V75" s="119"/>
      <c r="W75" s="117"/>
      <c r="X75" s="117"/>
      <c r="Y75" s="120"/>
      <c r="Z75" s="120"/>
      <c r="AA75" s="117"/>
      <c r="AB75" s="117"/>
      <c r="AC75" s="117"/>
      <c r="AD75" s="117"/>
      <c r="AE75" s="117"/>
      <c r="AF75" s="117"/>
      <c r="AG75" s="117"/>
      <c r="AH75" s="117"/>
      <c r="AI75" s="117"/>
      <c r="AJ75" s="117"/>
      <c r="AK75" s="117"/>
      <c r="AL75" s="117"/>
      <c r="AM75" s="118"/>
      <c r="AN75" s="120"/>
      <c r="AO75" s="117"/>
      <c r="AP75" s="117"/>
      <c r="AQ75" s="117"/>
      <c r="AR75" s="117"/>
      <c r="AS75" s="117"/>
      <c r="AT75" s="120"/>
    </row>
    <row r="76" spans="1:46" ht="20.25" customHeight="1">
      <c r="A76" s="117"/>
      <c r="B76" s="117"/>
      <c r="C76" s="118"/>
      <c r="D76" s="117"/>
      <c r="E76" s="117"/>
      <c r="F76" s="117"/>
      <c r="G76" s="117"/>
      <c r="H76" s="117"/>
      <c r="I76" s="117"/>
      <c r="J76" s="117"/>
      <c r="K76" s="117"/>
      <c r="L76" s="117"/>
      <c r="M76" s="117"/>
      <c r="N76" s="117"/>
      <c r="O76" s="117"/>
      <c r="P76" s="117"/>
      <c r="Q76" s="119"/>
      <c r="R76" s="556"/>
      <c r="S76" s="556"/>
      <c r="T76" s="556"/>
      <c r="U76" s="556"/>
      <c r="V76" s="119"/>
      <c r="W76" s="117"/>
      <c r="X76" s="117"/>
      <c r="Y76" s="120"/>
      <c r="Z76" s="120"/>
      <c r="AA76" s="117"/>
      <c r="AB76" s="117"/>
      <c r="AC76" s="117"/>
      <c r="AD76" s="117"/>
      <c r="AE76" s="117"/>
      <c r="AF76" s="117"/>
      <c r="AG76" s="117"/>
      <c r="AH76" s="117"/>
      <c r="AI76" s="117"/>
      <c r="AJ76" s="117"/>
      <c r="AK76" s="117"/>
      <c r="AL76" s="117"/>
      <c r="AM76" s="118"/>
      <c r="AN76" s="120"/>
      <c r="AO76" s="117"/>
      <c r="AP76" s="117"/>
      <c r="AQ76" s="117"/>
      <c r="AR76" s="117"/>
      <c r="AS76" s="117"/>
      <c r="AT76" s="120"/>
    </row>
    <row r="77" spans="1:46" ht="20.25" customHeight="1">
      <c r="A77" s="117"/>
      <c r="B77" s="117"/>
      <c r="C77" s="118"/>
      <c r="D77" s="117"/>
      <c r="E77" s="117"/>
      <c r="F77" s="117"/>
      <c r="G77" s="117"/>
      <c r="H77" s="117"/>
      <c r="I77" s="117"/>
      <c r="J77" s="117"/>
      <c r="K77" s="117"/>
      <c r="L77" s="117"/>
      <c r="M77" s="117"/>
      <c r="N77" s="117"/>
      <c r="O77" s="117"/>
      <c r="P77" s="117"/>
      <c r="Q77" s="119"/>
      <c r="R77" s="556"/>
      <c r="S77" s="556"/>
      <c r="T77" s="556"/>
      <c r="U77" s="556"/>
      <c r="V77" s="119"/>
      <c r="W77" s="117"/>
      <c r="X77" s="117"/>
      <c r="Y77" s="120"/>
      <c r="Z77" s="120"/>
      <c r="AA77" s="117"/>
      <c r="AB77" s="117"/>
      <c r="AC77" s="117"/>
      <c r="AD77" s="117"/>
      <c r="AE77" s="117"/>
      <c r="AF77" s="117"/>
      <c r="AG77" s="117"/>
      <c r="AH77" s="117"/>
      <c r="AI77" s="117"/>
      <c r="AJ77" s="117"/>
      <c r="AK77" s="117"/>
      <c r="AL77" s="117"/>
      <c r="AM77" s="118"/>
      <c r="AN77" s="120"/>
      <c r="AO77" s="117"/>
      <c r="AP77" s="117"/>
      <c r="AQ77" s="117"/>
      <c r="AR77" s="117"/>
      <c r="AS77" s="117"/>
      <c r="AT77" s="120"/>
    </row>
    <row r="78" spans="1:46" ht="20.25" customHeight="1">
      <c r="A78" s="117"/>
      <c r="B78" s="117"/>
      <c r="C78" s="118"/>
      <c r="D78" s="117"/>
      <c r="E78" s="117"/>
      <c r="F78" s="117"/>
      <c r="G78" s="117"/>
      <c r="H78" s="117"/>
      <c r="I78" s="117"/>
      <c r="J78" s="117"/>
      <c r="K78" s="117"/>
      <c r="L78" s="117"/>
      <c r="M78" s="117"/>
      <c r="N78" s="117"/>
      <c r="O78" s="117"/>
      <c r="P78" s="117"/>
      <c r="Q78" s="119"/>
      <c r="R78" s="556"/>
      <c r="S78" s="556"/>
      <c r="T78" s="556"/>
      <c r="U78" s="556"/>
      <c r="V78" s="119"/>
      <c r="W78" s="117"/>
      <c r="X78" s="117"/>
      <c r="Y78" s="120"/>
      <c r="Z78" s="120"/>
      <c r="AA78" s="117"/>
      <c r="AB78" s="117"/>
      <c r="AC78" s="117"/>
      <c r="AD78" s="117"/>
      <c r="AE78" s="117"/>
      <c r="AF78" s="117"/>
      <c r="AG78" s="117"/>
      <c r="AH78" s="117"/>
      <c r="AI78" s="117"/>
      <c r="AJ78" s="117"/>
      <c r="AK78" s="117"/>
      <c r="AL78" s="117"/>
      <c r="AM78" s="118"/>
      <c r="AN78" s="120"/>
      <c r="AO78" s="117"/>
      <c r="AP78" s="117"/>
      <c r="AQ78" s="117"/>
      <c r="AR78" s="117"/>
      <c r="AS78" s="117"/>
      <c r="AT78" s="120"/>
    </row>
    <row r="79" spans="1:46" ht="20.25" customHeight="1">
      <c r="A79" s="117"/>
      <c r="B79" s="117"/>
      <c r="C79" s="118"/>
      <c r="D79" s="117"/>
      <c r="E79" s="117"/>
      <c r="F79" s="117"/>
      <c r="G79" s="117"/>
      <c r="H79" s="117"/>
      <c r="I79" s="117"/>
      <c r="J79" s="117"/>
      <c r="K79" s="117"/>
      <c r="L79" s="117"/>
      <c r="M79" s="117"/>
      <c r="N79" s="117"/>
      <c r="O79" s="117"/>
      <c r="P79" s="117"/>
      <c r="Q79" s="119"/>
      <c r="R79" s="556"/>
      <c r="S79" s="556"/>
      <c r="T79" s="556"/>
      <c r="U79" s="556"/>
      <c r="V79" s="119"/>
      <c r="W79" s="117"/>
      <c r="X79" s="117"/>
      <c r="Y79" s="120"/>
      <c r="Z79" s="120"/>
      <c r="AA79" s="117"/>
      <c r="AB79" s="117"/>
      <c r="AC79" s="117"/>
      <c r="AD79" s="117"/>
      <c r="AE79" s="117"/>
      <c r="AF79" s="117"/>
      <c r="AG79" s="117"/>
      <c r="AH79" s="117"/>
      <c r="AI79" s="117"/>
      <c r="AJ79" s="117"/>
      <c r="AK79" s="117"/>
      <c r="AL79" s="117"/>
      <c r="AM79" s="118"/>
      <c r="AN79" s="120"/>
      <c r="AO79" s="117"/>
      <c r="AP79" s="117"/>
      <c r="AQ79" s="117"/>
      <c r="AR79" s="117"/>
      <c r="AS79" s="117"/>
      <c r="AT79" s="120"/>
    </row>
    <row r="80" spans="1:46" ht="20.25" customHeight="1">
      <c r="A80" s="117"/>
      <c r="B80" s="117"/>
      <c r="C80" s="118"/>
      <c r="D80" s="117"/>
      <c r="E80" s="117"/>
      <c r="F80" s="117"/>
      <c r="G80" s="117"/>
      <c r="H80" s="117"/>
      <c r="I80" s="117"/>
      <c r="J80" s="117"/>
      <c r="K80" s="117"/>
      <c r="L80" s="117"/>
      <c r="M80" s="117"/>
      <c r="N80" s="117"/>
      <c r="O80" s="117"/>
      <c r="P80" s="117"/>
      <c r="Q80" s="119"/>
      <c r="R80" s="556"/>
      <c r="S80" s="556"/>
      <c r="T80" s="556"/>
      <c r="U80" s="556"/>
      <c r="V80" s="119"/>
      <c r="W80" s="117"/>
      <c r="X80" s="117"/>
      <c r="Y80" s="120"/>
      <c r="Z80" s="120"/>
      <c r="AA80" s="117"/>
      <c r="AB80" s="117"/>
      <c r="AC80" s="117"/>
      <c r="AD80" s="117"/>
      <c r="AE80" s="117"/>
      <c r="AF80" s="117"/>
      <c r="AG80" s="117"/>
      <c r="AH80" s="117"/>
      <c r="AI80" s="117"/>
      <c r="AJ80" s="117"/>
      <c r="AK80" s="117"/>
      <c r="AL80" s="117"/>
      <c r="AM80" s="118"/>
      <c r="AN80" s="120"/>
      <c r="AO80" s="117"/>
      <c r="AP80" s="117"/>
      <c r="AQ80" s="117"/>
      <c r="AR80" s="117"/>
      <c r="AS80" s="117"/>
      <c r="AT80" s="120"/>
    </row>
    <row r="81" spans="1:46" ht="20.25" customHeight="1">
      <c r="A81" s="117"/>
      <c r="B81" s="117"/>
      <c r="C81" s="118"/>
      <c r="D81" s="117"/>
      <c r="E81" s="117"/>
      <c r="F81" s="117"/>
      <c r="G81" s="117"/>
      <c r="H81" s="117"/>
      <c r="I81" s="117"/>
      <c r="J81" s="117"/>
      <c r="K81" s="117"/>
      <c r="L81" s="117"/>
      <c r="M81" s="117"/>
      <c r="N81" s="117"/>
      <c r="O81" s="117"/>
      <c r="P81" s="117"/>
      <c r="Q81" s="119"/>
      <c r="R81" s="556"/>
      <c r="S81" s="556"/>
      <c r="T81" s="556"/>
      <c r="U81" s="556"/>
      <c r="V81" s="119"/>
      <c r="W81" s="117"/>
      <c r="X81" s="117"/>
      <c r="Y81" s="120"/>
      <c r="Z81" s="120"/>
      <c r="AA81" s="117"/>
      <c r="AB81" s="117"/>
      <c r="AC81" s="117"/>
      <c r="AD81" s="117"/>
      <c r="AE81" s="117"/>
      <c r="AF81" s="117"/>
      <c r="AG81" s="117"/>
      <c r="AH81" s="117"/>
      <c r="AI81" s="117"/>
      <c r="AJ81" s="117"/>
      <c r="AK81" s="117"/>
      <c r="AL81" s="117"/>
      <c r="AM81" s="118"/>
      <c r="AN81" s="120"/>
      <c r="AO81" s="117"/>
      <c r="AP81" s="117"/>
      <c r="AQ81" s="117"/>
      <c r="AR81" s="117"/>
      <c r="AS81" s="117"/>
      <c r="AT81" s="120"/>
    </row>
    <row r="82" spans="1:46" ht="20.25" customHeight="1">
      <c r="A82" s="117"/>
      <c r="B82" s="117"/>
      <c r="C82" s="118"/>
      <c r="D82" s="117"/>
      <c r="E82" s="117"/>
      <c r="F82" s="117"/>
      <c r="G82" s="117"/>
      <c r="H82" s="117"/>
      <c r="I82" s="117"/>
      <c r="J82" s="117"/>
      <c r="K82" s="117"/>
      <c r="L82" s="117"/>
      <c r="M82" s="117"/>
      <c r="N82" s="117"/>
      <c r="O82" s="117"/>
      <c r="P82" s="117"/>
      <c r="Q82" s="119"/>
      <c r="R82" s="556"/>
      <c r="S82" s="556"/>
      <c r="T82" s="556"/>
      <c r="U82" s="556"/>
      <c r="V82" s="119"/>
      <c r="W82" s="117"/>
      <c r="X82" s="117"/>
      <c r="Y82" s="120"/>
      <c r="Z82" s="120"/>
      <c r="AA82" s="117"/>
      <c r="AB82" s="117"/>
      <c r="AC82" s="117"/>
      <c r="AD82" s="117"/>
      <c r="AE82" s="117"/>
      <c r="AF82" s="117"/>
      <c r="AG82" s="117"/>
      <c r="AH82" s="117"/>
      <c r="AI82" s="117"/>
      <c r="AJ82" s="117"/>
      <c r="AK82" s="117"/>
      <c r="AL82" s="117"/>
      <c r="AM82" s="118"/>
      <c r="AN82" s="120"/>
      <c r="AO82" s="117"/>
      <c r="AP82" s="117"/>
      <c r="AQ82" s="117"/>
      <c r="AR82" s="117"/>
      <c r="AS82" s="117"/>
      <c r="AT82" s="120"/>
    </row>
    <row r="83" spans="1:46" ht="20.25" customHeight="1">
      <c r="A83" s="117"/>
      <c r="B83" s="117"/>
      <c r="C83" s="118"/>
      <c r="D83" s="117"/>
      <c r="E83" s="117"/>
      <c r="F83" s="117"/>
      <c r="G83" s="117"/>
      <c r="H83" s="117"/>
      <c r="I83" s="117"/>
      <c r="J83" s="117"/>
      <c r="K83" s="117"/>
      <c r="L83" s="117"/>
      <c r="M83" s="117"/>
      <c r="N83" s="117"/>
      <c r="O83" s="117"/>
      <c r="P83" s="117"/>
      <c r="Q83" s="119"/>
      <c r="R83" s="556"/>
      <c r="S83" s="556"/>
      <c r="T83" s="556"/>
      <c r="U83" s="556"/>
      <c r="V83" s="119"/>
      <c r="W83" s="117"/>
      <c r="X83" s="117"/>
      <c r="Y83" s="120"/>
      <c r="Z83" s="120"/>
      <c r="AA83" s="117"/>
      <c r="AB83" s="117"/>
      <c r="AC83" s="117"/>
      <c r="AD83" s="117"/>
      <c r="AE83" s="117"/>
      <c r="AF83" s="117"/>
      <c r="AG83" s="117"/>
      <c r="AH83" s="117"/>
      <c r="AI83" s="117"/>
      <c r="AJ83" s="117"/>
      <c r="AK83" s="117"/>
      <c r="AL83" s="117"/>
      <c r="AM83" s="118"/>
      <c r="AN83" s="120"/>
      <c r="AO83" s="117"/>
      <c r="AP83" s="117"/>
      <c r="AQ83" s="117"/>
      <c r="AR83" s="117"/>
      <c r="AS83" s="117"/>
      <c r="AT83" s="120"/>
    </row>
    <row r="84" spans="1:46" ht="20.25" customHeight="1">
      <c r="A84" s="117"/>
      <c r="B84" s="117"/>
      <c r="C84" s="118"/>
      <c r="D84" s="117"/>
      <c r="E84" s="117"/>
      <c r="F84" s="117"/>
      <c r="G84" s="117"/>
      <c r="H84" s="117"/>
      <c r="I84" s="117"/>
      <c r="J84" s="117"/>
      <c r="K84" s="117"/>
      <c r="L84" s="117"/>
      <c r="M84" s="117"/>
      <c r="N84" s="117"/>
      <c r="O84" s="117"/>
      <c r="P84" s="117"/>
      <c r="Q84" s="119"/>
      <c r="R84" s="556"/>
      <c r="S84" s="556"/>
      <c r="T84" s="556"/>
      <c r="U84" s="556"/>
      <c r="V84" s="119"/>
      <c r="W84" s="117"/>
      <c r="X84" s="117"/>
      <c r="Y84" s="120"/>
      <c r="Z84" s="120"/>
      <c r="AA84" s="117"/>
      <c r="AB84" s="117"/>
      <c r="AC84" s="117"/>
      <c r="AD84" s="117"/>
      <c r="AE84" s="117"/>
      <c r="AF84" s="117"/>
      <c r="AG84" s="117"/>
      <c r="AH84" s="117"/>
      <c r="AI84" s="117"/>
      <c r="AJ84" s="117"/>
      <c r="AK84" s="117"/>
      <c r="AL84" s="117"/>
      <c r="AM84" s="118"/>
      <c r="AN84" s="120"/>
      <c r="AO84" s="117"/>
      <c r="AP84" s="117"/>
      <c r="AQ84" s="117"/>
      <c r="AR84" s="117"/>
      <c r="AS84" s="117"/>
      <c r="AT84" s="120"/>
    </row>
    <row r="85" spans="1:46" ht="20.25" customHeight="1">
      <c r="A85" s="117"/>
      <c r="B85" s="117"/>
      <c r="C85" s="118"/>
      <c r="D85" s="117"/>
      <c r="E85" s="117"/>
      <c r="F85" s="117"/>
      <c r="G85" s="117"/>
      <c r="H85" s="117"/>
      <c r="I85" s="117"/>
      <c r="J85" s="117"/>
      <c r="K85" s="117"/>
      <c r="L85" s="117"/>
      <c r="M85" s="117"/>
      <c r="N85" s="117"/>
      <c r="O85" s="117"/>
      <c r="P85" s="117"/>
      <c r="Q85" s="119"/>
      <c r="R85" s="556"/>
      <c r="S85" s="556"/>
      <c r="T85" s="556"/>
      <c r="U85" s="556"/>
      <c r="V85" s="119"/>
      <c r="W85" s="117"/>
      <c r="X85" s="117"/>
      <c r="Y85" s="120"/>
      <c r="Z85" s="120"/>
      <c r="AA85" s="117"/>
      <c r="AB85" s="117"/>
      <c r="AC85" s="117"/>
      <c r="AD85" s="117"/>
      <c r="AE85" s="117"/>
      <c r="AF85" s="117"/>
      <c r="AG85" s="117"/>
      <c r="AH85" s="117"/>
      <c r="AI85" s="117"/>
      <c r="AJ85" s="117"/>
      <c r="AK85" s="117"/>
      <c r="AL85" s="117"/>
      <c r="AM85" s="118"/>
      <c r="AN85" s="120"/>
      <c r="AO85" s="117"/>
      <c r="AP85" s="117"/>
      <c r="AQ85" s="117"/>
      <c r="AR85" s="117"/>
      <c r="AS85" s="117"/>
      <c r="AT85" s="120"/>
    </row>
    <row r="86" spans="1:46" ht="20.25" customHeight="1">
      <c r="A86" s="117"/>
      <c r="B86" s="117"/>
      <c r="C86" s="118"/>
      <c r="D86" s="117"/>
      <c r="E86" s="117"/>
      <c r="F86" s="117"/>
      <c r="G86" s="117"/>
      <c r="H86" s="117"/>
      <c r="I86" s="117"/>
      <c r="J86" s="117"/>
      <c r="K86" s="117"/>
      <c r="L86" s="117"/>
      <c r="M86" s="117"/>
      <c r="N86" s="117"/>
      <c r="O86" s="117"/>
      <c r="P86" s="117"/>
      <c r="Q86" s="119"/>
      <c r="R86" s="556"/>
      <c r="S86" s="556"/>
      <c r="T86" s="556"/>
      <c r="U86" s="556"/>
      <c r="V86" s="119"/>
      <c r="W86" s="117"/>
      <c r="X86" s="117"/>
      <c r="Y86" s="120"/>
      <c r="Z86" s="120"/>
      <c r="AA86" s="117"/>
      <c r="AB86" s="117"/>
      <c r="AC86" s="117"/>
      <c r="AD86" s="117"/>
      <c r="AE86" s="117"/>
      <c r="AF86" s="117"/>
      <c r="AG86" s="117"/>
      <c r="AH86" s="117"/>
      <c r="AI86" s="117"/>
      <c r="AJ86" s="117"/>
      <c r="AK86" s="117"/>
      <c r="AL86" s="117"/>
      <c r="AM86" s="118"/>
      <c r="AN86" s="120"/>
      <c r="AO86" s="117"/>
      <c r="AP86" s="117"/>
      <c r="AQ86" s="117"/>
      <c r="AR86" s="117"/>
      <c r="AS86" s="117"/>
      <c r="AT86" s="120"/>
    </row>
    <row r="87" spans="1:46" ht="20.25" customHeight="1">
      <c r="A87" s="117"/>
      <c r="B87" s="117"/>
      <c r="C87" s="118"/>
      <c r="D87" s="117"/>
      <c r="E87" s="117"/>
      <c r="F87" s="117"/>
      <c r="G87" s="117"/>
      <c r="H87" s="117"/>
      <c r="I87" s="117"/>
      <c r="J87" s="117"/>
      <c r="K87" s="117"/>
      <c r="L87" s="117"/>
      <c r="M87" s="117"/>
      <c r="N87" s="117"/>
      <c r="O87" s="117"/>
      <c r="P87" s="117"/>
      <c r="Q87" s="119"/>
      <c r="R87" s="556"/>
      <c r="S87" s="556"/>
      <c r="T87" s="556"/>
      <c r="U87" s="556"/>
      <c r="V87" s="119"/>
      <c r="W87" s="117"/>
      <c r="X87" s="117"/>
      <c r="Y87" s="120"/>
      <c r="Z87" s="120"/>
      <c r="AA87" s="117"/>
      <c r="AB87" s="117"/>
      <c r="AC87" s="117"/>
      <c r="AD87" s="117"/>
      <c r="AE87" s="117"/>
      <c r="AF87" s="117"/>
      <c r="AG87" s="117"/>
      <c r="AH87" s="117"/>
      <c r="AI87" s="117"/>
      <c r="AJ87" s="117"/>
      <c r="AK87" s="117"/>
      <c r="AL87" s="117"/>
      <c r="AM87" s="118"/>
      <c r="AN87" s="120"/>
      <c r="AO87" s="117"/>
      <c r="AP87" s="117"/>
      <c r="AQ87" s="117"/>
      <c r="AR87" s="117"/>
      <c r="AS87" s="117"/>
      <c r="AT87" s="120"/>
    </row>
    <row r="88" spans="1:46" ht="20.25" customHeight="1">
      <c r="A88" s="117"/>
      <c r="B88" s="117"/>
      <c r="C88" s="118"/>
      <c r="D88" s="117"/>
      <c r="E88" s="117"/>
      <c r="F88" s="117"/>
      <c r="G88" s="117"/>
      <c r="H88" s="117"/>
      <c r="I88" s="117"/>
      <c r="J88" s="117"/>
      <c r="K88" s="117"/>
      <c r="L88" s="117"/>
      <c r="M88" s="117"/>
      <c r="N88" s="117"/>
      <c r="O88" s="117"/>
      <c r="P88" s="117"/>
      <c r="Q88" s="119"/>
      <c r="R88" s="556"/>
      <c r="S88" s="556"/>
      <c r="T88" s="556"/>
      <c r="U88" s="556"/>
      <c r="V88" s="119"/>
      <c r="W88" s="117"/>
      <c r="X88" s="117"/>
      <c r="Y88" s="120"/>
      <c r="Z88" s="120"/>
      <c r="AA88" s="117"/>
      <c r="AB88" s="117"/>
      <c r="AC88" s="117"/>
      <c r="AD88" s="117"/>
      <c r="AE88" s="117"/>
      <c r="AF88" s="117"/>
      <c r="AG88" s="117"/>
      <c r="AH88" s="117"/>
      <c r="AI88" s="117"/>
      <c r="AJ88" s="117"/>
      <c r="AK88" s="117"/>
      <c r="AL88" s="117"/>
      <c r="AM88" s="118"/>
      <c r="AN88" s="120"/>
      <c r="AO88" s="117"/>
      <c r="AP88" s="117"/>
      <c r="AQ88" s="117"/>
      <c r="AR88" s="117"/>
      <c r="AS88" s="117"/>
      <c r="AT88" s="120"/>
    </row>
    <row r="89" spans="1:46" ht="20.25" customHeight="1">
      <c r="A89" s="117"/>
      <c r="B89" s="117"/>
      <c r="C89" s="118"/>
      <c r="D89" s="117"/>
      <c r="E89" s="117"/>
      <c r="F89" s="117"/>
      <c r="G89" s="117"/>
      <c r="H89" s="117"/>
      <c r="I89" s="117"/>
      <c r="J89" s="117"/>
      <c r="K89" s="117"/>
      <c r="L89" s="117"/>
      <c r="M89" s="117"/>
      <c r="N89" s="117"/>
      <c r="O89" s="117"/>
      <c r="P89" s="117"/>
      <c r="Q89" s="119"/>
      <c r="R89" s="556"/>
      <c r="S89" s="556"/>
      <c r="T89" s="556"/>
      <c r="U89" s="556"/>
      <c r="V89" s="119"/>
      <c r="W89" s="117"/>
      <c r="X89" s="117"/>
      <c r="Y89" s="120"/>
      <c r="Z89" s="120"/>
      <c r="AA89" s="117"/>
      <c r="AB89" s="117"/>
      <c r="AC89" s="117"/>
      <c r="AD89" s="117"/>
      <c r="AE89" s="117"/>
      <c r="AF89" s="117"/>
      <c r="AG89" s="117"/>
      <c r="AH89" s="117"/>
      <c r="AI89" s="117"/>
      <c r="AJ89" s="117"/>
      <c r="AK89" s="117"/>
      <c r="AL89" s="117"/>
      <c r="AM89" s="118"/>
      <c r="AN89" s="120"/>
      <c r="AO89" s="117"/>
      <c r="AP89" s="117"/>
      <c r="AQ89" s="117"/>
      <c r="AR89" s="117"/>
      <c r="AS89" s="117"/>
      <c r="AT89" s="120"/>
    </row>
    <row r="90" spans="1:46" ht="20.25" customHeight="1">
      <c r="A90" s="117"/>
      <c r="B90" s="117"/>
      <c r="C90" s="118"/>
      <c r="D90" s="117"/>
      <c r="E90" s="117"/>
      <c r="F90" s="117"/>
      <c r="G90" s="117"/>
      <c r="H90" s="117"/>
      <c r="I90" s="117"/>
      <c r="J90" s="117"/>
      <c r="K90" s="117"/>
      <c r="L90" s="117"/>
      <c r="M90" s="117"/>
      <c r="N90" s="117"/>
      <c r="O90" s="117"/>
      <c r="P90" s="117"/>
      <c r="Q90" s="119"/>
      <c r="R90" s="556"/>
      <c r="S90" s="556"/>
      <c r="T90" s="556"/>
      <c r="U90" s="556"/>
      <c r="V90" s="119"/>
      <c r="W90" s="117"/>
      <c r="X90" s="117"/>
      <c r="Y90" s="120"/>
      <c r="Z90" s="120"/>
      <c r="AA90" s="117"/>
      <c r="AB90" s="117"/>
      <c r="AC90" s="117"/>
      <c r="AD90" s="117"/>
      <c r="AE90" s="117"/>
      <c r="AF90" s="117"/>
      <c r="AG90" s="117"/>
      <c r="AH90" s="117"/>
      <c r="AI90" s="117"/>
      <c r="AJ90" s="117"/>
      <c r="AK90" s="117"/>
      <c r="AL90" s="117"/>
      <c r="AM90" s="118"/>
      <c r="AN90" s="120"/>
      <c r="AO90" s="117"/>
      <c r="AP90" s="117"/>
      <c r="AQ90" s="117"/>
      <c r="AR90" s="117"/>
      <c r="AS90" s="117"/>
      <c r="AT90" s="120"/>
    </row>
    <row r="91" spans="1:46" ht="20.25" customHeight="1">
      <c r="A91" s="117"/>
      <c r="B91" s="117"/>
      <c r="C91" s="118"/>
      <c r="D91" s="117"/>
      <c r="E91" s="117"/>
      <c r="F91" s="117"/>
      <c r="G91" s="117"/>
      <c r="H91" s="117"/>
      <c r="I91" s="117"/>
      <c r="J91" s="117"/>
      <c r="K91" s="117"/>
      <c r="L91" s="117"/>
      <c r="M91" s="117"/>
      <c r="N91" s="117"/>
      <c r="O91" s="117"/>
      <c r="P91" s="117"/>
      <c r="Q91" s="119"/>
      <c r="R91" s="556"/>
      <c r="S91" s="556"/>
      <c r="T91" s="556"/>
      <c r="U91" s="556"/>
      <c r="V91" s="119"/>
      <c r="W91" s="117"/>
      <c r="X91" s="117"/>
      <c r="Y91" s="120"/>
      <c r="Z91" s="120"/>
      <c r="AA91" s="117"/>
      <c r="AB91" s="117"/>
      <c r="AC91" s="117"/>
      <c r="AD91" s="117"/>
      <c r="AE91" s="117"/>
      <c r="AF91" s="117"/>
      <c r="AG91" s="117"/>
      <c r="AH91" s="117"/>
      <c r="AI91" s="117"/>
      <c r="AJ91" s="117"/>
      <c r="AK91" s="117"/>
      <c r="AL91" s="117"/>
      <c r="AM91" s="118"/>
      <c r="AN91" s="120"/>
      <c r="AO91" s="117"/>
      <c r="AP91" s="117"/>
      <c r="AQ91" s="117"/>
      <c r="AR91" s="117"/>
      <c r="AS91" s="117"/>
      <c r="AT91" s="120"/>
    </row>
  </sheetData>
  <mergeCells count="10">
    <mergeCell ref="AL8:AM8"/>
    <mergeCell ref="A1:AM1"/>
    <mergeCell ref="A2:AM2"/>
    <mergeCell ref="D3:Q3"/>
    <mergeCell ref="AK3:AL3"/>
    <mergeCell ref="R3:U3"/>
    <mergeCell ref="AB3:AI3"/>
    <mergeCell ref="A7:Q7"/>
    <mergeCell ref="A8:B8"/>
    <mergeCell ref="U8:Y8"/>
  </mergeCells>
  <conditionalFormatting sqref="J5:N6">
    <cfRule type="cellIs" dxfId="19" priority="1" stopIfTrue="1" operator="equal">
      <formula>"ER"</formula>
    </cfRule>
  </conditionalFormatting>
  <printOptions horizontalCentered="1"/>
  <pageMargins left="0.22786417322834646" right="0.3098950131233596" top="0.28255139982502187" bottom="0.75" header="0.3" footer="0.3"/>
  <pageSetup paperSize="9" scale="2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85623"/>
    <pageSetUpPr fitToPage="1"/>
  </sheetPr>
  <dimension ref="A1:BH96"/>
  <sheetViews>
    <sheetView zoomScale="55" zoomScaleNormal="55" workbookViewId="0">
      <pane xSplit="2" ySplit="4" topLeftCell="C11" activePane="bottomRight" state="frozen"/>
      <selection pane="topRight" activeCell="C1" sqref="C1"/>
      <selection pane="bottomLeft" activeCell="A5" sqref="A5"/>
      <selection pane="bottomRight" activeCell="A13" sqref="A7:XFD13"/>
    </sheetView>
  </sheetViews>
  <sheetFormatPr defaultColWidth="16.81640625" defaultRowHeight="15" customHeight="1" outlineLevelCol="1"/>
  <cols>
    <col min="1" max="1" width="5.1796875" customWidth="1"/>
    <col min="2" max="2" width="25.453125" customWidth="1"/>
    <col min="3" max="3" width="15.7265625" customWidth="1"/>
    <col min="4" max="4" width="5.1796875" customWidth="1" outlineLevel="1"/>
    <col min="5" max="5" width="4" hidden="1" customWidth="1" outlineLevel="1"/>
    <col min="6" max="7" width="6.26953125" hidden="1" customWidth="1" outlineLevel="1"/>
    <col min="8" max="8" width="4" customWidth="1" outlineLevel="1"/>
    <col min="9" max="9" width="6.26953125" customWidth="1" outlineLevel="1"/>
    <col min="10" max="10" width="4" customWidth="1" outlineLevel="1"/>
    <col min="11" max="11" width="7.453125" customWidth="1" outlineLevel="1"/>
    <col min="12" max="12" width="6.26953125" customWidth="1" outlineLevel="1"/>
    <col min="13" max="14" width="7.453125" customWidth="1" outlineLevel="1"/>
    <col min="15" max="15" width="4" customWidth="1" outlineLevel="1"/>
    <col min="16" max="16" width="7.453125" customWidth="1" outlineLevel="1"/>
    <col min="17" max="17" width="8" customWidth="1" outlineLevel="1"/>
    <col min="18" max="18" width="18.81640625" customWidth="1" outlineLevel="1"/>
    <col min="19" max="19" width="16.81640625" hidden="1" customWidth="1" outlineLevel="1"/>
    <col min="20" max="20" width="14.453125" hidden="1" customWidth="1" outlineLevel="1"/>
    <col min="21" max="21" width="16.81640625" customWidth="1" outlineLevel="1"/>
    <col min="22" max="22" width="17.453125" customWidth="1" outlineLevel="1"/>
    <col min="23" max="23" width="16.81640625" customWidth="1" outlineLevel="1"/>
    <col min="24" max="24" width="14.26953125" customWidth="1" outlineLevel="1"/>
    <col min="25" max="25" width="19.1796875" customWidth="1" outlineLevel="1"/>
    <col min="26" max="26" width="18.81640625" customWidth="1" outlineLevel="1"/>
    <col min="27" max="27" width="18" customWidth="1" outlineLevel="1"/>
    <col min="28" max="28" width="19.1796875" customWidth="1" outlineLevel="1"/>
    <col min="29" max="30" width="19.1796875" hidden="1" customWidth="1" outlineLevel="1"/>
    <col min="31" max="31" width="18" customWidth="1" outlineLevel="1"/>
    <col min="32" max="32" width="22.26953125" customWidth="1" outlineLevel="1"/>
    <col min="33" max="34" width="15.7265625" hidden="1" customWidth="1" outlineLevel="1"/>
    <col min="35" max="35" width="15.453125" customWidth="1" outlineLevel="1"/>
    <col min="36" max="36" width="17.7265625" customWidth="1"/>
    <col min="37" max="37" width="15" hidden="1" customWidth="1"/>
    <col min="38" max="38" width="15.453125" hidden="1" customWidth="1"/>
    <col min="39" max="39" width="40.453125" customWidth="1"/>
    <col min="40" max="40" width="35.1796875" customWidth="1"/>
    <col min="41" max="42" width="11" customWidth="1"/>
    <col min="43" max="43" width="3.7265625" customWidth="1"/>
    <col min="44" max="44" width="29.7265625" customWidth="1"/>
    <col min="45" max="45" width="17.26953125" customWidth="1"/>
    <col min="46" max="60" width="11" customWidth="1"/>
  </cols>
  <sheetData>
    <row r="1" spans="1:60" ht="20.25" customHeight="1">
      <c r="A1" s="761" t="s">
        <v>0</v>
      </c>
      <c r="B1" s="762"/>
      <c r="C1" s="762"/>
      <c r="D1" s="762"/>
      <c r="E1" s="762"/>
      <c r="F1" s="762"/>
      <c r="G1" s="762"/>
      <c r="H1" s="762"/>
      <c r="I1" s="762"/>
      <c r="J1" s="762"/>
      <c r="K1" s="762"/>
      <c r="L1" s="762"/>
      <c r="M1" s="762"/>
      <c r="N1" s="762"/>
      <c r="O1" s="762"/>
      <c r="P1" s="762"/>
      <c r="Q1" s="762"/>
      <c r="R1" s="762"/>
      <c r="S1" s="762"/>
      <c r="T1" s="762"/>
      <c r="U1" s="762"/>
      <c r="V1" s="762"/>
      <c r="W1" s="762"/>
      <c r="X1" s="762"/>
      <c r="Y1" s="762"/>
      <c r="Z1" s="762"/>
      <c r="AA1" s="762"/>
      <c r="AB1" s="762"/>
      <c r="AC1" s="762"/>
      <c r="AD1" s="762"/>
      <c r="AE1" s="762"/>
      <c r="AF1" s="762"/>
      <c r="AG1" s="762"/>
      <c r="AH1" s="762"/>
      <c r="AI1" s="762"/>
      <c r="AJ1" s="762"/>
      <c r="AK1" s="762"/>
      <c r="AL1" s="762"/>
      <c r="AM1" s="763"/>
      <c r="AN1" s="31"/>
      <c r="AO1" s="31"/>
      <c r="AP1" s="31"/>
      <c r="AQ1" s="31"/>
      <c r="AR1" s="31"/>
      <c r="AS1" s="60"/>
      <c r="AT1" s="31"/>
      <c r="AU1" s="31"/>
      <c r="AV1" s="31"/>
      <c r="AW1" s="31"/>
      <c r="AX1" s="31"/>
      <c r="AY1" s="31"/>
      <c r="AZ1" s="31"/>
      <c r="BA1" s="31"/>
      <c r="BB1" s="31"/>
      <c r="BC1" s="31"/>
      <c r="BD1" s="31"/>
      <c r="BE1" s="31"/>
      <c r="BF1" s="31"/>
      <c r="BG1" s="31"/>
      <c r="BH1" s="31"/>
    </row>
    <row r="2" spans="1:60" ht="20.25" customHeight="1">
      <c r="A2" s="764" t="s">
        <v>575</v>
      </c>
      <c r="B2" s="757"/>
      <c r="C2" s="757"/>
      <c r="D2" s="757"/>
      <c r="E2" s="757"/>
      <c r="F2" s="757"/>
      <c r="G2" s="757"/>
      <c r="H2" s="757"/>
      <c r="I2" s="757"/>
      <c r="J2" s="757"/>
      <c r="K2" s="757"/>
      <c r="L2" s="757"/>
      <c r="M2" s="757"/>
      <c r="N2" s="757"/>
      <c r="O2" s="757"/>
      <c r="P2" s="757"/>
      <c r="Q2" s="757"/>
      <c r="R2" s="757"/>
      <c r="S2" s="757"/>
      <c r="T2" s="757"/>
      <c r="U2" s="757"/>
      <c r="V2" s="757"/>
      <c r="W2" s="757"/>
      <c r="X2" s="757"/>
      <c r="Y2" s="757"/>
      <c r="Z2" s="757"/>
      <c r="AA2" s="757"/>
      <c r="AB2" s="757"/>
      <c r="AC2" s="757"/>
      <c r="AD2" s="757"/>
      <c r="AE2" s="757"/>
      <c r="AF2" s="757"/>
      <c r="AG2" s="757"/>
      <c r="AH2" s="757"/>
      <c r="AI2" s="757"/>
      <c r="AJ2" s="757"/>
      <c r="AK2" s="757"/>
      <c r="AL2" s="757"/>
      <c r="AM2" s="765"/>
      <c r="AN2" s="31"/>
      <c r="AO2" s="31"/>
      <c r="AP2" s="31"/>
      <c r="AQ2" s="31"/>
      <c r="AR2" s="31"/>
      <c r="AS2" s="60"/>
      <c r="AT2" s="31"/>
      <c r="AU2" s="31"/>
      <c r="AV2" s="31"/>
      <c r="AW2" s="31"/>
      <c r="AX2" s="31"/>
      <c r="AY2" s="31"/>
      <c r="AZ2" s="31"/>
      <c r="BA2" s="31"/>
      <c r="BB2" s="31"/>
      <c r="BC2" s="31"/>
      <c r="BD2" s="31"/>
      <c r="BE2" s="31"/>
      <c r="BF2" s="31"/>
      <c r="BG2" s="31"/>
      <c r="BH2" s="31"/>
    </row>
    <row r="3" spans="1:60" ht="36.75" customHeight="1">
      <c r="A3" s="752" t="s">
        <v>39</v>
      </c>
      <c r="B3" s="754" t="s">
        <v>40</v>
      </c>
      <c r="C3" s="754" t="s">
        <v>41</v>
      </c>
      <c r="D3" s="715" t="s">
        <v>42</v>
      </c>
      <c r="E3" s="757"/>
      <c r="F3" s="757"/>
      <c r="G3" s="757"/>
      <c r="H3" s="757"/>
      <c r="I3" s="757"/>
      <c r="J3" s="757"/>
      <c r="K3" s="757"/>
      <c r="L3" s="757"/>
      <c r="M3" s="757"/>
      <c r="N3" s="757"/>
      <c r="O3" s="757"/>
      <c r="P3" s="757"/>
      <c r="Q3" s="758"/>
      <c r="R3" s="766" t="s">
        <v>43</v>
      </c>
      <c r="S3" s="757"/>
      <c r="T3" s="757"/>
      <c r="U3" s="758"/>
      <c r="V3" s="754" t="s">
        <v>44</v>
      </c>
      <c r="W3" s="754" t="s">
        <v>45</v>
      </c>
      <c r="X3" s="754" t="s">
        <v>46</v>
      </c>
      <c r="Y3" s="767" t="s">
        <v>47</v>
      </c>
      <c r="Z3" s="767" t="s">
        <v>48</v>
      </c>
      <c r="AA3" s="756" t="s">
        <v>49</v>
      </c>
      <c r="AB3" s="715" t="s">
        <v>6</v>
      </c>
      <c r="AC3" s="757"/>
      <c r="AD3" s="757"/>
      <c r="AE3" s="757"/>
      <c r="AF3" s="757"/>
      <c r="AG3" s="757"/>
      <c r="AH3" s="757"/>
      <c r="AI3" s="758"/>
      <c r="AJ3" s="756" t="s">
        <v>50</v>
      </c>
      <c r="AK3" s="715" t="s">
        <v>51</v>
      </c>
      <c r="AL3" s="758"/>
      <c r="AM3" s="759" t="s">
        <v>52</v>
      </c>
      <c r="AN3" s="1"/>
      <c r="AO3" s="1"/>
      <c r="AP3" s="1"/>
      <c r="AQ3" s="1"/>
      <c r="AR3" s="1"/>
      <c r="AS3" s="111"/>
      <c r="AT3" s="1"/>
      <c r="AU3" s="1"/>
      <c r="AV3" s="1"/>
      <c r="AW3" s="1"/>
      <c r="AX3" s="1"/>
      <c r="AY3" s="1"/>
      <c r="AZ3" s="1"/>
      <c r="BA3" s="1"/>
      <c r="BB3" s="1"/>
      <c r="BC3" s="1"/>
      <c r="BD3" s="1"/>
      <c r="BE3" s="1"/>
      <c r="BF3" s="1"/>
      <c r="BG3" s="1"/>
      <c r="BH3" s="1"/>
    </row>
    <row r="4" spans="1:60" ht="140.25" customHeight="1">
      <c r="A4" s="753"/>
      <c r="B4" s="755"/>
      <c r="C4" s="755"/>
      <c r="D4" s="557" t="s">
        <v>53</v>
      </c>
      <c r="E4" s="558" t="s">
        <v>54</v>
      </c>
      <c r="F4" s="559" t="s">
        <v>55</v>
      </c>
      <c r="G4" s="559" t="s">
        <v>56</v>
      </c>
      <c r="H4" s="558" t="s">
        <v>57</v>
      </c>
      <c r="I4" s="559" t="s">
        <v>58</v>
      </c>
      <c r="J4" s="559" t="s">
        <v>59</v>
      </c>
      <c r="K4" s="559" t="s">
        <v>60</v>
      </c>
      <c r="L4" s="559" t="s">
        <v>116</v>
      </c>
      <c r="M4" s="557" t="s">
        <v>62</v>
      </c>
      <c r="N4" s="557" t="s">
        <v>63</v>
      </c>
      <c r="O4" s="557" t="s">
        <v>64</v>
      </c>
      <c r="P4" s="559" t="s">
        <v>65</v>
      </c>
      <c r="Q4" s="560" t="s">
        <v>66</v>
      </c>
      <c r="R4" s="561" t="s">
        <v>67</v>
      </c>
      <c r="S4" s="561" t="s">
        <v>68</v>
      </c>
      <c r="T4" s="562" t="s">
        <v>69</v>
      </c>
      <c r="U4" s="563" t="s">
        <v>70</v>
      </c>
      <c r="V4" s="755"/>
      <c r="W4" s="755"/>
      <c r="X4" s="755"/>
      <c r="Y4" s="755"/>
      <c r="Z4" s="755"/>
      <c r="AA4" s="755"/>
      <c r="AB4" s="564" t="s">
        <v>71</v>
      </c>
      <c r="AC4" s="565" t="s">
        <v>72</v>
      </c>
      <c r="AD4" s="564" t="s">
        <v>11</v>
      </c>
      <c r="AE4" s="564" t="s">
        <v>12</v>
      </c>
      <c r="AF4" s="564" t="s">
        <v>13</v>
      </c>
      <c r="AG4" s="564" t="s">
        <v>74</v>
      </c>
      <c r="AH4" s="564" t="s">
        <v>75</v>
      </c>
      <c r="AI4" s="566" t="s">
        <v>32</v>
      </c>
      <c r="AJ4" s="755"/>
      <c r="AK4" s="564" t="s">
        <v>76</v>
      </c>
      <c r="AL4" s="564" t="s">
        <v>77</v>
      </c>
      <c r="AM4" s="760"/>
      <c r="AN4" s="123"/>
      <c r="AO4" s="123"/>
      <c r="AP4" s="123"/>
      <c r="AQ4" s="123"/>
      <c r="AR4" s="123"/>
      <c r="AS4" s="124"/>
      <c r="AT4" s="123"/>
      <c r="AU4" s="123"/>
      <c r="AV4" s="123"/>
      <c r="AW4" s="123"/>
      <c r="AX4" s="123"/>
      <c r="AY4" s="123"/>
      <c r="AZ4" s="123"/>
      <c r="BA4" s="123"/>
      <c r="BB4" s="123"/>
      <c r="BC4" s="123"/>
      <c r="BD4" s="123"/>
      <c r="BE4" s="123"/>
      <c r="BF4" s="123"/>
      <c r="BG4" s="123"/>
      <c r="BH4" s="123"/>
    </row>
    <row r="5" spans="1:60" s="355" customFormat="1" ht="62.15" customHeight="1">
      <c r="A5" s="567">
        <v>1</v>
      </c>
      <c r="B5" s="568" t="s">
        <v>182</v>
      </c>
      <c r="C5" s="569" t="s">
        <v>183</v>
      </c>
      <c r="D5" s="569">
        <v>30</v>
      </c>
      <c r="E5" s="570">
        <v>0</v>
      </c>
      <c r="F5" s="571">
        <f t="shared" ref="F5:F6" si="0">IF((E5/3)&gt;=1,TRUNC(E5/3,0),0)</f>
        <v>0</v>
      </c>
      <c r="G5" s="571">
        <f t="shared" ref="G5:G6" si="1">E5-F5*3</f>
        <v>0</v>
      </c>
      <c r="H5" s="570">
        <v>2</v>
      </c>
      <c r="I5" s="571">
        <f t="shared" ref="I5:I6" si="2">IF(H5&lt;2,H5,H5-2)</f>
        <v>0</v>
      </c>
      <c r="J5" s="571">
        <f t="shared" ref="J5:J6" si="3">H5-I5</f>
        <v>2</v>
      </c>
      <c r="K5" s="571">
        <v>0</v>
      </c>
      <c r="L5" s="570">
        <v>0.5</v>
      </c>
      <c r="M5" s="572">
        <v>0</v>
      </c>
      <c r="N5" s="571">
        <v>0</v>
      </c>
      <c r="O5" s="571">
        <v>0</v>
      </c>
      <c r="P5" s="573">
        <f t="shared" ref="P5:P6" si="4">L5+M5+N5+O5</f>
        <v>0.5</v>
      </c>
      <c r="Q5" s="574">
        <f t="shared" ref="Q5:Q6" si="5">(F5*0.5)+(I5*0.5)+L5+(N5*2)+M5</f>
        <v>0.5</v>
      </c>
      <c r="R5" s="575">
        <f>150000+200000+50000</f>
        <v>400000</v>
      </c>
      <c r="S5" s="575">
        <f>87000+10000+10000+10000+10000+10000+10000+10000+10000+10000+10000+10000+10000+10000+10000+10000+10000+10000</f>
        <v>257000</v>
      </c>
      <c r="T5" s="575">
        <v>10000</v>
      </c>
      <c r="U5" s="575">
        <f t="shared" ref="U5:U6" si="6">R5-(S5+T5)</f>
        <v>133000</v>
      </c>
      <c r="V5" s="576">
        <v>25000</v>
      </c>
      <c r="W5" s="576">
        <f t="shared" ref="W5:W6" si="7">V5</f>
        <v>25000</v>
      </c>
      <c r="X5" s="576">
        <v>0</v>
      </c>
      <c r="Y5" s="577">
        <f>W5-AB5</f>
        <v>24583.333333333332</v>
      </c>
      <c r="Z5" s="577">
        <f>W5/D5</f>
        <v>833.33333333333337</v>
      </c>
      <c r="AA5" s="577">
        <f t="shared" ref="AA5:AA6" si="8">W5*45%</f>
        <v>11250</v>
      </c>
      <c r="AB5" s="576">
        <f t="shared" ref="AB5:AB6" si="9">Q5*Z5</f>
        <v>416.66666666666669</v>
      </c>
      <c r="AC5" s="576"/>
      <c r="AD5" s="576">
        <f t="shared" ref="AD5:AD6" si="10">(AC5)*Z5</f>
        <v>0</v>
      </c>
      <c r="AE5" s="577">
        <f t="shared" ref="AE5:AE6" si="11">T5</f>
        <v>10000</v>
      </c>
      <c r="AF5" s="577"/>
      <c r="AG5" s="576">
        <v>0</v>
      </c>
      <c r="AH5" s="576">
        <v>0</v>
      </c>
      <c r="AI5" s="576">
        <f>SUM(AB5,AD5:AH5)</f>
        <v>10416.666666666666</v>
      </c>
      <c r="AJ5" s="576">
        <f>ROUND(SUM(W5:X5)-AI5,0)</f>
        <v>14583</v>
      </c>
      <c r="AK5" s="576">
        <v>0</v>
      </c>
      <c r="AL5" s="576">
        <v>0</v>
      </c>
      <c r="AM5" s="578" t="s">
        <v>592</v>
      </c>
      <c r="AN5" s="359" t="s">
        <v>184</v>
      </c>
      <c r="AO5" s="395"/>
      <c r="AP5" s="396"/>
      <c r="AQ5" s="396"/>
      <c r="AR5" s="396"/>
      <c r="AS5" s="396"/>
      <c r="AT5" s="395"/>
      <c r="AU5" s="395"/>
      <c r="AV5" s="395"/>
      <c r="AW5" s="395"/>
      <c r="AX5" s="395"/>
      <c r="AY5" s="395"/>
      <c r="AZ5" s="395"/>
      <c r="BA5" s="395"/>
      <c r="BB5" s="395"/>
      <c r="BC5" s="395"/>
      <c r="BD5" s="395"/>
      <c r="BE5" s="395"/>
      <c r="BF5" s="395"/>
      <c r="BG5" s="395"/>
      <c r="BH5" s="395"/>
    </row>
    <row r="6" spans="1:60" s="355" customFormat="1" ht="62.15" customHeight="1">
      <c r="A6" s="567">
        <v>2</v>
      </c>
      <c r="B6" s="568" t="s">
        <v>185</v>
      </c>
      <c r="C6" s="569" t="s">
        <v>159</v>
      </c>
      <c r="D6" s="569">
        <v>30</v>
      </c>
      <c r="E6" s="570">
        <v>0</v>
      </c>
      <c r="F6" s="571">
        <f t="shared" si="0"/>
        <v>0</v>
      </c>
      <c r="G6" s="571">
        <f t="shared" si="1"/>
        <v>0</v>
      </c>
      <c r="H6" s="570">
        <v>2</v>
      </c>
      <c r="I6" s="571">
        <f t="shared" si="2"/>
        <v>0</v>
      </c>
      <c r="J6" s="571">
        <f t="shared" si="3"/>
        <v>2</v>
      </c>
      <c r="K6" s="571">
        <v>0</v>
      </c>
      <c r="L6" s="570">
        <v>0</v>
      </c>
      <c r="M6" s="572">
        <v>0</v>
      </c>
      <c r="N6" s="571">
        <v>0</v>
      </c>
      <c r="O6" s="571">
        <v>0</v>
      </c>
      <c r="P6" s="573">
        <f t="shared" si="4"/>
        <v>0</v>
      </c>
      <c r="Q6" s="574">
        <f t="shared" si="5"/>
        <v>0</v>
      </c>
      <c r="R6" s="577"/>
      <c r="S6" s="577"/>
      <c r="T6" s="577"/>
      <c r="U6" s="579">
        <f t="shared" si="6"/>
        <v>0</v>
      </c>
      <c r="V6" s="576">
        <v>19300</v>
      </c>
      <c r="W6" s="576">
        <f t="shared" si="7"/>
        <v>19300</v>
      </c>
      <c r="X6" s="576">
        <v>0</v>
      </c>
      <c r="Y6" s="577">
        <f t="shared" ref="Y6" si="12">W6-AB6</f>
        <v>19300</v>
      </c>
      <c r="Z6" s="577">
        <f t="shared" ref="Z6" si="13">W6/D6</f>
        <v>643.33333333333337</v>
      </c>
      <c r="AA6" s="577">
        <f t="shared" si="8"/>
        <v>8685</v>
      </c>
      <c r="AB6" s="576">
        <f t="shared" si="9"/>
        <v>0</v>
      </c>
      <c r="AC6" s="576"/>
      <c r="AD6" s="576">
        <f t="shared" si="10"/>
        <v>0</v>
      </c>
      <c r="AE6" s="577">
        <f t="shared" si="11"/>
        <v>0</v>
      </c>
      <c r="AF6" s="577"/>
      <c r="AG6" s="576">
        <v>0</v>
      </c>
      <c r="AH6" s="576">
        <v>0</v>
      </c>
      <c r="AI6" s="576">
        <f t="shared" ref="AI6" si="14">SUM(AB6,AD6:AH6)</f>
        <v>0</v>
      </c>
      <c r="AJ6" s="576">
        <f t="shared" ref="AJ6" si="15">ROUND(SUM(W6:X6)-AI6,0)</f>
        <v>19300</v>
      </c>
      <c r="AK6" s="576">
        <v>0</v>
      </c>
      <c r="AL6" s="576">
        <v>0</v>
      </c>
      <c r="AM6" s="578"/>
      <c r="AN6" s="359" t="s">
        <v>186</v>
      </c>
      <c r="AO6" s="395"/>
      <c r="AP6" s="396"/>
      <c r="AQ6" s="396"/>
      <c r="AR6" s="396"/>
      <c r="AS6" s="396"/>
      <c r="AT6" s="395"/>
      <c r="AU6" s="395"/>
      <c r="AV6" s="395"/>
      <c r="AW6" s="395"/>
      <c r="AX6" s="395"/>
      <c r="AY6" s="395"/>
      <c r="AZ6" s="395"/>
      <c r="BA6" s="395"/>
      <c r="BB6" s="395"/>
      <c r="BC6" s="395"/>
      <c r="BD6" s="395"/>
      <c r="BE6" s="395"/>
      <c r="BF6" s="395"/>
      <c r="BG6" s="395"/>
      <c r="BH6" s="395"/>
    </row>
    <row r="7" spans="1:60" s="355" customFormat="1" ht="62.15" customHeight="1">
      <c r="A7" s="745" t="s">
        <v>123</v>
      </c>
      <c r="B7" s="746"/>
      <c r="C7" s="746"/>
      <c r="D7" s="746"/>
      <c r="E7" s="746"/>
      <c r="F7" s="746"/>
      <c r="G7" s="746"/>
      <c r="H7" s="746"/>
      <c r="I7" s="746"/>
      <c r="J7" s="746"/>
      <c r="K7" s="746"/>
      <c r="L7" s="746"/>
      <c r="M7" s="746"/>
      <c r="N7" s="746"/>
      <c r="O7" s="746"/>
      <c r="P7" s="746"/>
      <c r="Q7" s="747"/>
      <c r="R7" s="580">
        <f>SUM(R5:R6)</f>
        <v>400000</v>
      </c>
      <c r="S7" s="580">
        <f>SUM(S5:S6)</f>
        <v>257000</v>
      </c>
      <c r="T7" s="580">
        <f>SUM(T5:T6)</f>
        <v>10000</v>
      </c>
      <c r="U7" s="580">
        <f>SUM(U5:U6)</f>
        <v>133000</v>
      </c>
      <c r="V7" s="580">
        <f>SUM(V5:V6)</f>
        <v>44300</v>
      </c>
      <c r="W7" s="580">
        <f>SUM(W5:W6)</f>
        <v>44300</v>
      </c>
      <c r="X7" s="580">
        <f>SUM(X5:X6)</f>
        <v>0</v>
      </c>
      <c r="Y7" s="580">
        <f>SUM(Y5:Y6)</f>
        <v>43883.333333333328</v>
      </c>
      <c r="Z7" s="580">
        <f>SUM(Z5:Z6)</f>
        <v>1476.6666666666667</v>
      </c>
      <c r="AA7" s="580">
        <f>SUM(AA5:AA6)</f>
        <v>19935</v>
      </c>
      <c r="AB7" s="580">
        <f>SUM(AB5:AB6)</f>
        <v>416.66666666666669</v>
      </c>
      <c r="AC7" s="580">
        <f>SUM(AC5:AC6)</f>
        <v>0</v>
      </c>
      <c r="AD7" s="580">
        <f>SUM(AD5:AD6)</f>
        <v>0</v>
      </c>
      <c r="AE7" s="580">
        <f>SUM(AE5:AE6)</f>
        <v>10000</v>
      </c>
      <c r="AF7" s="580">
        <f>SUM(AF5:AF6)</f>
        <v>0</v>
      </c>
      <c r="AG7" s="580">
        <f>SUM(AG5:AG6)</f>
        <v>0</v>
      </c>
      <c r="AH7" s="580">
        <f>SUM(AH5:AH6)</f>
        <v>0</v>
      </c>
      <c r="AI7" s="580">
        <f>SUM(AI5:AI6)</f>
        <v>10416.666666666666</v>
      </c>
      <c r="AJ7" s="580">
        <f>SUM(AJ5:AJ6)</f>
        <v>33883</v>
      </c>
      <c r="AK7" s="580">
        <f>SUM(AK5:AK6)</f>
        <v>0</v>
      </c>
      <c r="AL7" s="580">
        <f>SUM(AL5:AL6)</f>
        <v>0</v>
      </c>
      <c r="AM7" s="581">
        <f>SUM(AM5:AM6)</f>
        <v>0</v>
      </c>
      <c r="AN7" s="395"/>
      <c r="AO7" s="395"/>
      <c r="AP7" s="395"/>
      <c r="AQ7" s="395"/>
      <c r="AR7" s="395"/>
      <c r="AS7" s="396"/>
      <c r="AT7" s="395"/>
      <c r="AU7" s="395"/>
      <c r="AV7" s="395"/>
      <c r="AW7" s="395"/>
      <c r="AX7" s="395"/>
      <c r="AY7" s="395"/>
      <c r="AZ7" s="395"/>
      <c r="BA7" s="395"/>
      <c r="BB7" s="395"/>
      <c r="BC7" s="395"/>
      <c r="BD7" s="395"/>
      <c r="BE7" s="395"/>
      <c r="BF7" s="395"/>
      <c r="BG7" s="395"/>
      <c r="BH7" s="395"/>
    </row>
    <row r="8" spans="1:60" ht="108" customHeight="1">
      <c r="A8" s="748" t="s">
        <v>34</v>
      </c>
      <c r="B8" s="749"/>
      <c r="C8" s="582"/>
      <c r="D8" s="582"/>
      <c r="E8" s="582"/>
      <c r="F8" s="582"/>
      <c r="G8" s="582"/>
      <c r="H8" s="582"/>
      <c r="I8" s="582"/>
      <c r="J8" s="582"/>
      <c r="K8" s="582"/>
      <c r="L8" s="582"/>
      <c r="M8" s="582"/>
      <c r="N8" s="582"/>
      <c r="O8" s="582"/>
      <c r="P8" s="582"/>
      <c r="Q8" s="582"/>
      <c r="R8" s="582"/>
      <c r="S8" s="582"/>
      <c r="T8" s="582"/>
      <c r="U8" s="750" t="s">
        <v>112</v>
      </c>
      <c r="V8" s="749"/>
      <c r="W8" s="749"/>
      <c r="X8" s="749"/>
      <c r="Y8" s="749"/>
      <c r="Z8" s="749"/>
      <c r="AA8" s="582"/>
      <c r="AB8" s="582"/>
      <c r="AC8" s="582"/>
      <c r="AD8" s="582"/>
      <c r="AE8" s="582"/>
      <c r="AF8" s="582"/>
      <c r="AG8" s="582"/>
      <c r="AH8" s="582"/>
      <c r="AI8" s="582"/>
      <c r="AJ8" s="582"/>
      <c r="AK8" s="582"/>
      <c r="AL8" s="750" t="s">
        <v>156</v>
      </c>
      <c r="AM8" s="751"/>
      <c r="AN8" s="57"/>
      <c r="AO8" s="57"/>
      <c r="AP8" s="57"/>
      <c r="AQ8" s="57"/>
      <c r="AR8" s="57"/>
      <c r="AS8" s="127"/>
      <c r="AT8" s="57"/>
      <c r="AU8" s="57"/>
      <c r="AV8" s="57"/>
      <c r="AW8" s="57"/>
      <c r="AX8" s="57"/>
      <c r="AY8" s="57"/>
      <c r="AZ8" s="57"/>
      <c r="BA8" s="57"/>
      <c r="BB8" s="57"/>
      <c r="BC8" s="57"/>
      <c r="BD8" s="57"/>
      <c r="BE8" s="57"/>
      <c r="BF8" s="57"/>
      <c r="BG8" s="57"/>
      <c r="BH8" s="57"/>
    </row>
    <row r="9" spans="1:60" ht="20.25" customHeight="1">
      <c r="A9" s="32"/>
      <c r="B9" s="32"/>
      <c r="C9" s="32"/>
      <c r="D9" s="32"/>
      <c r="E9" s="32"/>
      <c r="F9" s="32"/>
      <c r="G9" s="32"/>
      <c r="H9" s="32"/>
      <c r="I9" s="32"/>
      <c r="J9" s="32"/>
      <c r="K9" s="32"/>
      <c r="L9" s="32"/>
      <c r="M9" s="32"/>
      <c r="N9" s="32"/>
      <c r="O9" s="32"/>
      <c r="P9" s="32"/>
      <c r="Q9" s="32"/>
      <c r="R9" s="128"/>
      <c r="S9" s="128"/>
      <c r="T9" s="128"/>
      <c r="U9" s="128"/>
      <c r="V9" s="128"/>
      <c r="W9" s="32"/>
      <c r="X9" s="32"/>
      <c r="Y9" s="32"/>
      <c r="Z9" s="32"/>
      <c r="AA9" s="32"/>
      <c r="AB9" s="32"/>
      <c r="AC9" s="32"/>
      <c r="AD9" s="32"/>
      <c r="AE9" s="32"/>
      <c r="AF9" s="32"/>
      <c r="AG9" s="32"/>
      <c r="AH9" s="32"/>
      <c r="AI9" s="32"/>
      <c r="AJ9" s="32"/>
      <c r="AK9" s="32"/>
      <c r="AL9" s="32"/>
      <c r="AM9" s="32"/>
      <c r="AN9" s="31"/>
      <c r="AO9" s="31"/>
      <c r="AP9" s="31"/>
      <c r="AQ9" s="31"/>
      <c r="AR9" s="31"/>
      <c r="AS9" s="60"/>
      <c r="AT9" s="31"/>
      <c r="AU9" s="31"/>
      <c r="AV9" s="31"/>
      <c r="AW9" s="31"/>
      <c r="AX9" s="31"/>
      <c r="AY9" s="31"/>
      <c r="AZ9" s="31"/>
      <c r="BA9" s="31"/>
      <c r="BB9" s="31"/>
      <c r="BC9" s="31"/>
      <c r="BD9" s="31"/>
      <c r="BE9" s="31"/>
      <c r="BF9" s="31"/>
      <c r="BG9" s="31"/>
      <c r="BH9" s="31"/>
    </row>
    <row r="10" spans="1:60" ht="20.25" customHeight="1">
      <c r="A10" s="31"/>
      <c r="B10" s="31"/>
      <c r="C10" s="31"/>
      <c r="D10" s="31"/>
      <c r="E10" s="31"/>
      <c r="F10" s="31"/>
      <c r="G10" s="31"/>
      <c r="H10" s="31"/>
      <c r="I10" s="31"/>
      <c r="J10" s="31"/>
      <c r="K10" s="31"/>
      <c r="L10" s="31"/>
      <c r="M10" s="31"/>
      <c r="N10" s="31"/>
      <c r="O10" s="31"/>
      <c r="P10" s="31"/>
      <c r="Q10" s="31"/>
      <c r="R10" s="59"/>
      <c r="S10" s="59"/>
      <c r="T10" s="59"/>
      <c r="U10" s="59"/>
      <c r="V10" s="59"/>
      <c r="W10" s="31"/>
      <c r="X10" s="31"/>
      <c r="Y10" s="31"/>
      <c r="Z10" s="31"/>
      <c r="AA10" s="31"/>
      <c r="AB10" s="31"/>
      <c r="AC10" s="31"/>
      <c r="AD10" s="31"/>
      <c r="AE10" s="31"/>
      <c r="AF10" s="31"/>
      <c r="AG10" s="31"/>
      <c r="AH10" s="31"/>
      <c r="AI10" s="31"/>
      <c r="AJ10" s="59"/>
      <c r="AK10" s="31"/>
      <c r="AL10" s="31"/>
      <c r="AM10" s="31"/>
      <c r="AN10" s="31"/>
      <c r="AO10" s="31"/>
      <c r="AP10" s="31"/>
      <c r="AQ10" s="31"/>
      <c r="AR10" s="31"/>
      <c r="AS10" s="60"/>
      <c r="AT10" s="31"/>
      <c r="AU10" s="31"/>
      <c r="AV10" s="31"/>
      <c r="AW10" s="31"/>
      <c r="AX10" s="31"/>
      <c r="AY10" s="31"/>
      <c r="AZ10" s="31"/>
      <c r="BA10" s="31"/>
      <c r="BB10" s="31"/>
      <c r="BC10" s="31"/>
      <c r="BD10" s="31"/>
      <c r="BE10" s="31"/>
      <c r="BF10" s="31"/>
      <c r="BG10" s="31"/>
      <c r="BH10" s="31"/>
    </row>
    <row r="11" spans="1:60" ht="20.25" customHeight="1">
      <c r="A11" s="31"/>
      <c r="B11" s="31"/>
      <c r="C11" s="31"/>
      <c r="D11" s="31"/>
      <c r="E11" s="31"/>
      <c r="F11" s="31"/>
      <c r="G11" s="31"/>
      <c r="H11" s="31"/>
      <c r="I11" s="31"/>
      <c r="J11" s="31"/>
      <c r="K11" s="31"/>
      <c r="L11" s="31"/>
      <c r="M11" s="31"/>
      <c r="N11" s="31"/>
      <c r="O11" s="31"/>
      <c r="P11" s="31"/>
      <c r="Q11" s="31"/>
      <c r="R11" s="59"/>
      <c r="S11" s="59"/>
      <c r="T11" s="59"/>
      <c r="U11" s="59"/>
      <c r="V11" s="59"/>
      <c r="W11" s="59"/>
      <c r="X11" s="59"/>
      <c r="Y11" s="31"/>
      <c r="Z11" s="31"/>
      <c r="AA11" s="31"/>
      <c r="AB11" s="31"/>
      <c r="AC11" s="31"/>
      <c r="AD11" s="31"/>
      <c r="AE11" s="31"/>
      <c r="AF11" s="31"/>
      <c r="AG11" s="31"/>
      <c r="AH11" s="31"/>
      <c r="AI11" s="31"/>
      <c r="AJ11" s="31"/>
      <c r="AK11" s="31"/>
      <c r="AL11" s="31"/>
      <c r="AM11" s="31"/>
      <c r="AN11" s="31"/>
      <c r="AO11" s="31"/>
      <c r="AP11" s="31"/>
      <c r="AQ11" s="31"/>
      <c r="AR11" s="31"/>
      <c r="AS11" s="60"/>
      <c r="AT11" s="31"/>
      <c r="AU11" s="31"/>
      <c r="AV11" s="31"/>
      <c r="AW11" s="31"/>
      <c r="AX11" s="31"/>
      <c r="AY11" s="31"/>
      <c r="AZ11" s="31"/>
      <c r="BA11" s="31"/>
      <c r="BB11" s="31"/>
      <c r="BC11" s="31"/>
      <c r="BD11" s="31"/>
      <c r="BE11" s="31"/>
      <c r="BF11" s="31"/>
      <c r="BG11" s="31"/>
      <c r="BH11" s="31"/>
    </row>
    <row r="12" spans="1:60" ht="20.25" customHeight="1">
      <c r="A12" s="31"/>
      <c r="B12" s="31"/>
      <c r="C12" s="31"/>
      <c r="D12" s="31"/>
      <c r="E12" s="31"/>
      <c r="F12" s="31"/>
      <c r="G12" s="31"/>
      <c r="H12" s="31"/>
      <c r="I12" s="31"/>
      <c r="J12" s="31"/>
      <c r="K12" s="31"/>
      <c r="L12" s="31"/>
      <c r="M12" s="31"/>
      <c r="N12" s="31"/>
      <c r="O12" s="31"/>
      <c r="P12" s="31"/>
      <c r="Q12" s="31"/>
      <c r="R12" s="59"/>
      <c r="S12" s="59"/>
      <c r="T12" s="59"/>
      <c r="U12" s="59"/>
      <c r="V12" s="59"/>
      <c r="W12" s="31"/>
      <c r="X12" s="31"/>
      <c r="Y12" s="31"/>
      <c r="Z12" s="31"/>
      <c r="AA12" s="31"/>
      <c r="AB12" s="31"/>
      <c r="AC12" s="31"/>
      <c r="AD12" s="31"/>
      <c r="AE12" s="31"/>
      <c r="AF12" s="31"/>
      <c r="AG12" s="31"/>
      <c r="AH12" s="31"/>
      <c r="AI12" s="31"/>
      <c r="AJ12" s="31"/>
      <c r="AK12" s="31"/>
      <c r="AL12" s="31"/>
      <c r="AM12" s="31"/>
      <c r="AN12" s="31"/>
      <c r="AO12" s="31"/>
      <c r="AP12" s="31"/>
      <c r="AQ12" s="31"/>
      <c r="AR12" s="31"/>
      <c r="AS12" s="60"/>
      <c r="AT12" s="31"/>
      <c r="AU12" s="31"/>
      <c r="AV12" s="31"/>
      <c r="AW12" s="31"/>
      <c r="AX12" s="31"/>
      <c r="AY12" s="31"/>
      <c r="AZ12" s="31"/>
      <c r="BA12" s="31"/>
      <c r="BB12" s="31"/>
      <c r="BC12" s="31"/>
      <c r="BD12" s="31"/>
      <c r="BE12" s="31"/>
      <c r="BF12" s="31"/>
      <c r="BG12" s="31"/>
      <c r="BH12" s="31"/>
    </row>
    <row r="13" spans="1:60" ht="20.25" customHeight="1">
      <c r="A13" s="31"/>
      <c r="B13" s="31"/>
      <c r="C13" s="31"/>
      <c r="D13" s="31"/>
      <c r="E13" s="31"/>
      <c r="F13" s="31"/>
      <c r="G13" s="31"/>
      <c r="H13" s="31"/>
      <c r="I13" s="31"/>
      <c r="J13" s="31"/>
      <c r="K13" s="31"/>
      <c r="L13" s="31"/>
      <c r="M13" s="31"/>
      <c r="N13" s="31"/>
      <c r="O13" s="31"/>
      <c r="P13" s="31"/>
      <c r="Q13" s="31"/>
      <c r="R13" s="59"/>
      <c r="S13" s="59"/>
      <c r="T13" s="59"/>
      <c r="U13" s="59"/>
      <c r="V13" s="59"/>
      <c r="W13" s="59"/>
      <c r="X13" s="59"/>
      <c r="Y13" s="31"/>
      <c r="Z13" s="31"/>
      <c r="AA13" s="31"/>
      <c r="AB13" s="31"/>
      <c r="AC13" s="31"/>
      <c r="AD13" s="31"/>
      <c r="AE13" s="31"/>
      <c r="AF13" s="31"/>
      <c r="AG13" s="31"/>
      <c r="AH13" s="31"/>
      <c r="AI13" s="31"/>
      <c r="AJ13" s="59"/>
      <c r="AK13" s="31"/>
      <c r="AL13" s="31"/>
      <c r="AM13" s="31"/>
      <c r="AN13" s="32"/>
      <c r="AO13" s="32"/>
      <c r="AP13" s="32"/>
      <c r="AQ13" s="32"/>
      <c r="AR13" s="32"/>
      <c r="AS13" s="129"/>
      <c r="AT13" s="32"/>
      <c r="AU13" s="32"/>
      <c r="AV13" s="32"/>
      <c r="AW13" s="32"/>
      <c r="AX13" s="32"/>
      <c r="AY13" s="32"/>
      <c r="AZ13" s="32"/>
      <c r="BA13" s="32"/>
      <c r="BB13" s="32"/>
      <c r="BC13" s="32"/>
      <c r="BD13" s="32"/>
      <c r="BE13" s="32"/>
      <c r="BF13" s="32"/>
      <c r="BG13" s="32"/>
      <c r="BH13" s="32"/>
    </row>
    <row r="14" spans="1:60" ht="20.25" customHeight="1">
      <c r="A14" s="32"/>
      <c r="B14" s="32"/>
      <c r="C14" s="32"/>
      <c r="D14" s="32"/>
      <c r="E14" s="32"/>
      <c r="F14" s="32"/>
      <c r="G14" s="32"/>
      <c r="H14" s="32"/>
      <c r="I14" s="32"/>
      <c r="J14" s="32"/>
      <c r="K14" s="32"/>
      <c r="L14" s="32"/>
      <c r="M14" s="32"/>
      <c r="N14" s="32"/>
      <c r="O14" s="32"/>
      <c r="P14" s="32"/>
      <c r="Q14" s="32"/>
      <c r="R14" s="128"/>
      <c r="S14" s="128"/>
      <c r="T14" s="128"/>
      <c r="U14" s="128"/>
      <c r="V14" s="128"/>
      <c r="W14" s="32"/>
      <c r="X14" s="32"/>
      <c r="Y14" s="32"/>
      <c r="Z14" s="32"/>
      <c r="AA14" s="32"/>
      <c r="AB14" s="32"/>
      <c r="AC14" s="32"/>
      <c r="AD14" s="32"/>
      <c r="AE14" s="32"/>
      <c r="AF14" s="32"/>
      <c r="AG14" s="32"/>
      <c r="AH14" s="32"/>
      <c r="AI14" s="32"/>
      <c r="AJ14" s="32"/>
      <c r="AK14" s="32"/>
      <c r="AL14" s="32"/>
      <c r="AM14" s="32"/>
      <c r="AN14" s="32"/>
      <c r="AO14" s="32"/>
      <c r="AP14" s="32"/>
      <c r="AQ14" s="32"/>
      <c r="AR14" s="32"/>
      <c r="AS14" s="129"/>
      <c r="AT14" s="32"/>
      <c r="AU14" s="32"/>
      <c r="AV14" s="32"/>
      <c r="AW14" s="32"/>
      <c r="AX14" s="32"/>
      <c r="AY14" s="32"/>
      <c r="AZ14" s="32"/>
      <c r="BA14" s="32"/>
      <c r="BB14" s="32"/>
      <c r="BC14" s="32"/>
      <c r="BD14" s="32"/>
      <c r="BE14" s="32"/>
      <c r="BF14" s="32"/>
      <c r="BG14" s="32"/>
      <c r="BH14" s="32"/>
    </row>
    <row r="15" spans="1:60" ht="20.25" customHeight="1">
      <c r="A15" s="32"/>
      <c r="B15" s="32"/>
      <c r="C15" s="32"/>
      <c r="D15" s="32"/>
      <c r="E15" s="32"/>
      <c r="F15" s="32"/>
      <c r="G15" s="32"/>
      <c r="H15" s="32"/>
      <c r="I15" s="32"/>
      <c r="J15" s="32"/>
      <c r="K15" s="32"/>
      <c r="L15" s="32"/>
      <c r="M15" s="32"/>
      <c r="N15" s="32"/>
      <c r="O15" s="32"/>
      <c r="P15" s="32"/>
      <c r="Q15" s="32"/>
      <c r="R15" s="128"/>
      <c r="S15" s="128"/>
      <c r="T15" s="128"/>
      <c r="U15" s="128"/>
      <c r="V15" s="128"/>
      <c r="W15" s="32"/>
      <c r="X15" s="32"/>
      <c r="Y15" s="32"/>
      <c r="Z15" s="32"/>
      <c r="AA15" s="32"/>
      <c r="AB15" s="32"/>
      <c r="AC15" s="32"/>
      <c r="AD15" s="32"/>
      <c r="AE15" s="32"/>
      <c r="AF15" s="32"/>
      <c r="AG15" s="32"/>
      <c r="AH15" s="32"/>
      <c r="AI15" s="32"/>
      <c r="AJ15" s="32"/>
      <c r="AK15" s="32"/>
      <c r="AL15" s="32"/>
      <c r="AM15" s="32"/>
      <c r="AN15" s="31"/>
      <c r="AO15" s="31"/>
      <c r="AP15" s="31"/>
      <c r="AQ15" s="31"/>
      <c r="AR15" s="31"/>
      <c r="AS15" s="60"/>
      <c r="AT15" s="31"/>
      <c r="AU15" s="31"/>
      <c r="AV15" s="31"/>
      <c r="AW15" s="31"/>
      <c r="AX15" s="31"/>
      <c r="AY15" s="31"/>
      <c r="AZ15" s="31"/>
      <c r="BA15" s="31"/>
      <c r="BB15" s="31"/>
      <c r="BC15" s="31"/>
      <c r="BD15" s="31"/>
      <c r="BE15" s="31"/>
      <c r="BF15" s="31"/>
      <c r="BG15" s="31"/>
      <c r="BH15" s="31"/>
    </row>
    <row r="16" spans="1:60" ht="20.25" customHeight="1">
      <c r="A16" s="31"/>
      <c r="B16" s="31"/>
      <c r="C16" s="31"/>
      <c r="D16" s="31"/>
      <c r="E16" s="31"/>
      <c r="F16" s="31"/>
      <c r="G16" s="31"/>
      <c r="H16" s="31"/>
      <c r="I16" s="31"/>
      <c r="J16" s="31"/>
      <c r="K16" s="31"/>
      <c r="L16" s="31"/>
      <c r="M16" s="31"/>
      <c r="N16" s="31"/>
      <c r="O16" s="31"/>
      <c r="P16" s="31"/>
      <c r="Q16" s="31"/>
      <c r="R16" s="59"/>
      <c r="S16" s="59"/>
      <c r="T16" s="59"/>
      <c r="U16" s="59"/>
      <c r="V16" s="59"/>
      <c r="W16" s="31"/>
      <c r="X16" s="31"/>
      <c r="Y16" s="31"/>
      <c r="Z16" s="31"/>
      <c r="AA16" s="31"/>
      <c r="AB16" s="130"/>
      <c r="AC16" s="31"/>
      <c r="AD16" s="31"/>
      <c r="AE16" s="31"/>
      <c r="AF16" s="31"/>
      <c r="AG16" s="31"/>
      <c r="AH16" s="31"/>
      <c r="AI16" s="31"/>
      <c r="AJ16" s="31"/>
      <c r="AK16" s="31"/>
      <c r="AL16" s="31"/>
      <c r="AM16" s="31"/>
      <c r="AN16" s="31"/>
      <c r="AO16" s="31"/>
      <c r="AP16" s="31"/>
      <c r="AQ16" s="31"/>
      <c r="AR16" s="31"/>
      <c r="AS16" s="60"/>
      <c r="AT16" s="31"/>
      <c r="AU16" s="31"/>
      <c r="AV16" s="31"/>
      <c r="AW16" s="31"/>
      <c r="AX16" s="31"/>
      <c r="AY16" s="31"/>
      <c r="AZ16" s="31"/>
      <c r="BA16" s="31"/>
      <c r="BB16" s="31"/>
      <c r="BC16" s="31"/>
      <c r="BD16" s="31"/>
      <c r="BE16" s="31"/>
      <c r="BF16" s="31"/>
      <c r="BG16" s="31"/>
      <c r="BH16" s="31"/>
    </row>
    <row r="17" spans="1:60" ht="20.25" customHeight="1">
      <c r="A17" s="31"/>
      <c r="B17" s="31"/>
      <c r="C17" s="1"/>
      <c r="D17" s="31"/>
      <c r="E17" s="31"/>
      <c r="F17" s="31"/>
      <c r="G17" s="31"/>
      <c r="H17" s="31"/>
      <c r="I17" s="31"/>
      <c r="J17" s="31"/>
      <c r="K17" s="31"/>
      <c r="L17" s="31"/>
      <c r="M17" s="31"/>
      <c r="N17" s="31"/>
      <c r="O17" s="31"/>
      <c r="P17" s="31"/>
      <c r="Q17" s="58"/>
      <c r="R17" s="59"/>
      <c r="S17" s="59"/>
      <c r="T17" s="59"/>
      <c r="U17" s="59"/>
      <c r="V17" s="59"/>
      <c r="W17" s="31"/>
      <c r="X17" s="31"/>
      <c r="Y17" s="60"/>
      <c r="Z17" s="60"/>
      <c r="AA17" s="31"/>
      <c r="AB17" s="31"/>
      <c r="AC17" s="31"/>
      <c r="AD17" s="31"/>
      <c r="AE17" s="31"/>
      <c r="AF17" s="31"/>
      <c r="AG17" s="31"/>
      <c r="AH17" s="31"/>
      <c r="AI17" s="31"/>
      <c r="AJ17" s="31"/>
      <c r="AK17" s="31"/>
      <c r="AL17" s="31"/>
      <c r="AM17" s="1"/>
      <c r="AN17" s="31"/>
      <c r="AO17" s="31"/>
      <c r="AP17" s="31"/>
      <c r="AQ17" s="31"/>
      <c r="AR17" s="31"/>
      <c r="AS17" s="60"/>
      <c r="AT17" s="31"/>
      <c r="AU17" s="31"/>
      <c r="AV17" s="31"/>
      <c r="AW17" s="31"/>
      <c r="AX17" s="31"/>
      <c r="AY17" s="31"/>
      <c r="AZ17" s="31"/>
      <c r="BA17" s="31"/>
      <c r="BB17" s="31"/>
      <c r="BC17" s="31"/>
      <c r="BD17" s="31"/>
      <c r="BE17" s="31"/>
      <c r="BF17" s="31"/>
      <c r="BG17" s="31"/>
      <c r="BH17" s="31"/>
    </row>
    <row r="18" spans="1:60" ht="20.25" customHeight="1">
      <c r="A18" s="31"/>
      <c r="B18" s="31"/>
      <c r="C18" s="1"/>
      <c r="D18" s="31"/>
      <c r="E18" s="31"/>
      <c r="F18" s="31"/>
      <c r="G18" s="31"/>
      <c r="H18" s="31"/>
      <c r="I18" s="31"/>
      <c r="J18" s="31"/>
      <c r="K18" s="31"/>
      <c r="L18" s="31"/>
      <c r="M18" s="31"/>
      <c r="N18" s="31"/>
      <c r="O18" s="31"/>
      <c r="P18" s="31"/>
      <c r="Q18" s="58"/>
      <c r="R18" s="59"/>
      <c r="S18" s="59"/>
      <c r="T18" s="59"/>
      <c r="U18" s="59"/>
      <c r="V18" s="59"/>
      <c r="W18" s="31"/>
      <c r="X18" s="31"/>
      <c r="Y18" s="60"/>
      <c r="Z18" s="60"/>
      <c r="AA18" s="31"/>
      <c r="AB18" s="31"/>
      <c r="AC18" s="31"/>
      <c r="AD18" s="31"/>
      <c r="AE18" s="31"/>
      <c r="AF18" s="31"/>
      <c r="AG18" s="31"/>
      <c r="AH18" s="31"/>
      <c r="AI18" s="31"/>
      <c r="AJ18" s="31"/>
      <c r="AK18" s="31"/>
      <c r="AL18" s="31"/>
      <c r="AM18" s="1"/>
      <c r="AN18" s="31"/>
      <c r="AO18" s="31"/>
      <c r="AP18" s="31"/>
      <c r="AQ18" s="31"/>
      <c r="AR18" s="31"/>
      <c r="AS18" s="60"/>
      <c r="AT18" s="31"/>
      <c r="AU18" s="31"/>
      <c r="AV18" s="31"/>
      <c r="AW18" s="31"/>
      <c r="AX18" s="31"/>
      <c r="AY18" s="31"/>
      <c r="AZ18" s="31"/>
      <c r="BA18" s="31"/>
      <c r="BB18" s="31"/>
      <c r="BC18" s="31"/>
      <c r="BD18" s="31"/>
      <c r="BE18" s="31"/>
      <c r="BF18" s="31"/>
      <c r="BG18" s="31"/>
      <c r="BH18" s="31"/>
    </row>
    <row r="19" spans="1:60" ht="20.25" customHeight="1">
      <c r="A19" s="31"/>
      <c r="B19" s="31"/>
      <c r="C19" s="1"/>
      <c r="D19" s="31"/>
      <c r="E19" s="31"/>
      <c r="F19" s="31"/>
      <c r="G19" s="31"/>
      <c r="H19" s="31"/>
      <c r="I19" s="31"/>
      <c r="J19" s="31"/>
      <c r="K19" s="31"/>
      <c r="L19" s="31"/>
      <c r="M19" s="31"/>
      <c r="N19" s="31"/>
      <c r="O19" s="31"/>
      <c r="P19" s="31"/>
      <c r="Q19" s="58"/>
      <c r="R19" s="59"/>
      <c r="S19" s="59"/>
      <c r="T19" s="59"/>
      <c r="U19" s="59"/>
      <c r="V19" s="59"/>
      <c r="W19" s="31"/>
      <c r="X19" s="31"/>
      <c r="Y19" s="60"/>
      <c r="Z19" s="60"/>
      <c r="AA19" s="31"/>
      <c r="AB19" s="31"/>
      <c r="AC19" s="31"/>
      <c r="AD19" s="31"/>
      <c r="AE19" s="31"/>
      <c r="AF19" s="31"/>
      <c r="AG19" s="31"/>
      <c r="AH19" s="31"/>
      <c r="AI19" s="31"/>
      <c r="AJ19" s="31"/>
      <c r="AK19" s="31"/>
      <c r="AL19" s="31"/>
      <c r="AM19" s="1"/>
      <c r="AN19" s="31"/>
      <c r="AO19" s="31"/>
      <c r="AP19" s="31"/>
      <c r="AQ19" s="31"/>
      <c r="AR19" s="31"/>
      <c r="AS19" s="60"/>
      <c r="AT19" s="31"/>
      <c r="AU19" s="31"/>
      <c r="AV19" s="31"/>
      <c r="AW19" s="31"/>
      <c r="AX19" s="31"/>
      <c r="AY19" s="31"/>
      <c r="AZ19" s="31"/>
      <c r="BA19" s="31"/>
      <c r="BB19" s="31"/>
      <c r="BC19" s="31"/>
      <c r="BD19" s="31"/>
      <c r="BE19" s="31"/>
      <c r="BF19" s="31"/>
      <c r="BG19" s="31"/>
      <c r="BH19" s="31"/>
    </row>
    <row r="20" spans="1:60" ht="20.25" customHeight="1">
      <c r="A20" s="31"/>
      <c r="B20" s="31"/>
      <c r="C20" s="1"/>
      <c r="D20" s="31"/>
      <c r="E20" s="31"/>
      <c r="F20" s="31"/>
      <c r="G20" s="31"/>
      <c r="H20" s="31"/>
      <c r="I20" s="31"/>
      <c r="J20" s="31"/>
      <c r="K20" s="31"/>
      <c r="L20" s="31"/>
      <c r="M20" s="31"/>
      <c r="N20" s="31"/>
      <c r="O20" s="31"/>
      <c r="P20" s="31"/>
      <c r="Q20" s="58"/>
      <c r="R20" s="59"/>
      <c r="S20" s="59"/>
      <c r="T20" s="59"/>
      <c r="U20" s="59"/>
      <c r="V20" s="59"/>
      <c r="W20" s="31"/>
      <c r="X20" s="31"/>
      <c r="Y20" s="60"/>
      <c r="Z20" s="60"/>
      <c r="AA20" s="31"/>
      <c r="AB20" s="31"/>
      <c r="AC20" s="31"/>
      <c r="AD20" s="31"/>
      <c r="AE20" s="31"/>
      <c r="AF20" s="31"/>
      <c r="AG20" s="31"/>
      <c r="AH20" s="31"/>
      <c r="AI20" s="31"/>
      <c r="AJ20" s="31"/>
      <c r="AK20" s="31"/>
      <c r="AL20" s="31"/>
      <c r="AM20" s="1"/>
      <c r="AN20" s="31"/>
      <c r="AO20" s="31"/>
      <c r="AP20" s="31"/>
      <c r="AQ20" s="31"/>
      <c r="AR20" s="31"/>
      <c r="AS20" s="60"/>
      <c r="AT20" s="31"/>
      <c r="AU20" s="31"/>
      <c r="AV20" s="31"/>
      <c r="AW20" s="31"/>
      <c r="AX20" s="31"/>
      <c r="AY20" s="31"/>
      <c r="AZ20" s="31"/>
      <c r="BA20" s="31"/>
      <c r="BB20" s="31"/>
      <c r="BC20" s="31"/>
      <c r="BD20" s="31"/>
      <c r="BE20" s="31"/>
      <c r="BF20" s="31"/>
      <c r="BG20" s="31"/>
      <c r="BH20" s="31"/>
    </row>
    <row r="21" spans="1:60" ht="20.25" customHeight="1">
      <c r="A21" s="31"/>
      <c r="B21" s="31"/>
      <c r="C21" s="1"/>
      <c r="D21" s="31"/>
      <c r="E21" s="31"/>
      <c r="F21" s="31"/>
      <c r="G21" s="31"/>
      <c r="H21" s="31"/>
      <c r="I21" s="31"/>
      <c r="J21" s="31"/>
      <c r="K21" s="31"/>
      <c r="L21" s="31"/>
      <c r="M21" s="31"/>
      <c r="N21" s="31"/>
      <c r="O21" s="31"/>
      <c r="P21" s="31"/>
      <c r="Q21" s="58"/>
      <c r="R21" s="59"/>
      <c r="S21" s="59"/>
      <c r="T21" s="59"/>
      <c r="U21" s="59"/>
      <c r="V21" s="59"/>
      <c r="W21" s="31"/>
      <c r="X21" s="31"/>
      <c r="Y21" s="60"/>
      <c r="Z21" s="60"/>
      <c r="AA21" s="31"/>
      <c r="AB21" s="31"/>
      <c r="AC21" s="31"/>
      <c r="AD21" s="31"/>
      <c r="AE21" s="31"/>
      <c r="AF21" s="31"/>
      <c r="AG21" s="31"/>
      <c r="AH21" s="31"/>
      <c r="AI21" s="31"/>
      <c r="AJ21" s="31"/>
      <c r="AK21" s="31"/>
      <c r="AL21" s="31"/>
      <c r="AM21" s="1"/>
      <c r="AN21" s="31"/>
      <c r="AO21" s="31"/>
      <c r="AP21" s="31"/>
      <c r="AQ21" s="31"/>
      <c r="AR21" s="31"/>
      <c r="AS21" s="60"/>
      <c r="AT21" s="31"/>
      <c r="AU21" s="31"/>
      <c r="AV21" s="31"/>
      <c r="AW21" s="31"/>
      <c r="AX21" s="31"/>
      <c r="AY21" s="31"/>
      <c r="AZ21" s="31"/>
      <c r="BA21" s="31"/>
      <c r="BB21" s="31"/>
      <c r="BC21" s="31"/>
      <c r="BD21" s="31"/>
      <c r="BE21" s="31"/>
      <c r="BF21" s="31"/>
      <c r="BG21" s="31"/>
      <c r="BH21" s="31"/>
    </row>
    <row r="22" spans="1:60" ht="20.25" customHeight="1">
      <c r="A22" s="31"/>
      <c r="B22" s="31"/>
      <c r="C22" s="1"/>
      <c r="D22" s="31"/>
      <c r="E22" s="31"/>
      <c r="F22" s="31"/>
      <c r="G22" s="31"/>
      <c r="H22" s="31"/>
      <c r="I22" s="31"/>
      <c r="J22" s="31"/>
      <c r="K22" s="31"/>
      <c r="L22" s="31"/>
      <c r="M22" s="31"/>
      <c r="N22" s="31"/>
      <c r="O22" s="31"/>
      <c r="P22" s="31"/>
      <c r="Q22" s="58"/>
      <c r="R22" s="59"/>
      <c r="S22" s="59"/>
      <c r="T22" s="59"/>
      <c r="U22" s="59"/>
      <c r="V22" s="59"/>
      <c r="W22" s="31"/>
      <c r="X22" s="31"/>
      <c r="Y22" s="60"/>
      <c r="Z22" s="60"/>
      <c r="AA22" s="31"/>
      <c r="AB22" s="31"/>
      <c r="AC22" s="31"/>
      <c r="AD22" s="31"/>
      <c r="AE22" s="31"/>
      <c r="AF22" s="31"/>
      <c r="AG22" s="31"/>
      <c r="AH22" s="31"/>
      <c r="AI22" s="31"/>
      <c r="AJ22" s="31"/>
      <c r="AK22" s="31"/>
      <c r="AL22" s="31"/>
      <c r="AM22" s="1"/>
      <c r="AN22" s="31"/>
      <c r="AO22" s="31"/>
      <c r="AP22" s="31"/>
      <c r="AQ22" s="31"/>
      <c r="AR22" s="31"/>
      <c r="AS22" s="60"/>
      <c r="AT22" s="31"/>
      <c r="AU22" s="31"/>
      <c r="AV22" s="31"/>
      <c r="AW22" s="31"/>
      <c r="AX22" s="31"/>
      <c r="AY22" s="31"/>
      <c r="AZ22" s="31"/>
      <c r="BA22" s="31"/>
      <c r="BB22" s="31"/>
      <c r="BC22" s="31"/>
      <c r="BD22" s="31"/>
      <c r="BE22" s="31"/>
      <c r="BF22" s="31"/>
      <c r="BG22" s="31"/>
      <c r="BH22" s="31"/>
    </row>
    <row r="23" spans="1:60" ht="20.25" customHeight="1">
      <c r="A23" s="31"/>
      <c r="B23" s="31"/>
      <c r="C23" s="1"/>
      <c r="D23" s="31"/>
      <c r="E23" s="31"/>
      <c r="F23" s="31"/>
      <c r="G23" s="31"/>
      <c r="H23" s="31"/>
      <c r="I23" s="31"/>
      <c r="J23" s="31"/>
      <c r="K23" s="31"/>
      <c r="L23" s="31"/>
      <c r="M23" s="31"/>
      <c r="N23" s="31"/>
      <c r="O23" s="31"/>
      <c r="P23" s="31"/>
      <c r="Q23" s="58"/>
      <c r="R23" s="59"/>
      <c r="S23" s="59"/>
      <c r="T23" s="59"/>
      <c r="U23" s="59"/>
      <c r="V23" s="59"/>
      <c r="W23" s="31"/>
      <c r="X23" s="31"/>
      <c r="Y23" s="60"/>
      <c r="Z23" s="60"/>
      <c r="AA23" s="31"/>
      <c r="AB23" s="31"/>
      <c r="AC23" s="31"/>
      <c r="AD23" s="31"/>
      <c r="AE23" s="31"/>
      <c r="AF23" s="31"/>
      <c r="AG23" s="31"/>
      <c r="AH23" s="31"/>
      <c r="AI23" s="31"/>
      <c r="AJ23" s="31"/>
      <c r="AK23" s="31"/>
      <c r="AL23" s="31"/>
      <c r="AM23" s="1"/>
      <c r="AN23" s="31"/>
      <c r="AO23" s="31"/>
      <c r="AP23" s="31"/>
      <c r="AQ23" s="31"/>
      <c r="AR23" s="31"/>
      <c r="AS23" s="60"/>
      <c r="AT23" s="31"/>
      <c r="AU23" s="31"/>
      <c r="AV23" s="31"/>
      <c r="AW23" s="31"/>
      <c r="AX23" s="31"/>
      <c r="AY23" s="31"/>
      <c r="AZ23" s="31"/>
      <c r="BA23" s="31"/>
      <c r="BB23" s="31"/>
      <c r="BC23" s="31"/>
      <c r="BD23" s="31"/>
      <c r="BE23" s="31"/>
      <c r="BF23" s="31"/>
      <c r="BG23" s="31"/>
      <c r="BH23" s="31"/>
    </row>
    <row r="24" spans="1:60" ht="20.25" customHeight="1">
      <c r="A24" s="31"/>
      <c r="B24" s="31"/>
      <c r="C24" s="1"/>
      <c r="D24" s="31"/>
      <c r="E24" s="31"/>
      <c r="F24" s="31"/>
      <c r="G24" s="31"/>
      <c r="H24" s="31"/>
      <c r="I24" s="31"/>
      <c r="J24" s="31"/>
      <c r="K24" s="31"/>
      <c r="L24" s="31"/>
      <c r="M24" s="31"/>
      <c r="N24" s="31"/>
      <c r="O24" s="31"/>
      <c r="P24" s="31"/>
      <c r="Q24" s="58"/>
      <c r="R24" s="59"/>
      <c r="S24" s="59"/>
      <c r="T24" s="59"/>
      <c r="U24" s="59"/>
      <c r="V24" s="59"/>
      <c r="W24" s="31"/>
      <c r="X24" s="31"/>
      <c r="Y24" s="60"/>
      <c r="Z24" s="60"/>
      <c r="AA24" s="31"/>
      <c r="AB24" s="31"/>
      <c r="AC24" s="31"/>
      <c r="AD24" s="31"/>
      <c r="AE24" s="31"/>
      <c r="AF24" s="31"/>
      <c r="AG24" s="31"/>
      <c r="AH24" s="31"/>
      <c r="AI24" s="31"/>
      <c r="AJ24" s="31"/>
      <c r="AK24" s="31"/>
      <c r="AL24" s="31"/>
      <c r="AM24" s="1"/>
      <c r="AN24" s="31"/>
      <c r="AO24" s="31"/>
      <c r="AP24" s="31"/>
      <c r="AQ24" s="31"/>
      <c r="AR24" s="31"/>
      <c r="AS24" s="60"/>
      <c r="AT24" s="31"/>
      <c r="AU24" s="31"/>
      <c r="AV24" s="31"/>
      <c r="AW24" s="31"/>
      <c r="AX24" s="31"/>
      <c r="AY24" s="31"/>
      <c r="AZ24" s="31"/>
      <c r="BA24" s="31"/>
      <c r="BB24" s="31"/>
      <c r="BC24" s="31"/>
      <c r="BD24" s="31"/>
      <c r="BE24" s="31"/>
      <c r="BF24" s="31"/>
      <c r="BG24" s="31"/>
      <c r="BH24" s="31"/>
    </row>
    <row r="25" spans="1:60" ht="20.25" customHeight="1">
      <c r="A25" s="31"/>
      <c r="B25" s="31"/>
      <c r="C25" s="1"/>
      <c r="D25" s="31"/>
      <c r="E25" s="31"/>
      <c r="F25" s="31"/>
      <c r="G25" s="31"/>
      <c r="H25" s="31"/>
      <c r="I25" s="31"/>
      <c r="J25" s="31"/>
      <c r="K25" s="31"/>
      <c r="L25" s="31"/>
      <c r="M25" s="31"/>
      <c r="N25" s="31"/>
      <c r="O25" s="31"/>
      <c r="P25" s="31"/>
      <c r="Q25" s="58"/>
      <c r="R25" s="59"/>
      <c r="S25" s="59"/>
      <c r="T25" s="59"/>
      <c r="U25" s="59"/>
      <c r="V25" s="59"/>
      <c r="W25" s="31"/>
      <c r="X25" s="31"/>
      <c r="Y25" s="60"/>
      <c r="Z25" s="60"/>
      <c r="AA25" s="31"/>
      <c r="AB25" s="31"/>
      <c r="AC25" s="31"/>
      <c r="AD25" s="31"/>
      <c r="AE25" s="31"/>
      <c r="AF25" s="31"/>
      <c r="AG25" s="31"/>
      <c r="AH25" s="31"/>
      <c r="AI25" s="31"/>
      <c r="AJ25" s="31"/>
      <c r="AK25" s="31"/>
      <c r="AL25" s="31"/>
      <c r="AM25" s="1"/>
      <c r="AN25" s="31"/>
      <c r="AO25" s="31"/>
      <c r="AP25" s="31"/>
      <c r="AQ25" s="31"/>
      <c r="AR25" s="31"/>
      <c r="AS25" s="60"/>
      <c r="AT25" s="31"/>
      <c r="AU25" s="31"/>
      <c r="AV25" s="31"/>
      <c r="AW25" s="31"/>
      <c r="AX25" s="31"/>
      <c r="AY25" s="31"/>
      <c r="AZ25" s="31"/>
      <c r="BA25" s="31"/>
      <c r="BB25" s="31"/>
      <c r="BC25" s="31"/>
      <c r="BD25" s="31"/>
      <c r="BE25" s="31"/>
      <c r="BF25" s="31"/>
      <c r="BG25" s="31"/>
      <c r="BH25" s="31"/>
    </row>
    <row r="26" spans="1:60" ht="20.25" customHeight="1">
      <c r="A26" s="31"/>
      <c r="B26" s="31"/>
      <c r="C26" s="1"/>
      <c r="D26" s="31"/>
      <c r="E26" s="31"/>
      <c r="F26" s="31"/>
      <c r="G26" s="31"/>
      <c r="H26" s="31"/>
      <c r="I26" s="31"/>
      <c r="J26" s="31"/>
      <c r="K26" s="31"/>
      <c r="L26" s="31"/>
      <c r="M26" s="31"/>
      <c r="N26" s="31"/>
      <c r="O26" s="31"/>
      <c r="P26" s="31"/>
      <c r="Q26" s="58"/>
      <c r="R26" s="59"/>
      <c r="S26" s="59"/>
      <c r="T26" s="59"/>
      <c r="U26" s="59"/>
      <c r="V26" s="59"/>
      <c r="W26" s="31"/>
      <c r="X26" s="31"/>
      <c r="Y26" s="60"/>
      <c r="Z26" s="60"/>
      <c r="AA26" s="31"/>
      <c r="AB26" s="31"/>
      <c r="AC26" s="31"/>
      <c r="AD26" s="31"/>
      <c r="AE26" s="31"/>
      <c r="AF26" s="31"/>
      <c r="AG26" s="31"/>
      <c r="AH26" s="31"/>
      <c r="AI26" s="31"/>
      <c r="AJ26" s="31"/>
      <c r="AK26" s="31"/>
      <c r="AL26" s="31"/>
      <c r="AM26" s="1"/>
      <c r="AN26" s="31"/>
      <c r="AO26" s="31"/>
      <c r="AP26" s="31"/>
      <c r="AQ26" s="31"/>
      <c r="AR26" s="31"/>
      <c r="AS26" s="60"/>
      <c r="AT26" s="31"/>
      <c r="AU26" s="31"/>
      <c r="AV26" s="31"/>
      <c r="AW26" s="31"/>
      <c r="AX26" s="31"/>
      <c r="AY26" s="31"/>
      <c r="AZ26" s="31"/>
      <c r="BA26" s="31"/>
      <c r="BB26" s="31"/>
      <c r="BC26" s="31"/>
      <c r="BD26" s="31"/>
      <c r="BE26" s="31"/>
      <c r="BF26" s="31"/>
      <c r="BG26" s="31"/>
      <c r="BH26" s="31"/>
    </row>
    <row r="27" spans="1:60" ht="20.25" customHeight="1">
      <c r="A27" s="31"/>
      <c r="B27" s="31"/>
      <c r="C27" s="1"/>
      <c r="D27" s="31"/>
      <c r="E27" s="31"/>
      <c r="F27" s="31"/>
      <c r="G27" s="31"/>
      <c r="H27" s="31"/>
      <c r="I27" s="31"/>
      <c r="J27" s="31"/>
      <c r="K27" s="31"/>
      <c r="L27" s="31"/>
      <c r="M27" s="31"/>
      <c r="N27" s="31"/>
      <c r="O27" s="31"/>
      <c r="P27" s="31"/>
      <c r="Q27" s="58"/>
      <c r="R27" s="59"/>
      <c r="S27" s="59"/>
      <c r="T27" s="59"/>
      <c r="U27" s="59"/>
      <c r="V27" s="59"/>
      <c r="W27" s="31"/>
      <c r="X27" s="31"/>
      <c r="Y27" s="60"/>
      <c r="Z27" s="60"/>
      <c r="AA27" s="31"/>
      <c r="AB27" s="31"/>
      <c r="AC27" s="31"/>
      <c r="AD27" s="31"/>
      <c r="AE27" s="31"/>
      <c r="AF27" s="31"/>
      <c r="AG27" s="31"/>
      <c r="AH27" s="31"/>
      <c r="AI27" s="31"/>
      <c r="AJ27" s="31"/>
      <c r="AK27" s="31"/>
      <c r="AL27" s="31"/>
      <c r="AM27" s="1"/>
      <c r="AN27" s="31"/>
      <c r="AO27" s="31"/>
      <c r="AP27" s="31"/>
      <c r="AQ27" s="31"/>
      <c r="AR27" s="31"/>
      <c r="AS27" s="60"/>
      <c r="AT27" s="31"/>
      <c r="AU27" s="31"/>
      <c r="AV27" s="31"/>
      <c r="AW27" s="31"/>
      <c r="AX27" s="31"/>
      <c r="AY27" s="31"/>
      <c r="AZ27" s="31"/>
      <c r="BA27" s="31"/>
      <c r="BB27" s="31"/>
      <c r="BC27" s="31"/>
      <c r="BD27" s="31"/>
      <c r="BE27" s="31"/>
      <c r="BF27" s="31"/>
      <c r="BG27" s="31"/>
      <c r="BH27" s="31"/>
    </row>
    <row r="28" spans="1:60" ht="20.25" customHeight="1">
      <c r="A28" s="31"/>
      <c r="B28" s="31"/>
      <c r="C28" s="1"/>
      <c r="D28" s="31"/>
      <c r="E28" s="31"/>
      <c r="F28" s="31"/>
      <c r="G28" s="31"/>
      <c r="H28" s="31"/>
      <c r="I28" s="31"/>
      <c r="J28" s="31"/>
      <c r="K28" s="31"/>
      <c r="L28" s="31"/>
      <c r="M28" s="31"/>
      <c r="N28" s="31"/>
      <c r="O28" s="31"/>
      <c r="P28" s="31"/>
      <c r="Q28" s="58"/>
      <c r="R28" s="59"/>
      <c r="S28" s="59"/>
      <c r="T28" s="59"/>
      <c r="U28" s="59"/>
      <c r="V28" s="59"/>
      <c r="W28" s="31"/>
      <c r="X28" s="31"/>
      <c r="Y28" s="60"/>
      <c r="Z28" s="60"/>
      <c r="AA28" s="31"/>
      <c r="AB28" s="31"/>
      <c r="AC28" s="31"/>
      <c r="AD28" s="31"/>
      <c r="AE28" s="31"/>
      <c r="AF28" s="31"/>
      <c r="AG28" s="31"/>
      <c r="AH28" s="31"/>
      <c r="AI28" s="31"/>
      <c r="AJ28" s="31"/>
      <c r="AK28" s="31"/>
      <c r="AL28" s="31"/>
      <c r="AM28" s="1"/>
      <c r="AN28" s="31"/>
      <c r="AO28" s="31"/>
      <c r="AP28" s="31"/>
      <c r="AQ28" s="31"/>
      <c r="AR28" s="31"/>
      <c r="AS28" s="60"/>
      <c r="AT28" s="31"/>
      <c r="AU28" s="31"/>
      <c r="AV28" s="31"/>
      <c r="AW28" s="31"/>
      <c r="AX28" s="31"/>
      <c r="AY28" s="31"/>
      <c r="AZ28" s="31"/>
      <c r="BA28" s="31"/>
      <c r="BB28" s="31"/>
      <c r="BC28" s="31"/>
      <c r="BD28" s="31"/>
      <c r="BE28" s="31"/>
      <c r="BF28" s="31"/>
      <c r="BG28" s="31"/>
      <c r="BH28" s="31"/>
    </row>
    <row r="29" spans="1:60" ht="20.25" customHeight="1">
      <c r="A29" s="31"/>
      <c r="B29" s="31"/>
      <c r="C29" s="1"/>
      <c r="D29" s="31"/>
      <c r="E29" s="31"/>
      <c r="F29" s="31"/>
      <c r="G29" s="31"/>
      <c r="H29" s="31"/>
      <c r="I29" s="31"/>
      <c r="J29" s="31"/>
      <c r="K29" s="31"/>
      <c r="L29" s="31"/>
      <c r="M29" s="31"/>
      <c r="N29" s="31"/>
      <c r="O29" s="31"/>
      <c r="P29" s="31"/>
      <c r="Q29" s="58"/>
      <c r="R29" s="59"/>
      <c r="S29" s="59"/>
      <c r="T29" s="59"/>
      <c r="U29" s="59"/>
      <c r="V29" s="59"/>
      <c r="W29" s="31"/>
      <c r="X29" s="31"/>
      <c r="Y29" s="60"/>
      <c r="Z29" s="60"/>
      <c r="AA29" s="31"/>
      <c r="AB29" s="31"/>
      <c r="AC29" s="31"/>
      <c r="AD29" s="31"/>
      <c r="AE29" s="31"/>
      <c r="AF29" s="31"/>
      <c r="AG29" s="31"/>
      <c r="AH29" s="31"/>
      <c r="AI29" s="31"/>
      <c r="AJ29" s="31"/>
      <c r="AK29" s="31"/>
      <c r="AL29" s="31"/>
      <c r="AM29" s="1"/>
      <c r="AN29" s="31"/>
      <c r="AO29" s="31"/>
      <c r="AP29" s="31"/>
      <c r="AQ29" s="31"/>
      <c r="AR29" s="31"/>
      <c r="AS29" s="60"/>
      <c r="AT29" s="31"/>
      <c r="AU29" s="31"/>
      <c r="AV29" s="31"/>
      <c r="AW29" s="31"/>
      <c r="AX29" s="31"/>
      <c r="AY29" s="31"/>
      <c r="AZ29" s="31"/>
      <c r="BA29" s="31"/>
      <c r="BB29" s="31"/>
      <c r="BC29" s="31"/>
      <c r="BD29" s="31"/>
      <c r="BE29" s="31"/>
      <c r="BF29" s="31"/>
      <c r="BG29" s="31"/>
      <c r="BH29" s="31"/>
    </row>
    <row r="30" spans="1:60" ht="20.25" customHeight="1">
      <c r="A30" s="31"/>
      <c r="B30" s="31"/>
      <c r="C30" s="1"/>
      <c r="D30" s="31"/>
      <c r="E30" s="31"/>
      <c r="F30" s="31"/>
      <c r="G30" s="31"/>
      <c r="H30" s="31"/>
      <c r="I30" s="31"/>
      <c r="J30" s="31"/>
      <c r="K30" s="31"/>
      <c r="L30" s="31"/>
      <c r="M30" s="31"/>
      <c r="N30" s="31"/>
      <c r="O30" s="31"/>
      <c r="P30" s="31"/>
      <c r="Q30" s="58"/>
      <c r="R30" s="59"/>
      <c r="S30" s="59"/>
      <c r="T30" s="59"/>
      <c r="U30" s="59"/>
      <c r="V30" s="59"/>
      <c r="W30" s="31"/>
      <c r="X30" s="31"/>
      <c r="Y30" s="60"/>
      <c r="Z30" s="60"/>
      <c r="AA30" s="31"/>
      <c r="AB30" s="31"/>
      <c r="AC30" s="31"/>
      <c r="AD30" s="31"/>
      <c r="AE30" s="31"/>
      <c r="AF30" s="31"/>
      <c r="AG30" s="31"/>
      <c r="AH30" s="31"/>
      <c r="AI30" s="31"/>
      <c r="AJ30" s="31"/>
      <c r="AK30" s="31"/>
      <c r="AL30" s="31"/>
      <c r="AM30" s="1"/>
      <c r="AN30" s="31"/>
      <c r="AO30" s="31"/>
      <c r="AP30" s="31"/>
      <c r="AQ30" s="31"/>
      <c r="AR30" s="31"/>
      <c r="AS30" s="60"/>
      <c r="AT30" s="31"/>
      <c r="AU30" s="31"/>
      <c r="AV30" s="31"/>
      <c r="AW30" s="31"/>
      <c r="AX30" s="31"/>
      <c r="AY30" s="31"/>
      <c r="AZ30" s="31"/>
      <c r="BA30" s="31"/>
      <c r="BB30" s="31"/>
      <c r="BC30" s="31"/>
      <c r="BD30" s="31"/>
      <c r="BE30" s="31"/>
      <c r="BF30" s="31"/>
      <c r="BG30" s="31"/>
      <c r="BH30" s="31"/>
    </row>
    <row r="31" spans="1:60" ht="20.25" customHeight="1">
      <c r="A31" s="31"/>
      <c r="B31" s="31"/>
      <c r="C31" s="1"/>
      <c r="D31" s="31"/>
      <c r="E31" s="31"/>
      <c r="F31" s="31"/>
      <c r="G31" s="31"/>
      <c r="H31" s="31"/>
      <c r="I31" s="31"/>
      <c r="J31" s="31"/>
      <c r="K31" s="31"/>
      <c r="L31" s="31"/>
      <c r="M31" s="31"/>
      <c r="N31" s="31"/>
      <c r="O31" s="31"/>
      <c r="P31" s="31"/>
      <c r="Q31" s="58"/>
      <c r="R31" s="59"/>
      <c r="S31" s="59"/>
      <c r="T31" s="59"/>
      <c r="U31" s="59"/>
      <c r="V31" s="59"/>
      <c r="W31" s="31"/>
      <c r="X31" s="31"/>
      <c r="Y31" s="60"/>
      <c r="Z31" s="60"/>
      <c r="AA31" s="31"/>
      <c r="AB31" s="31"/>
      <c r="AC31" s="31"/>
      <c r="AD31" s="31"/>
      <c r="AE31" s="31"/>
      <c r="AF31" s="31"/>
      <c r="AG31" s="31"/>
      <c r="AH31" s="31"/>
      <c r="AI31" s="31"/>
      <c r="AJ31" s="31"/>
      <c r="AK31" s="31"/>
      <c r="AL31" s="31"/>
      <c r="AM31" s="1"/>
      <c r="AN31" s="31"/>
      <c r="AO31" s="31"/>
      <c r="AP31" s="31"/>
      <c r="AQ31" s="31"/>
      <c r="AR31" s="31"/>
      <c r="AS31" s="60"/>
      <c r="AT31" s="31"/>
      <c r="AU31" s="31"/>
      <c r="AV31" s="31"/>
      <c r="AW31" s="31"/>
      <c r="AX31" s="31"/>
      <c r="AY31" s="31"/>
      <c r="AZ31" s="31"/>
      <c r="BA31" s="31"/>
      <c r="BB31" s="31"/>
      <c r="BC31" s="31"/>
      <c r="BD31" s="31"/>
      <c r="BE31" s="31"/>
      <c r="BF31" s="31"/>
      <c r="BG31" s="31"/>
      <c r="BH31" s="31"/>
    </row>
    <row r="32" spans="1:60" ht="20.25" customHeight="1">
      <c r="A32" s="31"/>
      <c r="B32" s="31"/>
      <c r="C32" s="1"/>
      <c r="D32" s="31"/>
      <c r="E32" s="31"/>
      <c r="F32" s="31"/>
      <c r="G32" s="31"/>
      <c r="H32" s="31"/>
      <c r="I32" s="31"/>
      <c r="J32" s="31"/>
      <c r="K32" s="31"/>
      <c r="L32" s="31"/>
      <c r="M32" s="31"/>
      <c r="N32" s="31"/>
      <c r="O32" s="31"/>
      <c r="P32" s="31"/>
      <c r="Q32" s="58"/>
      <c r="R32" s="59"/>
      <c r="S32" s="59"/>
      <c r="T32" s="59"/>
      <c r="U32" s="59"/>
      <c r="V32" s="59"/>
      <c r="W32" s="31"/>
      <c r="X32" s="31"/>
      <c r="Y32" s="60"/>
      <c r="Z32" s="60"/>
      <c r="AA32" s="31"/>
      <c r="AB32" s="31"/>
      <c r="AC32" s="31"/>
      <c r="AD32" s="31"/>
      <c r="AE32" s="31"/>
      <c r="AF32" s="31"/>
      <c r="AG32" s="31"/>
      <c r="AH32" s="31"/>
      <c r="AI32" s="31"/>
      <c r="AJ32" s="31"/>
      <c r="AK32" s="31"/>
      <c r="AL32" s="31"/>
      <c r="AM32" s="1"/>
      <c r="AN32" s="31"/>
      <c r="AO32" s="31"/>
      <c r="AP32" s="31"/>
      <c r="AQ32" s="31"/>
      <c r="AR32" s="31"/>
      <c r="AS32" s="60"/>
      <c r="AT32" s="31"/>
      <c r="AU32" s="31"/>
      <c r="AV32" s="31"/>
      <c r="AW32" s="31"/>
      <c r="AX32" s="31"/>
      <c r="AY32" s="31"/>
      <c r="AZ32" s="31"/>
      <c r="BA32" s="31"/>
      <c r="BB32" s="31"/>
      <c r="BC32" s="31"/>
      <c r="BD32" s="31"/>
      <c r="BE32" s="31"/>
      <c r="BF32" s="31"/>
      <c r="BG32" s="31"/>
      <c r="BH32" s="31"/>
    </row>
    <row r="33" spans="1:60" ht="20.25" customHeight="1">
      <c r="A33" s="31"/>
      <c r="B33" s="31"/>
      <c r="C33" s="1"/>
      <c r="D33" s="31"/>
      <c r="E33" s="31"/>
      <c r="F33" s="31"/>
      <c r="G33" s="31"/>
      <c r="H33" s="31"/>
      <c r="I33" s="31"/>
      <c r="J33" s="31"/>
      <c r="K33" s="31"/>
      <c r="L33" s="31"/>
      <c r="M33" s="31"/>
      <c r="N33" s="31"/>
      <c r="O33" s="31"/>
      <c r="P33" s="31"/>
      <c r="Q33" s="58"/>
      <c r="R33" s="59"/>
      <c r="S33" s="59"/>
      <c r="T33" s="59"/>
      <c r="U33" s="59"/>
      <c r="V33" s="59"/>
      <c r="W33" s="31"/>
      <c r="X33" s="31"/>
      <c r="Y33" s="60"/>
      <c r="Z33" s="60"/>
      <c r="AA33" s="31"/>
      <c r="AB33" s="31"/>
      <c r="AC33" s="31"/>
      <c r="AD33" s="31"/>
      <c r="AE33" s="31"/>
      <c r="AF33" s="31"/>
      <c r="AG33" s="31"/>
      <c r="AH33" s="31"/>
      <c r="AI33" s="31"/>
      <c r="AJ33" s="31"/>
      <c r="AK33" s="31"/>
      <c r="AL33" s="31"/>
      <c r="AM33" s="1"/>
      <c r="AN33" s="31"/>
      <c r="AO33" s="31"/>
      <c r="AP33" s="31"/>
      <c r="AQ33" s="31"/>
      <c r="AR33" s="31"/>
      <c r="AS33" s="60"/>
      <c r="AT33" s="31"/>
      <c r="AU33" s="31"/>
      <c r="AV33" s="31"/>
      <c r="AW33" s="31"/>
      <c r="AX33" s="31"/>
      <c r="AY33" s="31"/>
      <c r="AZ33" s="31"/>
      <c r="BA33" s="31"/>
      <c r="BB33" s="31"/>
      <c r="BC33" s="31"/>
      <c r="BD33" s="31"/>
      <c r="BE33" s="31"/>
      <c r="BF33" s="31"/>
      <c r="BG33" s="31"/>
      <c r="BH33" s="31"/>
    </row>
    <row r="34" spans="1:60" ht="20.25" customHeight="1">
      <c r="A34" s="31"/>
      <c r="B34" s="31"/>
      <c r="C34" s="1"/>
      <c r="D34" s="31"/>
      <c r="E34" s="31"/>
      <c r="F34" s="31"/>
      <c r="G34" s="31"/>
      <c r="H34" s="31"/>
      <c r="I34" s="31"/>
      <c r="J34" s="31"/>
      <c r="K34" s="31"/>
      <c r="L34" s="31"/>
      <c r="M34" s="31"/>
      <c r="N34" s="31"/>
      <c r="O34" s="31"/>
      <c r="P34" s="31"/>
      <c r="Q34" s="58"/>
      <c r="R34" s="59"/>
      <c r="S34" s="59"/>
      <c r="T34" s="59"/>
      <c r="U34" s="59"/>
      <c r="V34" s="59"/>
      <c r="W34" s="31"/>
      <c r="X34" s="31"/>
      <c r="Y34" s="60"/>
      <c r="Z34" s="60"/>
      <c r="AA34" s="31"/>
      <c r="AB34" s="31"/>
      <c r="AC34" s="31"/>
      <c r="AD34" s="31"/>
      <c r="AE34" s="31"/>
      <c r="AF34" s="31"/>
      <c r="AG34" s="31"/>
      <c r="AH34" s="31"/>
      <c r="AI34" s="31"/>
      <c r="AJ34" s="31"/>
      <c r="AK34" s="31"/>
      <c r="AL34" s="31"/>
      <c r="AM34" s="1"/>
      <c r="AN34" s="31"/>
      <c r="AO34" s="31"/>
      <c r="AP34" s="31"/>
      <c r="AQ34" s="31"/>
      <c r="AR34" s="31"/>
      <c r="AS34" s="60"/>
      <c r="AT34" s="31"/>
      <c r="AU34" s="31"/>
      <c r="AV34" s="31"/>
      <c r="AW34" s="31"/>
      <c r="AX34" s="31"/>
      <c r="AY34" s="31"/>
      <c r="AZ34" s="31"/>
      <c r="BA34" s="31"/>
      <c r="BB34" s="31"/>
      <c r="BC34" s="31"/>
      <c r="BD34" s="31"/>
      <c r="BE34" s="31"/>
      <c r="BF34" s="31"/>
      <c r="BG34" s="31"/>
      <c r="BH34" s="31"/>
    </row>
    <row r="35" spans="1:60" ht="20.25" customHeight="1">
      <c r="A35" s="31"/>
      <c r="B35" s="31"/>
      <c r="C35" s="1"/>
      <c r="D35" s="31"/>
      <c r="E35" s="31"/>
      <c r="F35" s="31"/>
      <c r="G35" s="31"/>
      <c r="H35" s="31"/>
      <c r="I35" s="31"/>
      <c r="J35" s="31"/>
      <c r="K35" s="31"/>
      <c r="L35" s="31"/>
      <c r="M35" s="31"/>
      <c r="N35" s="31"/>
      <c r="O35" s="31"/>
      <c r="P35" s="31"/>
      <c r="Q35" s="58"/>
      <c r="R35" s="59"/>
      <c r="S35" s="59"/>
      <c r="T35" s="59"/>
      <c r="U35" s="59"/>
      <c r="V35" s="59"/>
      <c r="W35" s="31"/>
      <c r="X35" s="31"/>
      <c r="Y35" s="60"/>
      <c r="Z35" s="60"/>
      <c r="AA35" s="31"/>
      <c r="AB35" s="31"/>
      <c r="AC35" s="31"/>
      <c r="AD35" s="31"/>
      <c r="AE35" s="31"/>
      <c r="AF35" s="31"/>
      <c r="AG35" s="31"/>
      <c r="AH35" s="31"/>
      <c r="AI35" s="31"/>
      <c r="AJ35" s="31"/>
      <c r="AK35" s="31"/>
      <c r="AL35" s="31"/>
      <c r="AM35" s="1"/>
      <c r="AN35" s="31"/>
      <c r="AO35" s="31"/>
      <c r="AP35" s="31"/>
      <c r="AQ35" s="31"/>
      <c r="AR35" s="31"/>
      <c r="AS35" s="60"/>
      <c r="AT35" s="31"/>
      <c r="AU35" s="31"/>
      <c r="AV35" s="31"/>
      <c r="AW35" s="31"/>
      <c r="AX35" s="31"/>
      <c r="AY35" s="31"/>
      <c r="AZ35" s="31"/>
      <c r="BA35" s="31"/>
      <c r="BB35" s="31"/>
      <c r="BC35" s="31"/>
      <c r="BD35" s="31"/>
      <c r="BE35" s="31"/>
      <c r="BF35" s="31"/>
      <c r="BG35" s="31"/>
      <c r="BH35" s="31"/>
    </row>
    <row r="36" spans="1:60" ht="20.25" customHeight="1">
      <c r="A36" s="31"/>
      <c r="B36" s="31"/>
      <c r="C36" s="1"/>
      <c r="D36" s="31"/>
      <c r="E36" s="31"/>
      <c r="F36" s="31"/>
      <c r="G36" s="31"/>
      <c r="H36" s="31"/>
      <c r="I36" s="31"/>
      <c r="J36" s="31"/>
      <c r="K36" s="31"/>
      <c r="L36" s="31"/>
      <c r="M36" s="31"/>
      <c r="N36" s="31"/>
      <c r="O36" s="31"/>
      <c r="P36" s="31"/>
      <c r="Q36" s="58"/>
      <c r="R36" s="59"/>
      <c r="S36" s="59"/>
      <c r="T36" s="59"/>
      <c r="U36" s="59"/>
      <c r="V36" s="59"/>
      <c r="W36" s="31"/>
      <c r="X36" s="31"/>
      <c r="Y36" s="60"/>
      <c r="Z36" s="60"/>
      <c r="AA36" s="31"/>
      <c r="AB36" s="31"/>
      <c r="AC36" s="31"/>
      <c r="AD36" s="31"/>
      <c r="AE36" s="31"/>
      <c r="AF36" s="31"/>
      <c r="AG36" s="31"/>
      <c r="AH36" s="31"/>
      <c r="AI36" s="31"/>
      <c r="AJ36" s="31"/>
      <c r="AK36" s="31"/>
      <c r="AL36" s="31"/>
      <c r="AM36" s="1"/>
      <c r="AN36" s="31"/>
      <c r="AO36" s="31"/>
      <c r="AP36" s="31"/>
      <c r="AQ36" s="31"/>
      <c r="AR36" s="31"/>
      <c r="AS36" s="60"/>
      <c r="AT36" s="31"/>
      <c r="AU36" s="31"/>
      <c r="AV36" s="31"/>
      <c r="AW36" s="31"/>
      <c r="AX36" s="31"/>
      <c r="AY36" s="31"/>
      <c r="AZ36" s="31"/>
      <c r="BA36" s="31"/>
      <c r="BB36" s="31"/>
      <c r="BC36" s="31"/>
      <c r="BD36" s="31"/>
      <c r="BE36" s="31"/>
      <c r="BF36" s="31"/>
      <c r="BG36" s="31"/>
      <c r="BH36" s="31"/>
    </row>
    <row r="37" spans="1:60" ht="20.25" customHeight="1">
      <c r="A37" s="31"/>
      <c r="B37" s="31"/>
      <c r="C37" s="1"/>
      <c r="D37" s="31"/>
      <c r="E37" s="31"/>
      <c r="F37" s="31"/>
      <c r="G37" s="31"/>
      <c r="H37" s="31"/>
      <c r="I37" s="31"/>
      <c r="J37" s="31"/>
      <c r="K37" s="31"/>
      <c r="L37" s="31"/>
      <c r="M37" s="31"/>
      <c r="N37" s="31"/>
      <c r="O37" s="31"/>
      <c r="P37" s="31"/>
      <c r="Q37" s="58"/>
      <c r="R37" s="59"/>
      <c r="S37" s="59"/>
      <c r="T37" s="59"/>
      <c r="U37" s="59"/>
      <c r="V37" s="59"/>
      <c r="W37" s="31"/>
      <c r="X37" s="31"/>
      <c r="Y37" s="60"/>
      <c r="Z37" s="60"/>
      <c r="AA37" s="31"/>
      <c r="AB37" s="31"/>
      <c r="AC37" s="31"/>
      <c r="AD37" s="31"/>
      <c r="AE37" s="31"/>
      <c r="AF37" s="31"/>
      <c r="AG37" s="31"/>
      <c r="AH37" s="31"/>
      <c r="AI37" s="31"/>
      <c r="AJ37" s="31"/>
      <c r="AK37" s="31"/>
      <c r="AL37" s="31"/>
      <c r="AM37" s="1"/>
      <c r="AN37" s="31"/>
      <c r="AO37" s="31"/>
      <c r="AP37" s="31"/>
      <c r="AQ37" s="31"/>
      <c r="AR37" s="31"/>
      <c r="AS37" s="60"/>
      <c r="AT37" s="31"/>
      <c r="AU37" s="31"/>
      <c r="AV37" s="31"/>
      <c r="AW37" s="31"/>
      <c r="AX37" s="31"/>
      <c r="AY37" s="31"/>
      <c r="AZ37" s="31"/>
      <c r="BA37" s="31"/>
      <c r="BB37" s="31"/>
      <c r="BC37" s="31"/>
      <c r="BD37" s="31"/>
      <c r="BE37" s="31"/>
      <c r="BF37" s="31"/>
      <c r="BG37" s="31"/>
      <c r="BH37" s="31"/>
    </row>
    <row r="38" spans="1:60" ht="20.25" customHeight="1">
      <c r="A38" s="31"/>
      <c r="B38" s="31"/>
      <c r="C38" s="1"/>
      <c r="D38" s="31"/>
      <c r="E38" s="31"/>
      <c r="F38" s="31"/>
      <c r="G38" s="31"/>
      <c r="H38" s="31"/>
      <c r="I38" s="31"/>
      <c r="J38" s="31"/>
      <c r="K38" s="31"/>
      <c r="L38" s="31"/>
      <c r="M38" s="31"/>
      <c r="N38" s="31"/>
      <c r="O38" s="31"/>
      <c r="P38" s="31"/>
      <c r="Q38" s="58"/>
      <c r="R38" s="59"/>
      <c r="S38" s="59"/>
      <c r="T38" s="59"/>
      <c r="U38" s="59"/>
      <c r="V38" s="59"/>
      <c r="W38" s="31"/>
      <c r="X38" s="31"/>
      <c r="Y38" s="60"/>
      <c r="Z38" s="60"/>
      <c r="AA38" s="31"/>
      <c r="AB38" s="31"/>
      <c r="AC38" s="31"/>
      <c r="AD38" s="31"/>
      <c r="AE38" s="31"/>
      <c r="AF38" s="31"/>
      <c r="AG38" s="31"/>
      <c r="AH38" s="31"/>
      <c r="AI38" s="31"/>
      <c r="AJ38" s="31"/>
      <c r="AK38" s="31"/>
      <c r="AL38" s="31"/>
      <c r="AM38" s="1"/>
      <c r="AN38" s="31"/>
      <c r="AO38" s="31"/>
      <c r="AP38" s="31"/>
      <c r="AQ38" s="31"/>
      <c r="AR38" s="31"/>
      <c r="AS38" s="60"/>
      <c r="AT38" s="31"/>
      <c r="AU38" s="31"/>
      <c r="AV38" s="31"/>
      <c r="AW38" s="31"/>
      <c r="AX38" s="31"/>
      <c r="AY38" s="31"/>
      <c r="AZ38" s="31"/>
      <c r="BA38" s="31"/>
      <c r="BB38" s="31"/>
      <c r="BC38" s="31"/>
      <c r="BD38" s="31"/>
      <c r="BE38" s="31"/>
      <c r="BF38" s="31"/>
      <c r="BG38" s="31"/>
      <c r="BH38" s="31"/>
    </row>
    <row r="39" spans="1:60" ht="20.25" customHeight="1">
      <c r="A39" s="31"/>
      <c r="B39" s="31"/>
      <c r="C39" s="1"/>
      <c r="D39" s="31"/>
      <c r="E39" s="31"/>
      <c r="F39" s="31"/>
      <c r="G39" s="31"/>
      <c r="H39" s="31"/>
      <c r="I39" s="31"/>
      <c r="J39" s="31"/>
      <c r="K39" s="31"/>
      <c r="L39" s="31"/>
      <c r="M39" s="31"/>
      <c r="N39" s="31"/>
      <c r="O39" s="31"/>
      <c r="P39" s="31"/>
      <c r="Q39" s="58"/>
      <c r="R39" s="59"/>
      <c r="S39" s="59"/>
      <c r="T39" s="59"/>
      <c r="U39" s="59"/>
      <c r="V39" s="59"/>
      <c r="W39" s="31"/>
      <c r="X39" s="31"/>
      <c r="Y39" s="60"/>
      <c r="Z39" s="60"/>
      <c r="AA39" s="31"/>
      <c r="AB39" s="31"/>
      <c r="AC39" s="31"/>
      <c r="AD39" s="31"/>
      <c r="AE39" s="31"/>
      <c r="AF39" s="31"/>
      <c r="AG39" s="31"/>
      <c r="AH39" s="31"/>
      <c r="AI39" s="31"/>
      <c r="AJ39" s="31"/>
      <c r="AK39" s="31"/>
      <c r="AL39" s="31"/>
      <c r="AM39" s="1"/>
      <c r="AN39" s="31"/>
      <c r="AO39" s="31"/>
      <c r="AP39" s="31"/>
      <c r="AQ39" s="31"/>
      <c r="AR39" s="31"/>
      <c r="AS39" s="60"/>
      <c r="AT39" s="31"/>
      <c r="AU39" s="31"/>
      <c r="AV39" s="31"/>
      <c r="AW39" s="31"/>
      <c r="AX39" s="31"/>
      <c r="AY39" s="31"/>
      <c r="AZ39" s="31"/>
      <c r="BA39" s="31"/>
      <c r="BB39" s="31"/>
      <c r="BC39" s="31"/>
      <c r="BD39" s="31"/>
      <c r="BE39" s="31"/>
      <c r="BF39" s="31"/>
      <c r="BG39" s="31"/>
      <c r="BH39" s="31"/>
    </row>
    <row r="40" spans="1:60" ht="20.25" customHeight="1">
      <c r="A40" s="31"/>
      <c r="B40" s="31"/>
      <c r="C40" s="1"/>
      <c r="D40" s="31"/>
      <c r="E40" s="31"/>
      <c r="F40" s="31"/>
      <c r="G40" s="31"/>
      <c r="H40" s="31"/>
      <c r="I40" s="31"/>
      <c r="J40" s="31"/>
      <c r="K40" s="31"/>
      <c r="L40" s="31"/>
      <c r="M40" s="31"/>
      <c r="N40" s="31"/>
      <c r="O40" s="31"/>
      <c r="P40" s="31"/>
      <c r="Q40" s="58"/>
      <c r="R40" s="59"/>
      <c r="S40" s="59"/>
      <c r="T40" s="59"/>
      <c r="U40" s="59"/>
      <c r="V40" s="59"/>
      <c r="W40" s="31"/>
      <c r="X40" s="31"/>
      <c r="Y40" s="60"/>
      <c r="Z40" s="60"/>
      <c r="AA40" s="31"/>
      <c r="AB40" s="31"/>
      <c r="AC40" s="31"/>
      <c r="AD40" s="31"/>
      <c r="AE40" s="31"/>
      <c r="AF40" s="31"/>
      <c r="AG40" s="31"/>
      <c r="AH40" s="31"/>
      <c r="AI40" s="31"/>
      <c r="AJ40" s="31"/>
      <c r="AK40" s="31"/>
      <c r="AL40" s="31"/>
      <c r="AM40" s="1"/>
      <c r="AN40" s="31"/>
      <c r="AO40" s="31"/>
      <c r="AP40" s="31"/>
      <c r="AQ40" s="31"/>
      <c r="AR40" s="31"/>
      <c r="AS40" s="60"/>
      <c r="AT40" s="31"/>
      <c r="AU40" s="31"/>
      <c r="AV40" s="31"/>
      <c r="AW40" s="31"/>
      <c r="AX40" s="31"/>
      <c r="AY40" s="31"/>
      <c r="AZ40" s="31"/>
      <c r="BA40" s="31"/>
      <c r="BB40" s="31"/>
      <c r="BC40" s="31"/>
      <c r="BD40" s="31"/>
      <c r="BE40" s="31"/>
      <c r="BF40" s="31"/>
      <c r="BG40" s="31"/>
      <c r="BH40" s="31"/>
    </row>
    <row r="41" spans="1:60" ht="20.25" customHeight="1">
      <c r="A41" s="31"/>
      <c r="B41" s="31"/>
      <c r="C41" s="1"/>
      <c r="D41" s="31"/>
      <c r="E41" s="31"/>
      <c r="F41" s="31"/>
      <c r="G41" s="31"/>
      <c r="H41" s="31"/>
      <c r="I41" s="31"/>
      <c r="J41" s="31"/>
      <c r="K41" s="31"/>
      <c r="L41" s="31"/>
      <c r="M41" s="31"/>
      <c r="N41" s="31"/>
      <c r="O41" s="31"/>
      <c r="P41" s="31"/>
      <c r="Q41" s="58"/>
      <c r="R41" s="59"/>
      <c r="S41" s="59"/>
      <c r="T41" s="59"/>
      <c r="U41" s="59"/>
      <c r="V41" s="59"/>
      <c r="W41" s="31"/>
      <c r="X41" s="31"/>
      <c r="Y41" s="60"/>
      <c r="Z41" s="60"/>
      <c r="AA41" s="31"/>
      <c r="AB41" s="31"/>
      <c r="AC41" s="31"/>
      <c r="AD41" s="31"/>
      <c r="AE41" s="31"/>
      <c r="AF41" s="31"/>
      <c r="AG41" s="31"/>
      <c r="AH41" s="31"/>
      <c r="AI41" s="31"/>
      <c r="AJ41" s="31"/>
      <c r="AK41" s="31"/>
      <c r="AL41" s="31"/>
      <c r="AM41" s="1"/>
      <c r="AN41" s="31"/>
      <c r="AO41" s="31"/>
      <c r="AP41" s="31"/>
      <c r="AQ41" s="31"/>
      <c r="AR41" s="31"/>
      <c r="AS41" s="60"/>
      <c r="AT41" s="31"/>
      <c r="AU41" s="31"/>
      <c r="AV41" s="31"/>
      <c r="AW41" s="31"/>
      <c r="AX41" s="31"/>
      <c r="AY41" s="31"/>
      <c r="AZ41" s="31"/>
      <c r="BA41" s="31"/>
      <c r="BB41" s="31"/>
      <c r="BC41" s="31"/>
      <c r="BD41" s="31"/>
      <c r="BE41" s="31"/>
      <c r="BF41" s="31"/>
      <c r="BG41" s="31"/>
      <c r="BH41" s="31"/>
    </row>
    <row r="42" spans="1:60" ht="20.25" customHeight="1">
      <c r="A42" s="31"/>
      <c r="B42" s="31"/>
      <c r="C42" s="1"/>
      <c r="D42" s="31"/>
      <c r="E42" s="31"/>
      <c r="F42" s="31"/>
      <c r="G42" s="31"/>
      <c r="H42" s="31"/>
      <c r="I42" s="31"/>
      <c r="J42" s="31"/>
      <c r="K42" s="31"/>
      <c r="L42" s="31"/>
      <c r="M42" s="31"/>
      <c r="N42" s="31"/>
      <c r="O42" s="31"/>
      <c r="P42" s="31"/>
      <c r="Q42" s="58"/>
      <c r="R42" s="59"/>
      <c r="S42" s="59"/>
      <c r="T42" s="59"/>
      <c r="U42" s="59"/>
      <c r="V42" s="59"/>
      <c r="W42" s="31"/>
      <c r="X42" s="31"/>
      <c r="Y42" s="60"/>
      <c r="Z42" s="60"/>
      <c r="AA42" s="31"/>
      <c r="AB42" s="31"/>
      <c r="AC42" s="31"/>
      <c r="AD42" s="31"/>
      <c r="AE42" s="31"/>
      <c r="AF42" s="31"/>
      <c r="AG42" s="31"/>
      <c r="AH42" s="31"/>
      <c r="AI42" s="31"/>
      <c r="AJ42" s="31"/>
      <c r="AK42" s="31"/>
      <c r="AL42" s="31"/>
      <c r="AM42" s="1"/>
      <c r="AN42" s="31"/>
      <c r="AO42" s="31"/>
      <c r="AP42" s="31"/>
      <c r="AQ42" s="31"/>
      <c r="AR42" s="31"/>
      <c r="AS42" s="60"/>
      <c r="AT42" s="31"/>
      <c r="AU42" s="31"/>
      <c r="AV42" s="31"/>
      <c r="AW42" s="31"/>
      <c r="AX42" s="31"/>
      <c r="AY42" s="31"/>
      <c r="AZ42" s="31"/>
      <c r="BA42" s="31"/>
      <c r="BB42" s="31"/>
      <c r="BC42" s="31"/>
      <c r="BD42" s="31"/>
      <c r="BE42" s="31"/>
      <c r="BF42" s="31"/>
      <c r="BG42" s="31"/>
      <c r="BH42" s="31"/>
    </row>
    <row r="43" spans="1:60" ht="20.25" customHeight="1">
      <c r="A43" s="31"/>
      <c r="B43" s="31"/>
      <c r="C43" s="1"/>
      <c r="D43" s="31"/>
      <c r="E43" s="31"/>
      <c r="F43" s="31"/>
      <c r="G43" s="31"/>
      <c r="H43" s="31"/>
      <c r="I43" s="31"/>
      <c r="J43" s="31"/>
      <c r="K43" s="31"/>
      <c r="L43" s="31"/>
      <c r="M43" s="31"/>
      <c r="N43" s="31"/>
      <c r="O43" s="31"/>
      <c r="P43" s="31"/>
      <c r="Q43" s="58"/>
      <c r="R43" s="59"/>
      <c r="S43" s="59"/>
      <c r="T43" s="59"/>
      <c r="U43" s="59"/>
      <c r="V43" s="59"/>
      <c r="W43" s="31"/>
      <c r="X43" s="31"/>
      <c r="Y43" s="60"/>
      <c r="Z43" s="60"/>
      <c r="AA43" s="31"/>
      <c r="AB43" s="31"/>
      <c r="AC43" s="31"/>
      <c r="AD43" s="31"/>
      <c r="AE43" s="31"/>
      <c r="AF43" s="31"/>
      <c r="AG43" s="31"/>
      <c r="AH43" s="31"/>
      <c r="AI43" s="31"/>
      <c r="AJ43" s="31"/>
      <c r="AK43" s="31"/>
      <c r="AL43" s="31"/>
      <c r="AM43" s="1"/>
      <c r="AN43" s="31"/>
      <c r="AO43" s="31"/>
      <c r="AP43" s="31"/>
      <c r="AQ43" s="31"/>
      <c r="AR43" s="31"/>
      <c r="AS43" s="60"/>
      <c r="AT43" s="31"/>
      <c r="AU43" s="31"/>
      <c r="AV43" s="31"/>
      <c r="AW43" s="31"/>
      <c r="AX43" s="31"/>
      <c r="AY43" s="31"/>
      <c r="AZ43" s="31"/>
      <c r="BA43" s="31"/>
      <c r="BB43" s="31"/>
      <c r="BC43" s="31"/>
      <c r="BD43" s="31"/>
      <c r="BE43" s="31"/>
      <c r="BF43" s="31"/>
      <c r="BG43" s="31"/>
      <c r="BH43" s="31"/>
    </row>
    <row r="44" spans="1:60" ht="20.25" customHeight="1">
      <c r="A44" s="31"/>
      <c r="B44" s="31"/>
      <c r="C44" s="1"/>
      <c r="D44" s="31"/>
      <c r="E44" s="31"/>
      <c r="F44" s="31"/>
      <c r="G44" s="31"/>
      <c r="H44" s="31"/>
      <c r="I44" s="31"/>
      <c r="J44" s="31"/>
      <c r="K44" s="31"/>
      <c r="L44" s="31"/>
      <c r="M44" s="31"/>
      <c r="N44" s="31"/>
      <c r="O44" s="31"/>
      <c r="P44" s="31"/>
      <c r="Q44" s="58"/>
      <c r="R44" s="59"/>
      <c r="S44" s="59"/>
      <c r="T44" s="59"/>
      <c r="U44" s="59"/>
      <c r="V44" s="59"/>
      <c r="W44" s="31"/>
      <c r="X44" s="31"/>
      <c r="Y44" s="60"/>
      <c r="Z44" s="60"/>
      <c r="AA44" s="31"/>
      <c r="AB44" s="31"/>
      <c r="AC44" s="31"/>
      <c r="AD44" s="31"/>
      <c r="AE44" s="31"/>
      <c r="AF44" s="31"/>
      <c r="AG44" s="31"/>
      <c r="AH44" s="31"/>
      <c r="AI44" s="31"/>
      <c r="AJ44" s="31"/>
      <c r="AK44" s="31"/>
      <c r="AL44" s="31"/>
      <c r="AM44" s="1"/>
      <c r="AN44" s="31"/>
      <c r="AO44" s="31"/>
      <c r="AP44" s="31"/>
      <c r="AQ44" s="31"/>
      <c r="AR44" s="31"/>
      <c r="AS44" s="60"/>
      <c r="AT44" s="31"/>
      <c r="AU44" s="31"/>
      <c r="AV44" s="31"/>
      <c r="AW44" s="31"/>
      <c r="AX44" s="31"/>
      <c r="AY44" s="31"/>
      <c r="AZ44" s="31"/>
      <c r="BA44" s="31"/>
      <c r="BB44" s="31"/>
      <c r="BC44" s="31"/>
      <c r="BD44" s="31"/>
      <c r="BE44" s="31"/>
      <c r="BF44" s="31"/>
      <c r="BG44" s="31"/>
      <c r="BH44" s="31"/>
    </row>
    <row r="45" spans="1:60" ht="20.25" customHeight="1">
      <c r="A45" s="31"/>
      <c r="B45" s="31"/>
      <c r="C45" s="1"/>
      <c r="D45" s="31"/>
      <c r="E45" s="31"/>
      <c r="F45" s="31"/>
      <c r="G45" s="31"/>
      <c r="H45" s="31"/>
      <c r="I45" s="31"/>
      <c r="J45" s="31"/>
      <c r="K45" s="31"/>
      <c r="L45" s="31"/>
      <c r="M45" s="31"/>
      <c r="N45" s="31"/>
      <c r="O45" s="31"/>
      <c r="P45" s="31"/>
      <c r="Q45" s="58"/>
      <c r="R45" s="59"/>
      <c r="S45" s="59"/>
      <c r="T45" s="59"/>
      <c r="U45" s="59"/>
      <c r="V45" s="59"/>
      <c r="W45" s="31"/>
      <c r="X45" s="31"/>
      <c r="Y45" s="60"/>
      <c r="Z45" s="60"/>
      <c r="AA45" s="31"/>
      <c r="AB45" s="31"/>
      <c r="AC45" s="31"/>
      <c r="AD45" s="31"/>
      <c r="AE45" s="31"/>
      <c r="AF45" s="31"/>
      <c r="AG45" s="31"/>
      <c r="AH45" s="31"/>
      <c r="AI45" s="31"/>
      <c r="AJ45" s="31"/>
      <c r="AK45" s="31"/>
      <c r="AL45" s="31"/>
      <c r="AM45" s="1"/>
      <c r="AN45" s="31"/>
      <c r="AO45" s="31"/>
      <c r="AP45" s="31"/>
      <c r="AQ45" s="31"/>
      <c r="AR45" s="31"/>
      <c r="AS45" s="60"/>
      <c r="AT45" s="31"/>
      <c r="AU45" s="31"/>
      <c r="AV45" s="31"/>
      <c r="AW45" s="31"/>
      <c r="AX45" s="31"/>
      <c r="AY45" s="31"/>
      <c r="AZ45" s="31"/>
      <c r="BA45" s="31"/>
      <c r="BB45" s="31"/>
      <c r="BC45" s="31"/>
      <c r="BD45" s="31"/>
      <c r="BE45" s="31"/>
      <c r="BF45" s="31"/>
      <c r="BG45" s="31"/>
      <c r="BH45" s="31"/>
    </row>
    <row r="46" spans="1:60" ht="20.25" customHeight="1">
      <c r="A46" s="31"/>
      <c r="B46" s="31"/>
      <c r="C46" s="1"/>
      <c r="D46" s="31"/>
      <c r="E46" s="31"/>
      <c r="F46" s="31"/>
      <c r="G46" s="31"/>
      <c r="H46" s="31"/>
      <c r="I46" s="31"/>
      <c r="J46" s="31"/>
      <c r="K46" s="31"/>
      <c r="L46" s="31"/>
      <c r="M46" s="31"/>
      <c r="N46" s="31"/>
      <c r="O46" s="31"/>
      <c r="P46" s="31"/>
      <c r="Q46" s="58"/>
      <c r="R46" s="59"/>
      <c r="S46" s="59"/>
      <c r="T46" s="59"/>
      <c r="U46" s="59"/>
      <c r="V46" s="59"/>
      <c r="W46" s="31"/>
      <c r="X46" s="31"/>
      <c r="Y46" s="60"/>
      <c r="Z46" s="60"/>
      <c r="AA46" s="31"/>
      <c r="AB46" s="31"/>
      <c r="AC46" s="31"/>
      <c r="AD46" s="31"/>
      <c r="AE46" s="31"/>
      <c r="AF46" s="31"/>
      <c r="AG46" s="31"/>
      <c r="AH46" s="31"/>
      <c r="AI46" s="31"/>
      <c r="AJ46" s="31"/>
      <c r="AK46" s="31"/>
      <c r="AL46" s="31"/>
      <c r="AM46" s="1"/>
      <c r="AN46" s="31"/>
      <c r="AO46" s="31"/>
      <c r="AP46" s="31"/>
      <c r="AQ46" s="31"/>
      <c r="AR46" s="31"/>
      <c r="AS46" s="60"/>
      <c r="AT46" s="31"/>
      <c r="AU46" s="31"/>
      <c r="AV46" s="31"/>
      <c r="AW46" s="31"/>
      <c r="AX46" s="31"/>
      <c r="AY46" s="31"/>
      <c r="AZ46" s="31"/>
      <c r="BA46" s="31"/>
      <c r="BB46" s="31"/>
      <c r="BC46" s="31"/>
      <c r="BD46" s="31"/>
      <c r="BE46" s="31"/>
      <c r="BF46" s="31"/>
      <c r="BG46" s="31"/>
      <c r="BH46" s="31"/>
    </row>
    <row r="47" spans="1:60" ht="20.25" customHeight="1">
      <c r="A47" s="31"/>
      <c r="B47" s="31"/>
      <c r="C47" s="1"/>
      <c r="D47" s="31"/>
      <c r="E47" s="31"/>
      <c r="F47" s="31"/>
      <c r="G47" s="31"/>
      <c r="H47" s="31"/>
      <c r="I47" s="31"/>
      <c r="J47" s="31"/>
      <c r="K47" s="31"/>
      <c r="L47" s="31"/>
      <c r="M47" s="31"/>
      <c r="N47" s="31"/>
      <c r="O47" s="31"/>
      <c r="P47" s="31"/>
      <c r="Q47" s="58"/>
      <c r="R47" s="59"/>
      <c r="S47" s="59"/>
      <c r="T47" s="59"/>
      <c r="U47" s="59"/>
      <c r="V47" s="59"/>
      <c r="W47" s="31"/>
      <c r="X47" s="31"/>
      <c r="Y47" s="60"/>
      <c r="Z47" s="60"/>
      <c r="AA47" s="31"/>
      <c r="AB47" s="31"/>
      <c r="AC47" s="31"/>
      <c r="AD47" s="31"/>
      <c r="AE47" s="31"/>
      <c r="AF47" s="31"/>
      <c r="AG47" s="31"/>
      <c r="AH47" s="31"/>
      <c r="AI47" s="31"/>
      <c r="AJ47" s="31"/>
      <c r="AK47" s="31"/>
      <c r="AL47" s="31"/>
      <c r="AM47" s="1"/>
      <c r="AN47" s="31"/>
      <c r="AO47" s="31"/>
      <c r="AP47" s="31"/>
      <c r="AQ47" s="31"/>
      <c r="AR47" s="31"/>
      <c r="AS47" s="60"/>
      <c r="AT47" s="31"/>
      <c r="AU47" s="31"/>
      <c r="AV47" s="31"/>
      <c r="AW47" s="31"/>
      <c r="AX47" s="31"/>
      <c r="AY47" s="31"/>
      <c r="AZ47" s="31"/>
      <c r="BA47" s="31"/>
      <c r="BB47" s="31"/>
      <c r="BC47" s="31"/>
      <c r="BD47" s="31"/>
      <c r="BE47" s="31"/>
      <c r="BF47" s="31"/>
      <c r="BG47" s="31"/>
      <c r="BH47" s="31"/>
    </row>
    <row r="48" spans="1:60" ht="20.25" customHeight="1">
      <c r="A48" s="31"/>
      <c r="B48" s="31"/>
      <c r="C48" s="1"/>
      <c r="D48" s="31"/>
      <c r="E48" s="31"/>
      <c r="F48" s="31"/>
      <c r="G48" s="31"/>
      <c r="H48" s="31"/>
      <c r="I48" s="31"/>
      <c r="J48" s="31"/>
      <c r="K48" s="31"/>
      <c r="L48" s="31"/>
      <c r="M48" s="31"/>
      <c r="N48" s="31"/>
      <c r="O48" s="31"/>
      <c r="P48" s="31"/>
      <c r="Q48" s="58"/>
      <c r="R48" s="59"/>
      <c r="S48" s="59"/>
      <c r="T48" s="59"/>
      <c r="U48" s="59"/>
      <c r="V48" s="59"/>
      <c r="W48" s="31"/>
      <c r="X48" s="31"/>
      <c r="Y48" s="60"/>
      <c r="Z48" s="60"/>
      <c r="AA48" s="31"/>
      <c r="AB48" s="31"/>
      <c r="AC48" s="31"/>
      <c r="AD48" s="31"/>
      <c r="AE48" s="31"/>
      <c r="AF48" s="31"/>
      <c r="AG48" s="31"/>
      <c r="AH48" s="31"/>
      <c r="AI48" s="31"/>
      <c r="AJ48" s="31"/>
      <c r="AK48" s="31"/>
      <c r="AL48" s="31"/>
      <c r="AM48" s="1"/>
      <c r="AN48" s="31"/>
      <c r="AO48" s="31"/>
      <c r="AP48" s="31"/>
      <c r="AQ48" s="31"/>
      <c r="AR48" s="31"/>
      <c r="AS48" s="60"/>
      <c r="AT48" s="31"/>
      <c r="AU48" s="31"/>
      <c r="AV48" s="31"/>
      <c r="AW48" s="31"/>
      <c r="AX48" s="31"/>
      <c r="AY48" s="31"/>
      <c r="AZ48" s="31"/>
      <c r="BA48" s="31"/>
      <c r="BB48" s="31"/>
      <c r="BC48" s="31"/>
      <c r="BD48" s="31"/>
      <c r="BE48" s="31"/>
      <c r="BF48" s="31"/>
      <c r="BG48" s="31"/>
      <c r="BH48" s="31"/>
    </row>
    <row r="49" spans="1:60" ht="20.25" customHeight="1">
      <c r="A49" s="31"/>
      <c r="B49" s="31"/>
      <c r="C49" s="1"/>
      <c r="D49" s="31"/>
      <c r="E49" s="31"/>
      <c r="F49" s="31"/>
      <c r="G49" s="31"/>
      <c r="H49" s="31"/>
      <c r="I49" s="31"/>
      <c r="J49" s="31"/>
      <c r="K49" s="31"/>
      <c r="L49" s="31"/>
      <c r="M49" s="31"/>
      <c r="N49" s="31"/>
      <c r="O49" s="31"/>
      <c r="P49" s="31"/>
      <c r="Q49" s="58"/>
      <c r="R49" s="59"/>
      <c r="S49" s="59"/>
      <c r="T49" s="59"/>
      <c r="U49" s="59"/>
      <c r="V49" s="59"/>
      <c r="W49" s="31"/>
      <c r="X49" s="31"/>
      <c r="Y49" s="60"/>
      <c r="Z49" s="60"/>
      <c r="AA49" s="31"/>
      <c r="AB49" s="31"/>
      <c r="AC49" s="31"/>
      <c r="AD49" s="31"/>
      <c r="AE49" s="31"/>
      <c r="AF49" s="31"/>
      <c r="AG49" s="31"/>
      <c r="AH49" s="31"/>
      <c r="AI49" s="31"/>
      <c r="AJ49" s="31"/>
      <c r="AK49" s="31"/>
      <c r="AL49" s="31"/>
      <c r="AM49" s="1"/>
      <c r="AN49" s="31"/>
      <c r="AO49" s="31"/>
      <c r="AP49" s="31"/>
      <c r="AQ49" s="31"/>
      <c r="AR49" s="31"/>
      <c r="AS49" s="60"/>
      <c r="AT49" s="31"/>
      <c r="AU49" s="31"/>
      <c r="AV49" s="31"/>
      <c r="AW49" s="31"/>
      <c r="AX49" s="31"/>
      <c r="AY49" s="31"/>
      <c r="AZ49" s="31"/>
      <c r="BA49" s="31"/>
      <c r="BB49" s="31"/>
      <c r="BC49" s="31"/>
      <c r="BD49" s="31"/>
      <c r="BE49" s="31"/>
      <c r="BF49" s="31"/>
      <c r="BG49" s="31"/>
      <c r="BH49" s="31"/>
    </row>
    <row r="50" spans="1:60" ht="20.25" customHeight="1">
      <c r="A50" s="31"/>
      <c r="B50" s="31"/>
      <c r="C50" s="1"/>
      <c r="D50" s="31"/>
      <c r="E50" s="31"/>
      <c r="F50" s="31"/>
      <c r="G50" s="31"/>
      <c r="H50" s="31"/>
      <c r="I50" s="31"/>
      <c r="J50" s="31"/>
      <c r="K50" s="31"/>
      <c r="L50" s="31"/>
      <c r="M50" s="31"/>
      <c r="N50" s="31"/>
      <c r="O50" s="31"/>
      <c r="P50" s="31"/>
      <c r="Q50" s="58"/>
      <c r="R50" s="59"/>
      <c r="S50" s="59"/>
      <c r="T50" s="59"/>
      <c r="U50" s="59"/>
      <c r="V50" s="59"/>
      <c r="W50" s="31"/>
      <c r="X50" s="31"/>
      <c r="Y50" s="60"/>
      <c r="Z50" s="60"/>
      <c r="AA50" s="31"/>
      <c r="AB50" s="31"/>
      <c r="AC50" s="31"/>
      <c r="AD50" s="31"/>
      <c r="AE50" s="31"/>
      <c r="AF50" s="31"/>
      <c r="AG50" s="31"/>
      <c r="AH50" s="31"/>
      <c r="AI50" s="31"/>
      <c r="AJ50" s="31"/>
      <c r="AK50" s="31"/>
      <c r="AL50" s="31"/>
      <c r="AM50" s="1"/>
      <c r="AN50" s="31"/>
      <c r="AO50" s="31"/>
      <c r="AP50" s="31"/>
      <c r="AQ50" s="31"/>
      <c r="AR50" s="31"/>
      <c r="AS50" s="60"/>
      <c r="AT50" s="31"/>
      <c r="AU50" s="31"/>
      <c r="AV50" s="31"/>
      <c r="AW50" s="31"/>
      <c r="AX50" s="31"/>
      <c r="AY50" s="31"/>
      <c r="AZ50" s="31"/>
      <c r="BA50" s="31"/>
      <c r="BB50" s="31"/>
      <c r="BC50" s="31"/>
      <c r="BD50" s="31"/>
      <c r="BE50" s="31"/>
      <c r="BF50" s="31"/>
      <c r="BG50" s="31"/>
      <c r="BH50" s="31"/>
    </row>
    <row r="51" spans="1:60" ht="20.25" customHeight="1">
      <c r="A51" s="31"/>
      <c r="B51" s="31"/>
      <c r="C51" s="1"/>
      <c r="D51" s="31"/>
      <c r="E51" s="31"/>
      <c r="F51" s="31"/>
      <c r="G51" s="31"/>
      <c r="H51" s="31"/>
      <c r="I51" s="31"/>
      <c r="J51" s="31"/>
      <c r="K51" s="31"/>
      <c r="L51" s="31"/>
      <c r="M51" s="31"/>
      <c r="N51" s="31"/>
      <c r="O51" s="31"/>
      <c r="P51" s="31"/>
      <c r="Q51" s="58"/>
      <c r="R51" s="59"/>
      <c r="S51" s="59"/>
      <c r="T51" s="59"/>
      <c r="U51" s="59"/>
      <c r="V51" s="59"/>
      <c r="W51" s="31"/>
      <c r="X51" s="31"/>
      <c r="Y51" s="60"/>
      <c r="Z51" s="60"/>
      <c r="AA51" s="31"/>
      <c r="AB51" s="31"/>
      <c r="AC51" s="31"/>
      <c r="AD51" s="31"/>
      <c r="AE51" s="31"/>
      <c r="AF51" s="31"/>
      <c r="AG51" s="31"/>
      <c r="AH51" s="31"/>
      <c r="AI51" s="31"/>
      <c r="AJ51" s="31"/>
      <c r="AK51" s="31"/>
      <c r="AL51" s="31"/>
      <c r="AM51" s="1"/>
      <c r="AN51" s="31"/>
      <c r="AO51" s="31"/>
      <c r="AP51" s="31"/>
      <c r="AQ51" s="31"/>
      <c r="AR51" s="31"/>
      <c r="AS51" s="60"/>
      <c r="AT51" s="31"/>
      <c r="AU51" s="31"/>
      <c r="AV51" s="31"/>
      <c r="AW51" s="31"/>
      <c r="AX51" s="31"/>
      <c r="AY51" s="31"/>
      <c r="AZ51" s="31"/>
      <c r="BA51" s="31"/>
      <c r="BB51" s="31"/>
      <c r="BC51" s="31"/>
      <c r="BD51" s="31"/>
      <c r="BE51" s="31"/>
      <c r="BF51" s="31"/>
      <c r="BG51" s="31"/>
      <c r="BH51" s="31"/>
    </row>
    <row r="52" spans="1:60" ht="20.25" customHeight="1">
      <c r="A52" s="31"/>
      <c r="B52" s="31"/>
      <c r="C52" s="1"/>
      <c r="D52" s="31"/>
      <c r="E52" s="31"/>
      <c r="F52" s="31"/>
      <c r="G52" s="31"/>
      <c r="H52" s="31"/>
      <c r="I52" s="31"/>
      <c r="J52" s="31"/>
      <c r="K52" s="31"/>
      <c r="L52" s="31"/>
      <c r="M52" s="31"/>
      <c r="N52" s="31"/>
      <c r="O52" s="31"/>
      <c r="P52" s="31"/>
      <c r="Q52" s="58"/>
      <c r="R52" s="59"/>
      <c r="S52" s="59"/>
      <c r="T52" s="59"/>
      <c r="U52" s="59"/>
      <c r="V52" s="59"/>
      <c r="W52" s="31"/>
      <c r="X52" s="31"/>
      <c r="Y52" s="60"/>
      <c r="Z52" s="60"/>
      <c r="AA52" s="31"/>
      <c r="AB52" s="31"/>
      <c r="AC52" s="31"/>
      <c r="AD52" s="31"/>
      <c r="AE52" s="31"/>
      <c r="AF52" s="31"/>
      <c r="AG52" s="31"/>
      <c r="AH52" s="31"/>
      <c r="AI52" s="31"/>
      <c r="AJ52" s="31"/>
      <c r="AK52" s="31"/>
      <c r="AL52" s="31"/>
      <c r="AM52" s="1"/>
      <c r="AN52" s="31"/>
      <c r="AO52" s="31"/>
      <c r="AP52" s="31"/>
      <c r="AQ52" s="31"/>
      <c r="AR52" s="31"/>
      <c r="AS52" s="60"/>
      <c r="AT52" s="31"/>
      <c r="AU52" s="31"/>
      <c r="AV52" s="31"/>
      <c r="AW52" s="31"/>
      <c r="AX52" s="31"/>
      <c r="AY52" s="31"/>
      <c r="AZ52" s="31"/>
      <c r="BA52" s="31"/>
      <c r="BB52" s="31"/>
      <c r="BC52" s="31"/>
      <c r="BD52" s="31"/>
      <c r="BE52" s="31"/>
      <c r="BF52" s="31"/>
      <c r="BG52" s="31"/>
      <c r="BH52" s="31"/>
    </row>
    <row r="53" spans="1:60" ht="20.25" customHeight="1">
      <c r="A53" s="31"/>
      <c r="B53" s="31"/>
      <c r="C53" s="1"/>
      <c r="D53" s="31"/>
      <c r="E53" s="31"/>
      <c r="F53" s="31"/>
      <c r="G53" s="31"/>
      <c r="H53" s="31"/>
      <c r="I53" s="31"/>
      <c r="J53" s="31"/>
      <c r="K53" s="31"/>
      <c r="L53" s="31"/>
      <c r="M53" s="31"/>
      <c r="N53" s="31"/>
      <c r="O53" s="31"/>
      <c r="P53" s="31"/>
      <c r="Q53" s="58"/>
      <c r="R53" s="59"/>
      <c r="S53" s="59"/>
      <c r="T53" s="59"/>
      <c r="U53" s="59"/>
      <c r="V53" s="59"/>
      <c r="W53" s="31"/>
      <c r="X53" s="31"/>
      <c r="Y53" s="60"/>
      <c r="Z53" s="60"/>
      <c r="AA53" s="31"/>
      <c r="AB53" s="31"/>
      <c r="AC53" s="31"/>
      <c r="AD53" s="31"/>
      <c r="AE53" s="31"/>
      <c r="AF53" s="31"/>
      <c r="AG53" s="31"/>
      <c r="AH53" s="31"/>
      <c r="AI53" s="31"/>
      <c r="AJ53" s="31"/>
      <c r="AK53" s="31"/>
      <c r="AL53" s="31"/>
      <c r="AM53" s="1"/>
      <c r="AN53" s="31"/>
      <c r="AO53" s="31"/>
      <c r="AP53" s="31"/>
      <c r="AQ53" s="31"/>
      <c r="AR53" s="31"/>
      <c r="AS53" s="60"/>
      <c r="AT53" s="31"/>
      <c r="AU53" s="31"/>
      <c r="AV53" s="31"/>
      <c r="AW53" s="31"/>
      <c r="AX53" s="31"/>
      <c r="AY53" s="31"/>
      <c r="AZ53" s="31"/>
      <c r="BA53" s="31"/>
      <c r="BB53" s="31"/>
      <c r="BC53" s="31"/>
      <c r="BD53" s="31"/>
      <c r="BE53" s="31"/>
      <c r="BF53" s="31"/>
      <c r="BG53" s="31"/>
      <c r="BH53" s="31"/>
    </row>
    <row r="54" spans="1:60" ht="20.25" customHeight="1">
      <c r="A54" s="31"/>
      <c r="B54" s="31"/>
      <c r="C54" s="1"/>
      <c r="D54" s="31"/>
      <c r="E54" s="31"/>
      <c r="F54" s="31"/>
      <c r="G54" s="31"/>
      <c r="H54" s="31"/>
      <c r="I54" s="31"/>
      <c r="J54" s="31"/>
      <c r="K54" s="31"/>
      <c r="L54" s="31"/>
      <c r="M54" s="31"/>
      <c r="N54" s="31"/>
      <c r="O54" s="31"/>
      <c r="P54" s="31"/>
      <c r="Q54" s="58"/>
      <c r="R54" s="59"/>
      <c r="S54" s="59"/>
      <c r="T54" s="59"/>
      <c r="U54" s="59"/>
      <c r="V54" s="59"/>
      <c r="W54" s="31"/>
      <c r="X54" s="31"/>
      <c r="Y54" s="60"/>
      <c r="Z54" s="60"/>
      <c r="AA54" s="31"/>
      <c r="AB54" s="31"/>
      <c r="AC54" s="31"/>
      <c r="AD54" s="31"/>
      <c r="AE54" s="31"/>
      <c r="AF54" s="31"/>
      <c r="AG54" s="31"/>
      <c r="AH54" s="31"/>
      <c r="AI54" s="31"/>
      <c r="AJ54" s="31"/>
      <c r="AK54" s="31"/>
      <c r="AL54" s="31"/>
      <c r="AM54" s="1"/>
      <c r="AN54" s="31"/>
      <c r="AO54" s="31"/>
      <c r="AP54" s="31"/>
      <c r="AQ54" s="31"/>
      <c r="AR54" s="31"/>
      <c r="AS54" s="60"/>
      <c r="AT54" s="31"/>
      <c r="AU54" s="31"/>
      <c r="AV54" s="31"/>
      <c r="AW54" s="31"/>
      <c r="AX54" s="31"/>
      <c r="AY54" s="31"/>
      <c r="AZ54" s="31"/>
      <c r="BA54" s="31"/>
      <c r="BB54" s="31"/>
      <c r="BC54" s="31"/>
      <c r="BD54" s="31"/>
      <c r="BE54" s="31"/>
      <c r="BF54" s="31"/>
      <c r="BG54" s="31"/>
      <c r="BH54" s="31"/>
    </row>
    <row r="55" spans="1:60" ht="20.25" customHeight="1">
      <c r="A55" s="31"/>
      <c r="B55" s="31"/>
      <c r="C55" s="1"/>
      <c r="D55" s="31"/>
      <c r="E55" s="31"/>
      <c r="F55" s="31"/>
      <c r="G55" s="31"/>
      <c r="H55" s="31"/>
      <c r="I55" s="31"/>
      <c r="J55" s="31"/>
      <c r="K55" s="31"/>
      <c r="L55" s="31"/>
      <c r="M55" s="31"/>
      <c r="N55" s="31"/>
      <c r="O55" s="31"/>
      <c r="P55" s="31"/>
      <c r="Q55" s="58"/>
      <c r="R55" s="59"/>
      <c r="S55" s="59"/>
      <c r="T55" s="59"/>
      <c r="U55" s="59"/>
      <c r="V55" s="59"/>
      <c r="W55" s="31"/>
      <c r="X55" s="31"/>
      <c r="Y55" s="60"/>
      <c r="Z55" s="60"/>
      <c r="AA55" s="31"/>
      <c r="AB55" s="31"/>
      <c r="AC55" s="31"/>
      <c r="AD55" s="31"/>
      <c r="AE55" s="31"/>
      <c r="AF55" s="31"/>
      <c r="AG55" s="31"/>
      <c r="AH55" s="31"/>
      <c r="AI55" s="31"/>
      <c r="AJ55" s="31"/>
      <c r="AK55" s="31"/>
      <c r="AL55" s="31"/>
      <c r="AM55" s="1"/>
      <c r="AN55" s="31"/>
      <c r="AO55" s="31"/>
      <c r="AP55" s="31"/>
      <c r="AQ55" s="31"/>
      <c r="AR55" s="31"/>
      <c r="AS55" s="60"/>
      <c r="AT55" s="31"/>
      <c r="AU55" s="31"/>
      <c r="AV55" s="31"/>
      <c r="AW55" s="31"/>
      <c r="AX55" s="31"/>
      <c r="AY55" s="31"/>
      <c r="AZ55" s="31"/>
      <c r="BA55" s="31"/>
      <c r="BB55" s="31"/>
      <c r="BC55" s="31"/>
      <c r="BD55" s="31"/>
      <c r="BE55" s="31"/>
      <c r="BF55" s="31"/>
      <c r="BG55" s="31"/>
      <c r="BH55" s="31"/>
    </row>
    <row r="56" spans="1:60" ht="20.25" customHeight="1">
      <c r="A56" s="31"/>
      <c r="B56" s="31"/>
      <c r="C56" s="1"/>
      <c r="D56" s="31"/>
      <c r="E56" s="31"/>
      <c r="F56" s="31"/>
      <c r="G56" s="31"/>
      <c r="H56" s="31"/>
      <c r="I56" s="31"/>
      <c r="J56" s="31"/>
      <c r="K56" s="31"/>
      <c r="L56" s="31"/>
      <c r="M56" s="31"/>
      <c r="N56" s="31"/>
      <c r="O56" s="31"/>
      <c r="P56" s="31"/>
      <c r="Q56" s="58"/>
      <c r="R56" s="59"/>
      <c r="S56" s="59"/>
      <c r="T56" s="59"/>
      <c r="U56" s="59"/>
      <c r="V56" s="59"/>
      <c r="W56" s="31"/>
      <c r="X56" s="31"/>
      <c r="Y56" s="60"/>
      <c r="Z56" s="60"/>
      <c r="AA56" s="31"/>
      <c r="AB56" s="31"/>
      <c r="AC56" s="31"/>
      <c r="AD56" s="31"/>
      <c r="AE56" s="31"/>
      <c r="AF56" s="31"/>
      <c r="AG56" s="31"/>
      <c r="AH56" s="31"/>
      <c r="AI56" s="31"/>
      <c r="AJ56" s="31"/>
      <c r="AK56" s="31"/>
      <c r="AL56" s="31"/>
      <c r="AM56" s="1"/>
      <c r="AN56" s="31"/>
      <c r="AO56" s="31"/>
      <c r="AP56" s="31"/>
      <c r="AQ56" s="31"/>
      <c r="AR56" s="31"/>
      <c r="AS56" s="60"/>
      <c r="AT56" s="31"/>
      <c r="AU56" s="31"/>
      <c r="AV56" s="31"/>
      <c r="AW56" s="31"/>
      <c r="AX56" s="31"/>
      <c r="AY56" s="31"/>
      <c r="AZ56" s="31"/>
      <c r="BA56" s="31"/>
      <c r="BB56" s="31"/>
      <c r="BC56" s="31"/>
      <c r="BD56" s="31"/>
      <c r="BE56" s="31"/>
      <c r="BF56" s="31"/>
      <c r="BG56" s="31"/>
      <c r="BH56" s="31"/>
    </row>
    <row r="57" spans="1:60" ht="20.25" customHeight="1">
      <c r="A57" s="31"/>
      <c r="B57" s="31"/>
      <c r="C57" s="1"/>
      <c r="D57" s="31"/>
      <c r="E57" s="31"/>
      <c r="F57" s="31"/>
      <c r="G57" s="31"/>
      <c r="H57" s="31"/>
      <c r="I57" s="31"/>
      <c r="J57" s="31"/>
      <c r="K57" s="31"/>
      <c r="L57" s="31"/>
      <c r="M57" s="31"/>
      <c r="N57" s="31"/>
      <c r="O57" s="31"/>
      <c r="P57" s="31"/>
      <c r="Q57" s="58"/>
      <c r="R57" s="59"/>
      <c r="S57" s="59"/>
      <c r="T57" s="59"/>
      <c r="U57" s="59"/>
      <c r="V57" s="59"/>
      <c r="W57" s="31"/>
      <c r="X57" s="31"/>
      <c r="Y57" s="60"/>
      <c r="Z57" s="60"/>
      <c r="AA57" s="31"/>
      <c r="AB57" s="31"/>
      <c r="AC57" s="31"/>
      <c r="AD57" s="31"/>
      <c r="AE57" s="31"/>
      <c r="AF57" s="31"/>
      <c r="AG57" s="31"/>
      <c r="AH57" s="31"/>
      <c r="AI57" s="31"/>
      <c r="AJ57" s="31"/>
      <c r="AK57" s="31"/>
      <c r="AL57" s="31"/>
      <c r="AM57" s="1"/>
      <c r="AN57" s="31"/>
      <c r="AO57" s="31"/>
      <c r="AP57" s="31"/>
      <c r="AQ57" s="31"/>
      <c r="AR57" s="31"/>
      <c r="AS57" s="60"/>
      <c r="AT57" s="31"/>
      <c r="AU57" s="31"/>
      <c r="AV57" s="31"/>
      <c r="AW57" s="31"/>
      <c r="AX57" s="31"/>
      <c r="AY57" s="31"/>
      <c r="AZ57" s="31"/>
      <c r="BA57" s="31"/>
      <c r="BB57" s="31"/>
      <c r="BC57" s="31"/>
      <c r="BD57" s="31"/>
      <c r="BE57" s="31"/>
      <c r="BF57" s="31"/>
      <c r="BG57" s="31"/>
      <c r="BH57" s="31"/>
    </row>
    <row r="58" spans="1:60" ht="20.25" customHeight="1">
      <c r="A58" s="31"/>
      <c r="B58" s="31"/>
      <c r="C58" s="1"/>
      <c r="D58" s="31"/>
      <c r="E58" s="31"/>
      <c r="F58" s="31"/>
      <c r="G58" s="31"/>
      <c r="H58" s="31"/>
      <c r="I58" s="31"/>
      <c r="J58" s="31"/>
      <c r="K58" s="31"/>
      <c r="L58" s="31"/>
      <c r="M58" s="31"/>
      <c r="N58" s="31"/>
      <c r="O58" s="31"/>
      <c r="P58" s="31"/>
      <c r="Q58" s="58"/>
      <c r="R58" s="59"/>
      <c r="S58" s="59"/>
      <c r="T58" s="59"/>
      <c r="U58" s="59"/>
      <c r="V58" s="59"/>
      <c r="W58" s="31"/>
      <c r="X58" s="31"/>
      <c r="Y58" s="60"/>
      <c r="Z58" s="60"/>
      <c r="AA58" s="31"/>
      <c r="AB58" s="31"/>
      <c r="AC58" s="31"/>
      <c r="AD58" s="31"/>
      <c r="AE58" s="31"/>
      <c r="AF58" s="31"/>
      <c r="AG58" s="31"/>
      <c r="AH58" s="31"/>
      <c r="AI58" s="31"/>
      <c r="AJ58" s="31"/>
      <c r="AK58" s="31"/>
      <c r="AL58" s="31"/>
      <c r="AM58" s="1"/>
      <c r="AN58" s="31"/>
      <c r="AO58" s="31"/>
      <c r="AP58" s="31"/>
      <c r="AQ58" s="31"/>
      <c r="AR58" s="31"/>
      <c r="AS58" s="60"/>
      <c r="AT58" s="31"/>
      <c r="AU58" s="31"/>
      <c r="AV58" s="31"/>
      <c r="AW58" s="31"/>
      <c r="AX58" s="31"/>
      <c r="AY58" s="31"/>
      <c r="AZ58" s="31"/>
      <c r="BA58" s="31"/>
      <c r="BB58" s="31"/>
      <c r="BC58" s="31"/>
      <c r="BD58" s="31"/>
      <c r="BE58" s="31"/>
      <c r="BF58" s="31"/>
      <c r="BG58" s="31"/>
      <c r="BH58" s="31"/>
    </row>
    <row r="59" spans="1:60" ht="20.25" customHeight="1">
      <c r="A59" s="31"/>
      <c r="B59" s="31"/>
      <c r="C59" s="1"/>
      <c r="D59" s="31"/>
      <c r="E59" s="31"/>
      <c r="F59" s="31"/>
      <c r="G59" s="31"/>
      <c r="H59" s="31"/>
      <c r="I59" s="31"/>
      <c r="J59" s="31"/>
      <c r="K59" s="31"/>
      <c r="L59" s="31"/>
      <c r="M59" s="31"/>
      <c r="N59" s="31"/>
      <c r="O59" s="31"/>
      <c r="P59" s="31"/>
      <c r="Q59" s="58"/>
      <c r="R59" s="59"/>
      <c r="S59" s="59"/>
      <c r="T59" s="59"/>
      <c r="U59" s="59"/>
      <c r="V59" s="59"/>
      <c r="W59" s="31"/>
      <c r="X59" s="31"/>
      <c r="Y59" s="60"/>
      <c r="Z59" s="60"/>
      <c r="AA59" s="31"/>
      <c r="AB59" s="31"/>
      <c r="AC59" s="31"/>
      <c r="AD59" s="31"/>
      <c r="AE59" s="31"/>
      <c r="AF59" s="31"/>
      <c r="AG59" s="31"/>
      <c r="AH59" s="31"/>
      <c r="AI59" s="31"/>
      <c r="AJ59" s="31"/>
      <c r="AK59" s="31"/>
      <c r="AL59" s="31"/>
      <c r="AM59" s="1"/>
      <c r="AN59" s="31"/>
      <c r="AO59" s="31"/>
      <c r="AP59" s="31"/>
      <c r="AQ59" s="31"/>
      <c r="AR59" s="31"/>
      <c r="AS59" s="60"/>
      <c r="AT59" s="31"/>
      <c r="AU59" s="31"/>
      <c r="AV59" s="31"/>
      <c r="AW59" s="31"/>
      <c r="AX59" s="31"/>
      <c r="AY59" s="31"/>
      <c r="AZ59" s="31"/>
      <c r="BA59" s="31"/>
      <c r="BB59" s="31"/>
      <c r="BC59" s="31"/>
      <c r="BD59" s="31"/>
      <c r="BE59" s="31"/>
      <c r="BF59" s="31"/>
      <c r="BG59" s="31"/>
      <c r="BH59" s="31"/>
    </row>
    <row r="60" spans="1:60" ht="20.25" customHeight="1">
      <c r="A60" s="31"/>
      <c r="B60" s="31"/>
      <c r="C60" s="1"/>
      <c r="D60" s="31"/>
      <c r="E60" s="31"/>
      <c r="F60" s="31"/>
      <c r="G60" s="31"/>
      <c r="H60" s="31"/>
      <c r="I60" s="31"/>
      <c r="J60" s="31"/>
      <c r="K60" s="31"/>
      <c r="L60" s="31"/>
      <c r="M60" s="31"/>
      <c r="N60" s="31"/>
      <c r="O60" s="31"/>
      <c r="P60" s="31"/>
      <c r="Q60" s="58"/>
      <c r="R60" s="59"/>
      <c r="S60" s="59"/>
      <c r="T60" s="59"/>
      <c r="U60" s="59"/>
      <c r="V60" s="59"/>
      <c r="W60" s="31"/>
      <c r="X60" s="31"/>
      <c r="Y60" s="60"/>
      <c r="Z60" s="60"/>
      <c r="AA60" s="31"/>
      <c r="AB60" s="31"/>
      <c r="AC60" s="31"/>
      <c r="AD60" s="31"/>
      <c r="AE60" s="31"/>
      <c r="AF60" s="31"/>
      <c r="AG60" s="31"/>
      <c r="AH60" s="31"/>
      <c r="AI60" s="31"/>
      <c r="AJ60" s="31"/>
      <c r="AK60" s="31"/>
      <c r="AL60" s="31"/>
      <c r="AM60" s="1"/>
      <c r="AN60" s="31"/>
      <c r="AO60" s="31"/>
      <c r="AP60" s="31"/>
      <c r="AQ60" s="31"/>
      <c r="AR60" s="31"/>
      <c r="AS60" s="60"/>
      <c r="AT60" s="31"/>
      <c r="AU60" s="31"/>
      <c r="AV60" s="31"/>
      <c r="AW60" s="31"/>
      <c r="AX60" s="31"/>
      <c r="AY60" s="31"/>
      <c r="AZ60" s="31"/>
      <c r="BA60" s="31"/>
      <c r="BB60" s="31"/>
      <c r="BC60" s="31"/>
      <c r="BD60" s="31"/>
      <c r="BE60" s="31"/>
      <c r="BF60" s="31"/>
      <c r="BG60" s="31"/>
      <c r="BH60" s="31"/>
    </row>
    <row r="61" spans="1:60" ht="20.25" customHeight="1">
      <c r="A61" s="31"/>
      <c r="B61" s="31"/>
      <c r="C61" s="1"/>
      <c r="D61" s="31"/>
      <c r="E61" s="31"/>
      <c r="F61" s="31"/>
      <c r="G61" s="31"/>
      <c r="H61" s="31"/>
      <c r="I61" s="31"/>
      <c r="J61" s="31"/>
      <c r="K61" s="31"/>
      <c r="L61" s="31"/>
      <c r="M61" s="31"/>
      <c r="N61" s="31"/>
      <c r="O61" s="31"/>
      <c r="P61" s="31"/>
      <c r="Q61" s="58"/>
      <c r="R61" s="59"/>
      <c r="S61" s="59"/>
      <c r="T61" s="59"/>
      <c r="U61" s="59"/>
      <c r="V61" s="59"/>
      <c r="W61" s="31"/>
      <c r="X61" s="31"/>
      <c r="Y61" s="60"/>
      <c r="Z61" s="60"/>
      <c r="AA61" s="31"/>
      <c r="AB61" s="31"/>
      <c r="AC61" s="31"/>
      <c r="AD61" s="31"/>
      <c r="AE61" s="31"/>
      <c r="AF61" s="31"/>
      <c r="AG61" s="31"/>
      <c r="AH61" s="31"/>
      <c r="AI61" s="31"/>
      <c r="AJ61" s="31"/>
      <c r="AK61" s="31"/>
      <c r="AL61" s="31"/>
      <c r="AM61" s="1"/>
      <c r="AN61" s="31"/>
      <c r="AO61" s="31"/>
      <c r="AP61" s="31"/>
      <c r="AQ61" s="31"/>
      <c r="AR61" s="31"/>
      <c r="AS61" s="60"/>
      <c r="AT61" s="31"/>
      <c r="AU61" s="31"/>
      <c r="AV61" s="31"/>
      <c r="AW61" s="31"/>
      <c r="AX61" s="31"/>
      <c r="AY61" s="31"/>
      <c r="AZ61" s="31"/>
      <c r="BA61" s="31"/>
      <c r="BB61" s="31"/>
      <c r="BC61" s="31"/>
      <c r="BD61" s="31"/>
      <c r="BE61" s="31"/>
      <c r="BF61" s="31"/>
      <c r="BG61" s="31"/>
      <c r="BH61" s="31"/>
    </row>
    <row r="62" spans="1:60" ht="20.25" customHeight="1">
      <c r="A62" s="31"/>
      <c r="B62" s="31"/>
      <c r="C62" s="1"/>
      <c r="D62" s="31"/>
      <c r="E62" s="31"/>
      <c r="F62" s="31"/>
      <c r="G62" s="31"/>
      <c r="H62" s="31"/>
      <c r="I62" s="31"/>
      <c r="J62" s="31"/>
      <c r="K62" s="31"/>
      <c r="L62" s="31"/>
      <c r="M62" s="31"/>
      <c r="N62" s="31"/>
      <c r="O62" s="31"/>
      <c r="P62" s="31"/>
      <c r="Q62" s="58"/>
      <c r="R62" s="59"/>
      <c r="S62" s="59"/>
      <c r="T62" s="59"/>
      <c r="U62" s="59"/>
      <c r="V62" s="59"/>
      <c r="W62" s="31"/>
      <c r="X62" s="31"/>
      <c r="Y62" s="60"/>
      <c r="Z62" s="60"/>
      <c r="AA62" s="31"/>
      <c r="AB62" s="31"/>
      <c r="AC62" s="31"/>
      <c r="AD62" s="31"/>
      <c r="AE62" s="31"/>
      <c r="AF62" s="31"/>
      <c r="AG62" s="31"/>
      <c r="AH62" s="31"/>
      <c r="AI62" s="31"/>
      <c r="AJ62" s="31"/>
      <c r="AK62" s="31"/>
      <c r="AL62" s="31"/>
      <c r="AM62" s="1"/>
      <c r="AN62" s="31"/>
      <c r="AO62" s="31"/>
      <c r="AP62" s="31"/>
      <c r="AQ62" s="31"/>
      <c r="AR62" s="31"/>
      <c r="AS62" s="60"/>
      <c r="AT62" s="31"/>
      <c r="AU62" s="31"/>
      <c r="AV62" s="31"/>
      <c r="AW62" s="31"/>
      <c r="AX62" s="31"/>
      <c r="AY62" s="31"/>
      <c r="AZ62" s="31"/>
      <c r="BA62" s="31"/>
      <c r="BB62" s="31"/>
      <c r="BC62" s="31"/>
      <c r="BD62" s="31"/>
      <c r="BE62" s="31"/>
      <c r="BF62" s="31"/>
      <c r="BG62" s="31"/>
      <c r="BH62" s="31"/>
    </row>
    <row r="63" spans="1:60" ht="20.25" customHeight="1">
      <c r="A63" s="31"/>
      <c r="B63" s="31"/>
      <c r="C63" s="1"/>
      <c r="D63" s="31"/>
      <c r="E63" s="31"/>
      <c r="F63" s="31"/>
      <c r="G63" s="31"/>
      <c r="H63" s="31"/>
      <c r="I63" s="31"/>
      <c r="J63" s="31"/>
      <c r="K63" s="31"/>
      <c r="L63" s="31"/>
      <c r="M63" s="31"/>
      <c r="N63" s="31"/>
      <c r="O63" s="31"/>
      <c r="P63" s="31"/>
      <c r="Q63" s="58"/>
      <c r="R63" s="59"/>
      <c r="S63" s="59"/>
      <c r="T63" s="59"/>
      <c r="U63" s="59"/>
      <c r="V63" s="59"/>
      <c r="W63" s="31"/>
      <c r="X63" s="31"/>
      <c r="Y63" s="60"/>
      <c r="Z63" s="60"/>
      <c r="AA63" s="31"/>
      <c r="AB63" s="31"/>
      <c r="AC63" s="31"/>
      <c r="AD63" s="31"/>
      <c r="AE63" s="31"/>
      <c r="AF63" s="31"/>
      <c r="AG63" s="31"/>
      <c r="AH63" s="31"/>
      <c r="AI63" s="31"/>
      <c r="AJ63" s="31"/>
      <c r="AK63" s="31"/>
      <c r="AL63" s="31"/>
      <c r="AM63" s="1"/>
      <c r="AN63" s="31"/>
      <c r="AO63" s="31"/>
      <c r="AP63" s="31"/>
      <c r="AQ63" s="31"/>
      <c r="AR63" s="31"/>
      <c r="AS63" s="60"/>
      <c r="AT63" s="31"/>
      <c r="AU63" s="31"/>
      <c r="AV63" s="31"/>
      <c r="AW63" s="31"/>
      <c r="AX63" s="31"/>
      <c r="AY63" s="31"/>
      <c r="AZ63" s="31"/>
      <c r="BA63" s="31"/>
      <c r="BB63" s="31"/>
      <c r="BC63" s="31"/>
      <c r="BD63" s="31"/>
      <c r="BE63" s="31"/>
      <c r="BF63" s="31"/>
      <c r="BG63" s="31"/>
      <c r="BH63" s="31"/>
    </row>
    <row r="64" spans="1:60" ht="20.25" customHeight="1">
      <c r="A64" s="31"/>
      <c r="B64" s="31"/>
      <c r="C64" s="1"/>
      <c r="D64" s="31"/>
      <c r="E64" s="31"/>
      <c r="F64" s="31"/>
      <c r="G64" s="31"/>
      <c r="H64" s="31"/>
      <c r="I64" s="31"/>
      <c r="J64" s="31"/>
      <c r="K64" s="31"/>
      <c r="L64" s="31"/>
      <c r="M64" s="31"/>
      <c r="N64" s="31"/>
      <c r="O64" s="31"/>
      <c r="P64" s="31"/>
      <c r="Q64" s="58"/>
      <c r="R64" s="59"/>
      <c r="S64" s="59"/>
      <c r="T64" s="59"/>
      <c r="U64" s="59"/>
      <c r="V64" s="59"/>
      <c r="W64" s="31"/>
      <c r="X64" s="31"/>
      <c r="Y64" s="60"/>
      <c r="Z64" s="60"/>
      <c r="AA64" s="31"/>
      <c r="AB64" s="31"/>
      <c r="AC64" s="31"/>
      <c r="AD64" s="31"/>
      <c r="AE64" s="31"/>
      <c r="AF64" s="31"/>
      <c r="AG64" s="31"/>
      <c r="AH64" s="31"/>
      <c r="AI64" s="31"/>
      <c r="AJ64" s="31"/>
      <c r="AK64" s="31"/>
      <c r="AL64" s="31"/>
      <c r="AM64" s="1"/>
      <c r="AN64" s="31"/>
      <c r="AO64" s="31"/>
      <c r="AP64" s="31"/>
      <c r="AQ64" s="31"/>
      <c r="AR64" s="31"/>
      <c r="AS64" s="60"/>
      <c r="AT64" s="31"/>
      <c r="AU64" s="31"/>
      <c r="AV64" s="31"/>
      <c r="AW64" s="31"/>
      <c r="AX64" s="31"/>
      <c r="AY64" s="31"/>
      <c r="AZ64" s="31"/>
      <c r="BA64" s="31"/>
      <c r="BB64" s="31"/>
      <c r="BC64" s="31"/>
      <c r="BD64" s="31"/>
      <c r="BE64" s="31"/>
      <c r="BF64" s="31"/>
      <c r="BG64" s="31"/>
      <c r="BH64" s="31"/>
    </row>
    <row r="65" spans="1:60" ht="20.25" customHeight="1">
      <c r="A65" s="31"/>
      <c r="B65" s="31"/>
      <c r="C65" s="1"/>
      <c r="D65" s="31"/>
      <c r="E65" s="31"/>
      <c r="F65" s="31"/>
      <c r="G65" s="31"/>
      <c r="H65" s="31"/>
      <c r="I65" s="31"/>
      <c r="J65" s="31"/>
      <c r="K65" s="31"/>
      <c r="L65" s="31"/>
      <c r="M65" s="31"/>
      <c r="N65" s="31"/>
      <c r="O65" s="31"/>
      <c r="P65" s="31"/>
      <c r="Q65" s="58"/>
      <c r="R65" s="59"/>
      <c r="S65" s="59"/>
      <c r="T65" s="59"/>
      <c r="U65" s="59"/>
      <c r="V65" s="59"/>
      <c r="W65" s="31"/>
      <c r="X65" s="31"/>
      <c r="Y65" s="60"/>
      <c r="Z65" s="60"/>
      <c r="AA65" s="31"/>
      <c r="AB65" s="31"/>
      <c r="AC65" s="31"/>
      <c r="AD65" s="31"/>
      <c r="AE65" s="31"/>
      <c r="AF65" s="31"/>
      <c r="AG65" s="31"/>
      <c r="AH65" s="31"/>
      <c r="AI65" s="31"/>
      <c r="AJ65" s="31"/>
      <c r="AK65" s="31"/>
      <c r="AL65" s="31"/>
      <c r="AM65" s="1"/>
      <c r="AN65" s="31"/>
      <c r="AO65" s="31"/>
      <c r="AP65" s="31"/>
      <c r="AQ65" s="31"/>
      <c r="AR65" s="31"/>
      <c r="AS65" s="60"/>
      <c r="AT65" s="31"/>
      <c r="AU65" s="31"/>
      <c r="AV65" s="31"/>
      <c r="AW65" s="31"/>
      <c r="AX65" s="31"/>
      <c r="AY65" s="31"/>
      <c r="AZ65" s="31"/>
      <c r="BA65" s="31"/>
      <c r="BB65" s="31"/>
      <c r="BC65" s="31"/>
      <c r="BD65" s="31"/>
      <c r="BE65" s="31"/>
      <c r="BF65" s="31"/>
      <c r="BG65" s="31"/>
      <c r="BH65" s="31"/>
    </row>
    <row r="66" spans="1:60" ht="20.25" customHeight="1">
      <c r="A66" s="31"/>
      <c r="B66" s="31"/>
      <c r="C66" s="1"/>
      <c r="D66" s="31"/>
      <c r="E66" s="31"/>
      <c r="F66" s="31"/>
      <c r="G66" s="31"/>
      <c r="H66" s="31"/>
      <c r="I66" s="31"/>
      <c r="J66" s="31"/>
      <c r="K66" s="31"/>
      <c r="L66" s="31"/>
      <c r="M66" s="31"/>
      <c r="N66" s="31"/>
      <c r="O66" s="31"/>
      <c r="P66" s="31"/>
      <c r="Q66" s="58"/>
      <c r="R66" s="59"/>
      <c r="S66" s="59"/>
      <c r="T66" s="59"/>
      <c r="U66" s="59"/>
      <c r="V66" s="59"/>
      <c r="W66" s="31"/>
      <c r="X66" s="31"/>
      <c r="Y66" s="60"/>
      <c r="Z66" s="60"/>
      <c r="AA66" s="31"/>
      <c r="AB66" s="31"/>
      <c r="AC66" s="31"/>
      <c r="AD66" s="31"/>
      <c r="AE66" s="31"/>
      <c r="AF66" s="31"/>
      <c r="AG66" s="31"/>
      <c r="AH66" s="31"/>
      <c r="AI66" s="31"/>
      <c r="AJ66" s="31"/>
      <c r="AK66" s="31"/>
      <c r="AL66" s="31"/>
      <c r="AM66" s="1"/>
      <c r="AN66" s="31"/>
      <c r="AO66" s="31"/>
      <c r="AP66" s="31"/>
      <c r="AQ66" s="31"/>
      <c r="AR66" s="31"/>
      <c r="AS66" s="60"/>
      <c r="AT66" s="31"/>
      <c r="AU66" s="31"/>
      <c r="AV66" s="31"/>
      <c r="AW66" s="31"/>
      <c r="AX66" s="31"/>
      <c r="AY66" s="31"/>
      <c r="AZ66" s="31"/>
      <c r="BA66" s="31"/>
      <c r="BB66" s="31"/>
      <c r="BC66" s="31"/>
      <c r="BD66" s="31"/>
      <c r="BE66" s="31"/>
      <c r="BF66" s="31"/>
      <c r="BG66" s="31"/>
      <c r="BH66" s="31"/>
    </row>
    <row r="67" spans="1:60" ht="20.25" customHeight="1">
      <c r="A67" s="31"/>
      <c r="B67" s="31"/>
      <c r="C67" s="1"/>
      <c r="D67" s="31"/>
      <c r="E67" s="31"/>
      <c r="F67" s="31"/>
      <c r="G67" s="31"/>
      <c r="H67" s="31"/>
      <c r="I67" s="31"/>
      <c r="J67" s="31"/>
      <c r="K67" s="31"/>
      <c r="L67" s="31"/>
      <c r="M67" s="31"/>
      <c r="N67" s="31"/>
      <c r="O67" s="31"/>
      <c r="P67" s="31"/>
      <c r="Q67" s="58"/>
      <c r="R67" s="59"/>
      <c r="S67" s="59"/>
      <c r="T67" s="59"/>
      <c r="U67" s="59"/>
      <c r="V67" s="59"/>
      <c r="W67" s="31"/>
      <c r="X67" s="31"/>
      <c r="Y67" s="60"/>
      <c r="Z67" s="60"/>
      <c r="AA67" s="31"/>
      <c r="AB67" s="31"/>
      <c r="AC67" s="31"/>
      <c r="AD67" s="31"/>
      <c r="AE67" s="31"/>
      <c r="AF67" s="31"/>
      <c r="AG67" s="31"/>
      <c r="AH67" s="31"/>
      <c r="AI67" s="31"/>
      <c r="AJ67" s="31"/>
      <c r="AK67" s="31"/>
      <c r="AL67" s="31"/>
      <c r="AM67" s="1"/>
      <c r="AN67" s="31"/>
      <c r="AO67" s="31"/>
      <c r="AP67" s="31"/>
      <c r="AQ67" s="31"/>
      <c r="AR67" s="31"/>
      <c r="AS67" s="60"/>
      <c r="AT67" s="31"/>
      <c r="AU67" s="31"/>
      <c r="AV67" s="31"/>
      <c r="AW67" s="31"/>
      <c r="AX67" s="31"/>
      <c r="AY67" s="31"/>
      <c r="AZ67" s="31"/>
      <c r="BA67" s="31"/>
      <c r="BB67" s="31"/>
      <c r="BC67" s="31"/>
      <c r="BD67" s="31"/>
      <c r="BE67" s="31"/>
      <c r="BF67" s="31"/>
      <c r="BG67" s="31"/>
      <c r="BH67" s="31"/>
    </row>
    <row r="68" spans="1:60" ht="20.25" customHeight="1">
      <c r="A68" s="31"/>
      <c r="B68" s="31"/>
      <c r="C68" s="1"/>
      <c r="D68" s="31"/>
      <c r="E68" s="31"/>
      <c r="F68" s="31"/>
      <c r="G68" s="31"/>
      <c r="H68" s="31"/>
      <c r="I68" s="31"/>
      <c r="J68" s="31"/>
      <c r="K68" s="31"/>
      <c r="L68" s="31"/>
      <c r="M68" s="31"/>
      <c r="N68" s="31"/>
      <c r="O68" s="31"/>
      <c r="P68" s="31"/>
      <c r="Q68" s="58"/>
      <c r="R68" s="59"/>
      <c r="S68" s="59"/>
      <c r="T68" s="59"/>
      <c r="U68" s="59"/>
      <c r="V68" s="59"/>
      <c r="W68" s="31"/>
      <c r="X68" s="31"/>
      <c r="Y68" s="60"/>
      <c r="Z68" s="60"/>
      <c r="AA68" s="31"/>
      <c r="AB68" s="31"/>
      <c r="AC68" s="31"/>
      <c r="AD68" s="31"/>
      <c r="AE68" s="31"/>
      <c r="AF68" s="31"/>
      <c r="AG68" s="31"/>
      <c r="AH68" s="31"/>
      <c r="AI68" s="31"/>
      <c r="AJ68" s="31"/>
      <c r="AK68" s="31"/>
      <c r="AL68" s="31"/>
      <c r="AM68" s="1"/>
      <c r="AN68" s="31"/>
      <c r="AO68" s="31"/>
      <c r="AP68" s="31"/>
      <c r="AQ68" s="31"/>
      <c r="AR68" s="31"/>
      <c r="AS68" s="60"/>
      <c r="AT68" s="31"/>
      <c r="AU68" s="31"/>
      <c r="AV68" s="31"/>
      <c r="AW68" s="31"/>
      <c r="AX68" s="31"/>
      <c r="AY68" s="31"/>
      <c r="AZ68" s="31"/>
      <c r="BA68" s="31"/>
      <c r="BB68" s="31"/>
      <c r="BC68" s="31"/>
      <c r="BD68" s="31"/>
      <c r="BE68" s="31"/>
      <c r="BF68" s="31"/>
      <c r="BG68" s="31"/>
      <c r="BH68" s="31"/>
    </row>
    <row r="69" spans="1:60" ht="20.25" customHeight="1">
      <c r="A69" s="31"/>
      <c r="B69" s="31"/>
      <c r="C69" s="1"/>
      <c r="D69" s="31"/>
      <c r="E69" s="31"/>
      <c r="F69" s="31"/>
      <c r="G69" s="31"/>
      <c r="H69" s="31"/>
      <c r="I69" s="31"/>
      <c r="J69" s="31"/>
      <c r="K69" s="31"/>
      <c r="L69" s="31"/>
      <c r="M69" s="31"/>
      <c r="N69" s="31"/>
      <c r="O69" s="31"/>
      <c r="P69" s="31"/>
      <c r="Q69" s="58"/>
      <c r="R69" s="59"/>
      <c r="S69" s="59"/>
      <c r="T69" s="59"/>
      <c r="U69" s="59"/>
      <c r="V69" s="59"/>
      <c r="W69" s="31"/>
      <c r="X69" s="31"/>
      <c r="Y69" s="60"/>
      <c r="Z69" s="60"/>
      <c r="AA69" s="31"/>
      <c r="AB69" s="31"/>
      <c r="AC69" s="31"/>
      <c r="AD69" s="31"/>
      <c r="AE69" s="31"/>
      <c r="AF69" s="31"/>
      <c r="AG69" s="31"/>
      <c r="AH69" s="31"/>
      <c r="AI69" s="31"/>
      <c r="AJ69" s="31"/>
      <c r="AK69" s="31"/>
      <c r="AL69" s="31"/>
      <c r="AM69" s="1"/>
      <c r="AN69" s="31"/>
      <c r="AO69" s="31"/>
      <c r="AP69" s="31"/>
      <c r="AQ69" s="31"/>
      <c r="AR69" s="31"/>
      <c r="AS69" s="60"/>
      <c r="AT69" s="31"/>
      <c r="AU69" s="31"/>
      <c r="AV69" s="31"/>
      <c r="AW69" s="31"/>
      <c r="AX69" s="31"/>
      <c r="AY69" s="31"/>
      <c r="AZ69" s="31"/>
      <c r="BA69" s="31"/>
      <c r="BB69" s="31"/>
      <c r="BC69" s="31"/>
      <c r="BD69" s="31"/>
      <c r="BE69" s="31"/>
      <c r="BF69" s="31"/>
      <c r="BG69" s="31"/>
      <c r="BH69" s="31"/>
    </row>
    <row r="70" spans="1:60" ht="20.25" customHeight="1">
      <c r="A70" s="31"/>
      <c r="B70" s="31"/>
      <c r="C70" s="1"/>
      <c r="D70" s="31"/>
      <c r="E70" s="31"/>
      <c r="F70" s="31"/>
      <c r="G70" s="31"/>
      <c r="H70" s="31"/>
      <c r="I70" s="31"/>
      <c r="J70" s="31"/>
      <c r="K70" s="31"/>
      <c r="L70" s="31"/>
      <c r="M70" s="31"/>
      <c r="N70" s="31"/>
      <c r="O70" s="31"/>
      <c r="P70" s="31"/>
      <c r="Q70" s="58"/>
      <c r="R70" s="59"/>
      <c r="S70" s="59"/>
      <c r="T70" s="59"/>
      <c r="U70" s="59"/>
      <c r="V70" s="59"/>
      <c r="W70" s="31"/>
      <c r="X70" s="31"/>
      <c r="Y70" s="60"/>
      <c r="Z70" s="60"/>
      <c r="AA70" s="31"/>
      <c r="AB70" s="31"/>
      <c r="AC70" s="31"/>
      <c r="AD70" s="31"/>
      <c r="AE70" s="31"/>
      <c r="AF70" s="31"/>
      <c r="AG70" s="31"/>
      <c r="AH70" s="31"/>
      <c r="AI70" s="31"/>
      <c r="AJ70" s="31"/>
      <c r="AK70" s="31"/>
      <c r="AL70" s="31"/>
      <c r="AM70" s="1"/>
      <c r="AN70" s="31"/>
      <c r="AO70" s="31"/>
      <c r="AP70" s="31"/>
      <c r="AQ70" s="31"/>
      <c r="AR70" s="31"/>
      <c r="AS70" s="60"/>
      <c r="AT70" s="31"/>
      <c r="AU70" s="31"/>
      <c r="AV70" s="31"/>
      <c r="AW70" s="31"/>
      <c r="AX70" s="31"/>
      <c r="AY70" s="31"/>
      <c r="AZ70" s="31"/>
      <c r="BA70" s="31"/>
      <c r="BB70" s="31"/>
      <c r="BC70" s="31"/>
      <c r="BD70" s="31"/>
      <c r="BE70" s="31"/>
      <c r="BF70" s="31"/>
      <c r="BG70" s="31"/>
      <c r="BH70" s="31"/>
    </row>
    <row r="71" spans="1:60" ht="20.25" customHeight="1">
      <c r="A71" s="31"/>
      <c r="B71" s="31"/>
      <c r="C71" s="1"/>
      <c r="D71" s="31"/>
      <c r="E71" s="31"/>
      <c r="F71" s="31"/>
      <c r="G71" s="31"/>
      <c r="H71" s="31"/>
      <c r="I71" s="31"/>
      <c r="J71" s="31"/>
      <c r="K71" s="31"/>
      <c r="L71" s="31"/>
      <c r="M71" s="31"/>
      <c r="N71" s="31"/>
      <c r="O71" s="31"/>
      <c r="P71" s="31"/>
      <c r="Q71" s="58"/>
      <c r="R71" s="59"/>
      <c r="S71" s="59"/>
      <c r="T71" s="59"/>
      <c r="U71" s="59"/>
      <c r="V71" s="59"/>
      <c r="W71" s="31"/>
      <c r="X71" s="31"/>
      <c r="Y71" s="60"/>
      <c r="Z71" s="60"/>
      <c r="AA71" s="31"/>
      <c r="AB71" s="31"/>
      <c r="AC71" s="31"/>
      <c r="AD71" s="31"/>
      <c r="AE71" s="31"/>
      <c r="AF71" s="31"/>
      <c r="AG71" s="31"/>
      <c r="AH71" s="31"/>
      <c r="AI71" s="31"/>
      <c r="AJ71" s="31"/>
      <c r="AK71" s="31"/>
      <c r="AL71" s="31"/>
      <c r="AM71" s="1"/>
      <c r="AN71" s="31"/>
      <c r="AO71" s="31"/>
      <c r="AP71" s="31"/>
      <c r="AQ71" s="31"/>
      <c r="AR71" s="31"/>
      <c r="AS71" s="60"/>
      <c r="AT71" s="31"/>
      <c r="AU71" s="31"/>
      <c r="AV71" s="31"/>
      <c r="AW71" s="31"/>
      <c r="AX71" s="31"/>
      <c r="AY71" s="31"/>
      <c r="AZ71" s="31"/>
      <c r="BA71" s="31"/>
      <c r="BB71" s="31"/>
      <c r="BC71" s="31"/>
      <c r="BD71" s="31"/>
      <c r="BE71" s="31"/>
      <c r="BF71" s="31"/>
      <c r="BG71" s="31"/>
      <c r="BH71" s="31"/>
    </row>
    <row r="72" spans="1:60" ht="20.25" customHeight="1">
      <c r="A72" s="31"/>
      <c r="B72" s="31"/>
      <c r="C72" s="1"/>
      <c r="D72" s="31"/>
      <c r="E72" s="31"/>
      <c r="F72" s="31"/>
      <c r="G72" s="31"/>
      <c r="H72" s="31"/>
      <c r="I72" s="31"/>
      <c r="J72" s="31"/>
      <c r="K72" s="31"/>
      <c r="L72" s="31"/>
      <c r="M72" s="31"/>
      <c r="N72" s="31"/>
      <c r="O72" s="31"/>
      <c r="P72" s="31"/>
      <c r="Q72" s="58"/>
      <c r="R72" s="59"/>
      <c r="S72" s="59"/>
      <c r="T72" s="59"/>
      <c r="U72" s="59"/>
      <c r="V72" s="59"/>
      <c r="W72" s="31"/>
      <c r="X72" s="31"/>
      <c r="Y72" s="60"/>
      <c r="Z72" s="60"/>
      <c r="AA72" s="31"/>
      <c r="AB72" s="31"/>
      <c r="AC72" s="31"/>
      <c r="AD72" s="31"/>
      <c r="AE72" s="31"/>
      <c r="AF72" s="31"/>
      <c r="AG72" s="31"/>
      <c r="AH72" s="31"/>
      <c r="AI72" s="31"/>
      <c r="AJ72" s="31"/>
      <c r="AK72" s="31"/>
      <c r="AL72" s="31"/>
      <c r="AM72" s="1"/>
      <c r="AN72" s="31"/>
      <c r="AO72" s="31"/>
      <c r="AP72" s="31"/>
      <c r="AQ72" s="31"/>
      <c r="AR72" s="31"/>
      <c r="AS72" s="60"/>
      <c r="AT72" s="31"/>
      <c r="AU72" s="31"/>
      <c r="AV72" s="31"/>
      <c r="AW72" s="31"/>
      <c r="AX72" s="31"/>
      <c r="AY72" s="31"/>
      <c r="AZ72" s="31"/>
      <c r="BA72" s="31"/>
      <c r="BB72" s="31"/>
      <c r="BC72" s="31"/>
      <c r="BD72" s="31"/>
      <c r="BE72" s="31"/>
      <c r="BF72" s="31"/>
      <c r="BG72" s="31"/>
      <c r="BH72" s="31"/>
    </row>
    <row r="73" spans="1:60" ht="20.25" customHeight="1">
      <c r="A73" s="31"/>
      <c r="B73" s="31"/>
      <c r="C73" s="1"/>
      <c r="D73" s="31"/>
      <c r="E73" s="31"/>
      <c r="F73" s="31"/>
      <c r="G73" s="31"/>
      <c r="H73" s="31"/>
      <c r="I73" s="31"/>
      <c r="J73" s="31"/>
      <c r="K73" s="31"/>
      <c r="L73" s="31"/>
      <c r="M73" s="31"/>
      <c r="N73" s="31"/>
      <c r="O73" s="31"/>
      <c r="P73" s="31"/>
      <c r="Q73" s="58"/>
      <c r="R73" s="59"/>
      <c r="S73" s="59"/>
      <c r="T73" s="59"/>
      <c r="U73" s="59"/>
      <c r="V73" s="59"/>
      <c r="W73" s="31"/>
      <c r="X73" s="31"/>
      <c r="Y73" s="60"/>
      <c r="Z73" s="60"/>
      <c r="AA73" s="31"/>
      <c r="AB73" s="31"/>
      <c r="AC73" s="31"/>
      <c r="AD73" s="31"/>
      <c r="AE73" s="31"/>
      <c r="AF73" s="31"/>
      <c r="AG73" s="31"/>
      <c r="AH73" s="31"/>
      <c r="AI73" s="31"/>
      <c r="AJ73" s="31"/>
      <c r="AK73" s="31"/>
      <c r="AL73" s="31"/>
      <c r="AM73" s="1"/>
      <c r="AN73" s="31"/>
      <c r="AO73" s="31"/>
      <c r="AP73" s="31"/>
      <c r="AQ73" s="31"/>
      <c r="AR73" s="31"/>
      <c r="AS73" s="60"/>
      <c r="AT73" s="31"/>
      <c r="AU73" s="31"/>
      <c r="AV73" s="31"/>
      <c r="AW73" s="31"/>
      <c r="AX73" s="31"/>
      <c r="AY73" s="31"/>
      <c r="AZ73" s="31"/>
      <c r="BA73" s="31"/>
      <c r="BB73" s="31"/>
      <c r="BC73" s="31"/>
      <c r="BD73" s="31"/>
      <c r="BE73" s="31"/>
      <c r="BF73" s="31"/>
      <c r="BG73" s="31"/>
      <c r="BH73" s="31"/>
    </row>
    <row r="74" spans="1:60" ht="20.25" customHeight="1">
      <c r="A74" s="31"/>
      <c r="B74" s="31"/>
      <c r="C74" s="1"/>
      <c r="D74" s="31"/>
      <c r="E74" s="31"/>
      <c r="F74" s="31"/>
      <c r="G74" s="31"/>
      <c r="H74" s="31"/>
      <c r="I74" s="31"/>
      <c r="J74" s="31"/>
      <c r="K74" s="31"/>
      <c r="L74" s="31"/>
      <c r="M74" s="31"/>
      <c r="N74" s="31"/>
      <c r="O74" s="31"/>
      <c r="P74" s="31"/>
      <c r="Q74" s="58"/>
      <c r="R74" s="59"/>
      <c r="S74" s="59"/>
      <c r="T74" s="59"/>
      <c r="U74" s="59"/>
      <c r="V74" s="59"/>
      <c r="W74" s="31"/>
      <c r="X74" s="31"/>
      <c r="Y74" s="60"/>
      <c r="Z74" s="60"/>
      <c r="AA74" s="31"/>
      <c r="AB74" s="31"/>
      <c r="AC74" s="31"/>
      <c r="AD74" s="31"/>
      <c r="AE74" s="31"/>
      <c r="AF74" s="31"/>
      <c r="AG74" s="31"/>
      <c r="AH74" s="31"/>
      <c r="AI74" s="31"/>
      <c r="AJ74" s="31"/>
      <c r="AK74" s="31"/>
      <c r="AL74" s="31"/>
      <c r="AM74" s="1"/>
      <c r="AN74" s="31"/>
      <c r="AO74" s="31"/>
      <c r="AP74" s="31"/>
      <c r="AQ74" s="31"/>
      <c r="AR74" s="31"/>
      <c r="AS74" s="60"/>
      <c r="AT74" s="31"/>
      <c r="AU74" s="31"/>
      <c r="AV74" s="31"/>
      <c r="AW74" s="31"/>
      <c r="AX74" s="31"/>
      <c r="AY74" s="31"/>
      <c r="AZ74" s="31"/>
      <c r="BA74" s="31"/>
      <c r="BB74" s="31"/>
      <c r="BC74" s="31"/>
      <c r="BD74" s="31"/>
      <c r="BE74" s="31"/>
      <c r="BF74" s="31"/>
      <c r="BG74" s="31"/>
      <c r="BH74" s="31"/>
    </row>
    <row r="75" spans="1:60" ht="20.25" customHeight="1">
      <c r="A75" s="31"/>
      <c r="B75" s="31"/>
      <c r="C75" s="1"/>
      <c r="D75" s="31"/>
      <c r="E75" s="31"/>
      <c r="F75" s="31"/>
      <c r="G75" s="31"/>
      <c r="H75" s="31"/>
      <c r="I75" s="31"/>
      <c r="J75" s="31"/>
      <c r="K75" s="31"/>
      <c r="L75" s="31"/>
      <c r="M75" s="31"/>
      <c r="N75" s="31"/>
      <c r="O75" s="31"/>
      <c r="P75" s="31"/>
      <c r="Q75" s="58"/>
      <c r="R75" s="59"/>
      <c r="S75" s="59"/>
      <c r="T75" s="59"/>
      <c r="U75" s="59"/>
      <c r="V75" s="59"/>
      <c r="W75" s="31"/>
      <c r="X75" s="31"/>
      <c r="Y75" s="60"/>
      <c r="Z75" s="60"/>
      <c r="AA75" s="31"/>
      <c r="AB75" s="31"/>
      <c r="AC75" s="31"/>
      <c r="AD75" s="31"/>
      <c r="AE75" s="31"/>
      <c r="AF75" s="31"/>
      <c r="AG75" s="31"/>
      <c r="AH75" s="31"/>
      <c r="AI75" s="31"/>
      <c r="AJ75" s="31"/>
      <c r="AK75" s="31"/>
      <c r="AL75" s="31"/>
      <c r="AM75" s="1"/>
      <c r="AN75" s="31"/>
      <c r="AO75" s="31"/>
      <c r="AP75" s="31"/>
      <c r="AQ75" s="31"/>
      <c r="AR75" s="31"/>
      <c r="AS75" s="60"/>
      <c r="AT75" s="31"/>
      <c r="AU75" s="31"/>
      <c r="AV75" s="31"/>
      <c r="AW75" s="31"/>
      <c r="AX75" s="31"/>
      <c r="AY75" s="31"/>
      <c r="AZ75" s="31"/>
      <c r="BA75" s="31"/>
      <c r="BB75" s="31"/>
      <c r="BC75" s="31"/>
      <c r="BD75" s="31"/>
      <c r="BE75" s="31"/>
      <c r="BF75" s="31"/>
      <c r="BG75" s="31"/>
      <c r="BH75" s="31"/>
    </row>
    <row r="76" spans="1:60" ht="20.25" customHeight="1">
      <c r="A76" s="31"/>
      <c r="B76" s="31"/>
      <c r="C76" s="1"/>
      <c r="D76" s="31"/>
      <c r="E76" s="31"/>
      <c r="F76" s="31"/>
      <c r="G76" s="31"/>
      <c r="H76" s="31"/>
      <c r="I76" s="31"/>
      <c r="J76" s="31"/>
      <c r="K76" s="31"/>
      <c r="L76" s="31"/>
      <c r="M76" s="31"/>
      <c r="N76" s="31"/>
      <c r="O76" s="31"/>
      <c r="P76" s="31"/>
      <c r="Q76" s="58"/>
      <c r="R76" s="59"/>
      <c r="S76" s="59"/>
      <c r="T76" s="59"/>
      <c r="U76" s="59"/>
      <c r="V76" s="59"/>
      <c r="W76" s="31"/>
      <c r="X76" s="31"/>
      <c r="Y76" s="60"/>
      <c r="Z76" s="60"/>
      <c r="AA76" s="31"/>
      <c r="AB76" s="31"/>
      <c r="AC76" s="31"/>
      <c r="AD76" s="31"/>
      <c r="AE76" s="31"/>
      <c r="AF76" s="31"/>
      <c r="AG76" s="31"/>
      <c r="AH76" s="31"/>
      <c r="AI76" s="31"/>
      <c r="AJ76" s="31"/>
      <c r="AK76" s="31"/>
      <c r="AL76" s="31"/>
      <c r="AM76" s="1"/>
      <c r="AN76" s="31"/>
      <c r="AO76" s="31"/>
      <c r="AP76" s="31"/>
      <c r="AQ76" s="31"/>
      <c r="AR76" s="31"/>
      <c r="AS76" s="60"/>
      <c r="AT76" s="31"/>
      <c r="AU76" s="31"/>
      <c r="AV76" s="31"/>
      <c r="AW76" s="31"/>
      <c r="AX76" s="31"/>
      <c r="AY76" s="31"/>
      <c r="AZ76" s="31"/>
      <c r="BA76" s="31"/>
      <c r="BB76" s="31"/>
      <c r="BC76" s="31"/>
      <c r="BD76" s="31"/>
      <c r="BE76" s="31"/>
      <c r="BF76" s="31"/>
      <c r="BG76" s="31"/>
      <c r="BH76" s="31"/>
    </row>
    <row r="77" spans="1:60" ht="20.25" customHeight="1">
      <c r="A77" s="31"/>
      <c r="B77" s="31"/>
      <c r="C77" s="1"/>
      <c r="D77" s="31"/>
      <c r="E77" s="31"/>
      <c r="F77" s="31"/>
      <c r="G77" s="31"/>
      <c r="H77" s="31"/>
      <c r="I77" s="31"/>
      <c r="J77" s="31"/>
      <c r="K77" s="31"/>
      <c r="L77" s="31"/>
      <c r="M77" s="31"/>
      <c r="N77" s="31"/>
      <c r="O77" s="31"/>
      <c r="P77" s="31"/>
      <c r="Q77" s="58"/>
      <c r="R77" s="59"/>
      <c r="S77" s="59"/>
      <c r="T77" s="59"/>
      <c r="U77" s="59"/>
      <c r="V77" s="59"/>
      <c r="W77" s="31"/>
      <c r="X77" s="31"/>
      <c r="Y77" s="60"/>
      <c r="Z77" s="60"/>
      <c r="AA77" s="31"/>
      <c r="AB77" s="31"/>
      <c r="AC77" s="31"/>
      <c r="AD77" s="31"/>
      <c r="AE77" s="31"/>
      <c r="AF77" s="31"/>
      <c r="AG77" s="31"/>
      <c r="AH77" s="31"/>
      <c r="AI77" s="31"/>
      <c r="AJ77" s="31"/>
      <c r="AK77" s="31"/>
      <c r="AL77" s="31"/>
      <c r="AM77" s="1"/>
      <c r="AN77" s="31"/>
      <c r="AO77" s="31"/>
      <c r="AP77" s="31"/>
      <c r="AQ77" s="31"/>
      <c r="AR77" s="31"/>
      <c r="AS77" s="60"/>
      <c r="AT77" s="31"/>
      <c r="AU77" s="31"/>
      <c r="AV77" s="31"/>
      <c r="AW77" s="31"/>
      <c r="AX77" s="31"/>
      <c r="AY77" s="31"/>
      <c r="AZ77" s="31"/>
      <c r="BA77" s="31"/>
      <c r="BB77" s="31"/>
      <c r="BC77" s="31"/>
      <c r="BD77" s="31"/>
      <c r="BE77" s="31"/>
      <c r="BF77" s="31"/>
      <c r="BG77" s="31"/>
      <c r="BH77" s="31"/>
    </row>
    <row r="78" spans="1:60" ht="20.25" customHeight="1">
      <c r="A78" s="31"/>
      <c r="B78" s="31"/>
      <c r="C78" s="1"/>
      <c r="D78" s="31"/>
      <c r="E78" s="31"/>
      <c r="F78" s="31"/>
      <c r="G78" s="31"/>
      <c r="H78" s="31"/>
      <c r="I78" s="31"/>
      <c r="J78" s="31"/>
      <c r="K78" s="31"/>
      <c r="L78" s="31"/>
      <c r="M78" s="31"/>
      <c r="N78" s="31"/>
      <c r="O78" s="31"/>
      <c r="P78" s="31"/>
      <c r="Q78" s="58"/>
      <c r="R78" s="59"/>
      <c r="S78" s="59"/>
      <c r="T78" s="59"/>
      <c r="U78" s="59"/>
      <c r="V78" s="59"/>
      <c r="W78" s="31"/>
      <c r="X78" s="31"/>
      <c r="Y78" s="60"/>
      <c r="Z78" s="60"/>
      <c r="AA78" s="31"/>
      <c r="AB78" s="31"/>
      <c r="AC78" s="31"/>
      <c r="AD78" s="31"/>
      <c r="AE78" s="31"/>
      <c r="AF78" s="31"/>
      <c r="AG78" s="31"/>
      <c r="AH78" s="31"/>
      <c r="AI78" s="31"/>
      <c r="AJ78" s="31"/>
      <c r="AK78" s="31"/>
      <c r="AL78" s="31"/>
      <c r="AM78" s="1"/>
      <c r="AN78" s="31"/>
      <c r="AO78" s="31"/>
      <c r="AP78" s="31"/>
      <c r="AQ78" s="31"/>
      <c r="AR78" s="31"/>
      <c r="AS78" s="60"/>
      <c r="AT78" s="31"/>
      <c r="AU78" s="31"/>
      <c r="AV78" s="31"/>
      <c r="AW78" s="31"/>
      <c r="AX78" s="31"/>
      <c r="AY78" s="31"/>
      <c r="AZ78" s="31"/>
      <c r="BA78" s="31"/>
      <c r="BB78" s="31"/>
      <c r="BC78" s="31"/>
      <c r="BD78" s="31"/>
      <c r="BE78" s="31"/>
      <c r="BF78" s="31"/>
      <c r="BG78" s="31"/>
      <c r="BH78" s="31"/>
    </row>
    <row r="79" spans="1:60" ht="20.25" customHeight="1">
      <c r="A79" s="31"/>
      <c r="B79" s="31"/>
      <c r="C79" s="1"/>
      <c r="D79" s="31"/>
      <c r="E79" s="31"/>
      <c r="F79" s="31"/>
      <c r="G79" s="31"/>
      <c r="H79" s="31"/>
      <c r="I79" s="31"/>
      <c r="J79" s="31"/>
      <c r="K79" s="31"/>
      <c r="L79" s="31"/>
      <c r="M79" s="31"/>
      <c r="N79" s="31"/>
      <c r="O79" s="31"/>
      <c r="P79" s="31"/>
      <c r="Q79" s="58"/>
      <c r="R79" s="59"/>
      <c r="S79" s="59"/>
      <c r="T79" s="59"/>
      <c r="U79" s="59"/>
      <c r="V79" s="59"/>
      <c r="W79" s="31"/>
      <c r="X79" s="31"/>
      <c r="Y79" s="60"/>
      <c r="Z79" s="60"/>
      <c r="AA79" s="31"/>
      <c r="AB79" s="31"/>
      <c r="AC79" s="31"/>
      <c r="AD79" s="31"/>
      <c r="AE79" s="31"/>
      <c r="AF79" s="31"/>
      <c r="AG79" s="31"/>
      <c r="AH79" s="31"/>
      <c r="AI79" s="31"/>
      <c r="AJ79" s="31"/>
      <c r="AK79" s="31"/>
      <c r="AL79" s="31"/>
      <c r="AM79" s="1"/>
      <c r="AN79" s="31"/>
      <c r="AO79" s="31"/>
      <c r="AP79" s="31"/>
      <c r="AQ79" s="31"/>
      <c r="AR79" s="31"/>
      <c r="AS79" s="60"/>
      <c r="AT79" s="31"/>
      <c r="AU79" s="31"/>
      <c r="AV79" s="31"/>
      <c r="AW79" s="31"/>
      <c r="AX79" s="31"/>
      <c r="AY79" s="31"/>
      <c r="AZ79" s="31"/>
      <c r="BA79" s="31"/>
      <c r="BB79" s="31"/>
      <c r="BC79" s="31"/>
      <c r="BD79" s="31"/>
      <c r="BE79" s="31"/>
      <c r="BF79" s="31"/>
      <c r="BG79" s="31"/>
      <c r="BH79" s="31"/>
    </row>
    <row r="80" spans="1:60" ht="20.25" customHeight="1">
      <c r="A80" s="31"/>
      <c r="B80" s="31"/>
      <c r="C80" s="1"/>
      <c r="D80" s="31"/>
      <c r="E80" s="31"/>
      <c r="F80" s="31"/>
      <c r="G80" s="31"/>
      <c r="H80" s="31"/>
      <c r="I80" s="31"/>
      <c r="J80" s="31"/>
      <c r="K80" s="31"/>
      <c r="L80" s="31"/>
      <c r="M80" s="31"/>
      <c r="N80" s="31"/>
      <c r="O80" s="31"/>
      <c r="P80" s="31"/>
      <c r="Q80" s="58"/>
      <c r="R80" s="59"/>
      <c r="S80" s="59"/>
      <c r="T80" s="59"/>
      <c r="U80" s="59"/>
      <c r="V80" s="59"/>
      <c r="W80" s="31"/>
      <c r="X80" s="31"/>
      <c r="Y80" s="60"/>
      <c r="Z80" s="60"/>
      <c r="AA80" s="31"/>
      <c r="AB80" s="31"/>
      <c r="AC80" s="31"/>
      <c r="AD80" s="31"/>
      <c r="AE80" s="31"/>
      <c r="AF80" s="31"/>
      <c r="AG80" s="31"/>
      <c r="AH80" s="31"/>
      <c r="AI80" s="31"/>
      <c r="AJ80" s="31"/>
      <c r="AK80" s="31"/>
      <c r="AL80" s="31"/>
      <c r="AM80" s="1"/>
      <c r="AN80" s="31"/>
      <c r="AO80" s="31"/>
      <c r="AP80" s="31"/>
      <c r="AQ80" s="31"/>
      <c r="AR80" s="31"/>
      <c r="AS80" s="60"/>
      <c r="AT80" s="31"/>
      <c r="AU80" s="31"/>
      <c r="AV80" s="31"/>
      <c r="AW80" s="31"/>
      <c r="AX80" s="31"/>
      <c r="AY80" s="31"/>
      <c r="AZ80" s="31"/>
      <c r="BA80" s="31"/>
      <c r="BB80" s="31"/>
      <c r="BC80" s="31"/>
      <c r="BD80" s="31"/>
      <c r="BE80" s="31"/>
      <c r="BF80" s="31"/>
      <c r="BG80" s="31"/>
      <c r="BH80" s="31"/>
    </row>
    <row r="81" spans="1:60" ht="20.25" customHeight="1">
      <c r="A81" s="31"/>
      <c r="B81" s="31"/>
      <c r="C81" s="1"/>
      <c r="D81" s="31"/>
      <c r="E81" s="31"/>
      <c r="F81" s="31"/>
      <c r="G81" s="31"/>
      <c r="H81" s="31"/>
      <c r="I81" s="31"/>
      <c r="J81" s="31"/>
      <c r="K81" s="31"/>
      <c r="L81" s="31"/>
      <c r="M81" s="31"/>
      <c r="N81" s="31"/>
      <c r="O81" s="31"/>
      <c r="P81" s="31"/>
      <c r="Q81" s="58"/>
      <c r="R81" s="59"/>
      <c r="S81" s="59"/>
      <c r="T81" s="59"/>
      <c r="U81" s="59"/>
      <c r="V81" s="59"/>
      <c r="W81" s="31"/>
      <c r="X81" s="31"/>
      <c r="Y81" s="60"/>
      <c r="Z81" s="60"/>
      <c r="AA81" s="31"/>
      <c r="AB81" s="31"/>
      <c r="AC81" s="31"/>
      <c r="AD81" s="31"/>
      <c r="AE81" s="31"/>
      <c r="AF81" s="31"/>
      <c r="AG81" s="31"/>
      <c r="AH81" s="31"/>
      <c r="AI81" s="31"/>
      <c r="AJ81" s="31"/>
      <c r="AK81" s="31"/>
      <c r="AL81" s="31"/>
      <c r="AM81" s="1"/>
      <c r="AN81" s="31"/>
      <c r="AO81" s="31"/>
      <c r="AP81" s="31"/>
      <c r="AQ81" s="31"/>
      <c r="AR81" s="31"/>
      <c r="AS81" s="60"/>
      <c r="AT81" s="31"/>
      <c r="AU81" s="31"/>
      <c r="AV81" s="31"/>
      <c r="AW81" s="31"/>
      <c r="AX81" s="31"/>
      <c r="AY81" s="31"/>
      <c r="AZ81" s="31"/>
      <c r="BA81" s="31"/>
      <c r="BB81" s="31"/>
      <c r="BC81" s="31"/>
      <c r="BD81" s="31"/>
      <c r="BE81" s="31"/>
      <c r="BF81" s="31"/>
      <c r="BG81" s="31"/>
      <c r="BH81" s="31"/>
    </row>
    <row r="82" spans="1:60" ht="20.25" customHeight="1">
      <c r="A82" s="31"/>
      <c r="B82" s="31"/>
      <c r="C82" s="1"/>
      <c r="D82" s="31"/>
      <c r="E82" s="31"/>
      <c r="F82" s="31"/>
      <c r="G82" s="31"/>
      <c r="H82" s="31"/>
      <c r="I82" s="31"/>
      <c r="J82" s="31"/>
      <c r="K82" s="31"/>
      <c r="L82" s="31"/>
      <c r="M82" s="31"/>
      <c r="N82" s="31"/>
      <c r="O82" s="31"/>
      <c r="P82" s="31"/>
      <c r="Q82" s="58"/>
      <c r="R82" s="59"/>
      <c r="S82" s="59"/>
      <c r="T82" s="59"/>
      <c r="U82" s="59"/>
      <c r="V82" s="59"/>
      <c r="W82" s="31"/>
      <c r="X82" s="31"/>
      <c r="Y82" s="60"/>
      <c r="Z82" s="60"/>
      <c r="AA82" s="31"/>
      <c r="AB82" s="31"/>
      <c r="AC82" s="31"/>
      <c r="AD82" s="31"/>
      <c r="AE82" s="31"/>
      <c r="AF82" s="31"/>
      <c r="AG82" s="31"/>
      <c r="AH82" s="31"/>
      <c r="AI82" s="31"/>
      <c r="AJ82" s="31"/>
      <c r="AK82" s="31"/>
      <c r="AL82" s="31"/>
      <c r="AM82" s="1"/>
      <c r="AN82" s="31"/>
      <c r="AO82" s="31"/>
      <c r="AP82" s="31"/>
      <c r="AQ82" s="31"/>
      <c r="AR82" s="31"/>
      <c r="AS82" s="60"/>
      <c r="AT82" s="31"/>
      <c r="AU82" s="31"/>
      <c r="AV82" s="31"/>
      <c r="AW82" s="31"/>
      <c r="AX82" s="31"/>
      <c r="AY82" s="31"/>
      <c r="AZ82" s="31"/>
      <c r="BA82" s="31"/>
      <c r="BB82" s="31"/>
      <c r="BC82" s="31"/>
      <c r="BD82" s="31"/>
      <c r="BE82" s="31"/>
      <c r="BF82" s="31"/>
      <c r="BG82" s="31"/>
      <c r="BH82" s="31"/>
    </row>
    <row r="83" spans="1:60" ht="20.25" customHeight="1">
      <c r="A83" s="31"/>
      <c r="B83" s="31"/>
      <c r="C83" s="1"/>
      <c r="D83" s="31"/>
      <c r="E83" s="31"/>
      <c r="F83" s="31"/>
      <c r="G83" s="31"/>
      <c r="H83" s="31"/>
      <c r="I83" s="31"/>
      <c r="J83" s="31"/>
      <c r="K83" s="31"/>
      <c r="L83" s="31"/>
      <c r="M83" s="31"/>
      <c r="N83" s="31"/>
      <c r="O83" s="31"/>
      <c r="P83" s="31"/>
      <c r="Q83" s="58"/>
      <c r="R83" s="59"/>
      <c r="S83" s="59"/>
      <c r="T83" s="59"/>
      <c r="U83" s="59"/>
      <c r="V83" s="59"/>
      <c r="W83" s="31"/>
      <c r="X83" s="31"/>
      <c r="Y83" s="60"/>
      <c r="Z83" s="60"/>
      <c r="AA83" s="31"/>
      <c r="AB83" s="31"/>
      <c r="AC83" s="31"/>
      <c r="AD83" s="31"/>
      <c r="AE83" s="31"/>
      <c r="AF83" s="31"/>
      <c r="AG83" s="31"/>
      <c r="AH83" s="31"/>
      <c r="AI83" s="31"/>
      <c r="AJ83" s="31"/>
      <c r="AK83" s="31"/>
      <c r="AL83" s="31"/>
      <c r="AM83" s="1"/>
      <c r="AN83" s="31"/>
      <c r="AO83" s="31"/>
      <c r="AP83" s="31"/>
      <c r="AQ83" s="31"/>
      <c r="AR83" s="31"/>
      <c r="AS83" s="60"/>
      <c r="AT83" s="31"/>
      <c r="AU83" s="31"/>
      <c r="AV83" s="31"/>
      <c r="AW83" s="31"/>
      <c r="AX83" s="31"/>
      <c r="AY83" s="31"/>
      <c r="AZ83" s="31"/>
      <c r="BA83" s="31"/>
      <c r="BB83" s="31"/>
      <c r="BC83" s="31"/>
      <c r="BD83" s="31"/>
      <c r="BE83" s="31"/>
      <c r="BF83" s="31"/>
      <c r="BG83" s="31"/>
      <c r="BH83" s="31"/>
    </row>
    <row r="84" spans="1:60" ht="20.25" customHeight="1">
      <c r="A84" s="31"/>
      <c r="B84" s="31"/>
      <c r="C84" s="1"/>
      <c r="D84" s="31"/>
      <c r="E84" s="31"/>
      <c r="F84" s="31"/>
      <c r="G84" s="31"/>
      <c r="H84" s="31"/>
      <c r="I84" s="31"/>
      <c r="J84" s="31"/>
      <c r="K84" s="31"/>
      <c r="L84" s="31"/>
      <c r="M84" s="31"/>
      <c r="N84" s="31"/>
      <c r="O84" s="31"/>
      <c r="P84" s="31"/>
      <c r="Q84" s="58"/>
      <c r="R84" s="59"/>
      <c r="S84" s="59"/>
      <c r="T84" s="59"/>
      <c r="U84" s="59"/>
      <c r="V84" s="59"/>
      <c r="W84" s="31"/>
      <c r="X84" s="31"/>
      <c r="Y84" s="60"/>
      <c r="Z84" s="60"/>
      <c r="AA84" s="31"/>
      <c r="AB84" s="31"/>
      <c r="AC84" s="31"/>
      <c r="AD84" s="31"/>
      <c r="AE84" s="31"/>
      <c r="AF84" s="31"/>
      <c r="AG84" s="31"/>
      <c r="AH84" s="31"/>
      <c r="AI84" s="31"/>
      <c r="AJ84" s="31"/>
      <c r="AK84" s="31"/>
      <c r="AL84" s="31"/>
      <c r="AM84" s="1"/>
      <c r="AN84" s="31"/>
      <c r="AO84" s="31"/>
      <c r="AP84" s="31"/>
      <c r="AQ84" s="31"/>
      <c r="AR84" s="31"/>
      <c r="AS84" s="60"/>
      <c r="AT84" s="31"/>
      <c r="AU84" s="31"/>
      <c r="AV84" s="31"/>
      <c r="AW84" s="31"/>
      <c r="AX84" s="31"/>
      <c r="AY84" s="31"/>
      <c r="AZ84" s="31"/>
      <c r="BA84" s="31"/>
      <c r="BB84" s="31"/>
      <c r="BC84" s="31"/>
      <c r="BD84" s="31"/>
      <c r="BE84" s="31"/>
      <c r="BF84" s="31"/>
      <c r="BG84" s="31"/>
      <c r="BH84" s="31"/>
    </row>
    <row r="85" spans="1:60" ht="20.25" customHeight="1">
      <c r="A85" s="31"/>
      <c r="B85" s="31"/>
      <c r="C85" s="1"/>
      <c r="D85" s="31"/>
      <c r="E85" s="31"/>
      <c r="F85" s="31"/>
      <c r="G85" s="31"/>
      <c r="H85" s="31"/>
      <c r="I85" s="31"/>
      <c r="J85" s="31"/>
      <c r="K85" s="31"/>
      <c r="L85" s="31"/>
      <c r="M85" s="31"/>
      <c r="N85" s="31"/>
      <c r="O85" s="31"/>
      <c r="P85" s="31"/>
      <c r="Q85" s="58"/>
      <c r="R85" s="59"/>
      <c r="S85" s="59"/>
      <c r="T85" s="59"/>
      <c r="U85" s="59"/>
      <c r="V85" s="59"/>
      <c r="W85" s="31"/>
      <c r="X85" s="31"/>
      <c r="Y85" s="60"/>
      <c r="Z85" s="60"/>
      <c r="AA85" s="31"/>
      <c r="AB85" s="31"/>
      <c r="AC85" s="31"/>
      <c r="AD85" s="31"/>
      <c r="AE85" s="31"/>
      <c r="AF85" s="31"/>
      <c r="AG85" s="31"/>
      <c r="AH85" s="31"/>
      <c r="AI85" s="31"/>
      <c r="AJ85" s="31"/>
      <c r="AK85" s="31"/>
      <c r="AL85" s="31"/>
      <c r="AM85" s="1"/>
      <c r="AN85" s="31"/>
      <c r="AO85" s="31"/>
      <c r="AP85" s="31"/>
      <c r="AQ85" s="31"/>
      <c r="AR85" s="31"/>
      <c r="AS85" s="60"/>
      <c r="AT85" s="31"/>
      <c r="AU85" s="31"/>
      <c r="AV85" s="31"/>
      <c r="AW85" s="31"/>
      <c r="AX85" s="31"/>
      <c r="AY85" s="31"/>
      <c r="AZ85" s="31"/>
      <c r="BA85" s="31"/>
      <c r="BB85" s="31"/>
      <c r="BC85" s="31"/>
      <c r="BD85" s="31"/>
      <c r="BE85" s="31"/>
      <c r="BF85" s="31"/>
      <c r="BG85" s="31"/>
      <c r="BH85" s="31"/>
    </row>
    <row r="86" spans="1:60" ht="20.25" customHeight="1">
      <c r="A86" s="31"/>
      <c r="B86" s="31"/>
      <c r="C86" s="1"/>
      <c r="D86" s="31"/>
      <c r="E86" s="31"/>
      <c r="F86" s="31"/>
      <c r="G86" s="31"/>
      <c r="H86" s="31"/>
      <c r="I86" s="31"/>
      <c r="J86" s="31"/>
      <c r="K86" s="31"/>
      <c r="L86" s="31"/>
      <c r="M86" s="31"/>
      <c r="N86" s="31"/>
      <c r="O86" s="31"/>
      <c r="P86" s="31"/>
      <c r="Q86" s="58"/>
      <c r="R86" s="59"/>
      <c r="S86" s="59"/>
      <c r="T86" s="59"/>
      <c r="U86" s="59"/>
      <c r="V86" s="59"/>
      <c r="W86" s="31"/>
      <c r="X86" s="31"/>
      <c r="Y86" s="60"/>
      <c r="Z86" s="60"/>
      <c r="AA86" s="31"/>
      <c r="AB86" s="31"/>
      <c r="AC86" s="31"/>
      <c r="AD86" s="31"/>
      <c r="AE86" s="31"/>
      <c r="AF86" s="31"/>
      <c r="AG86" s="31"/>
      <c r="AH86" s="31"/>
      <c r="AI86" s="31"/>
      <c r="AJ86" s="31"/>
      <c r="AK86" s="31"/>
      <c r="AL86" s="31"/>
      <c r="AM86" s="1"/>
      <c r="AN86" s="31"/>
      <c r="AO86" s="31"/>
      <c r="AP86" s="31"/>
      <c r="AQ86" s="31"/>
      <c r="AR86" s="31"/>
      <c r="AS86" s="60"/>
      <c r="AT86" s="31"/>
      <c r="AU86" s="31"/>
      <c r="AV86" s="31"/>
      <c r="AW86" s="31"/>
      <c r="AX86" s="31"/>
      <c r="AY86" s="31"/>
      <c r="AZ86" s="31"/>
      <c r="BA86" s="31"/>
      <c r="BB86" s="31"/>
      <c r="BC86" s="31"/>
      <c r="BD86" s="31"/>
      <c r="BE86" s="31"/>
      <c r="BF86" s="31"/>
      <c r="BG86" s="31"/>
      <c r="BH86" s="31"/>
    </row>
    <row r="87" spans="1:60" ht="20.25" customHeight="1">
      <c r="A87" s="31"/>
      <c r="B87" s="31"/>
      <c r="C87" s="1"/>
      <c r="D87" s="31"/>
      <c r="E87" s="31"/>
      <c r="F87" s="31"/>
      <c r="G87" s="31"/>
      <c r="H87" s="31"/>
      <c r="I87" s="31"/>
      <c r="J87" s="31"/>
      <c r="K87" s="31"/>
      <c r="L87" s="31"/>
      <c r="M87" s="31"/>
      <c r="N87" s="31"/>
      <c r="O87" s="31"/>
      <c r="P87" s="31"/>
      <c r="Q87" s="58"/>
      <c r="R87" s="59"/>
      <c r="S87" s="59"/>
      <c r="T87" s="59"/>
      <c r="U87" s="59"/>
      <c r="V87" s="59"/>
      <c r="W87" s="31"/>
      <c r="X87" s="31"/>
      <c r="Y87" s="60"/>
      <c r="Z87" s="60"/>
      <c r="AA87" s="31"/>
      <c r="AB87" s="31"/>
      <c r="AC87" s="31"/>
      <c r="AD87" s="31"/>
      <c r="AE87" s="31"/>
      <c r="AF87" s="31"/>
      <c r="AG87" s="31"/>
      <c r="AH87" s="31"/>
      <c r="AI87" s="31"/>
      <c r="AJ87" s="31"/>
      <c r="AK87" s="31"/>
      <c r="AL87" s="31"/>
      <c r="AM87" s="1"/>
      <c r="AN87" s="31"/>
      <c r="AO87" s="31"/>
      <c r="AP87" s="31"/>
      <c r="AQ87" s="31"/>
      <c r="AR87" s="31"/>
      <c r="AS87" s="60"/>
      <c r="AT87" s="31"/>
      <c r="AU87" s="31"/>
      <c r="AV87" s="31"/>
      <c r="AW87" s="31"/>
      <c r="AX87" s="31"/>
      <c r="AY87" s="31"/>
      <c r="AZ87" s="31"/>
      <c r="BA87" s="31"/>
      <c r="BB87" s="31"/>
      <c r="BC87" s="31"/>
      <c r="BD87" s="31"/>
      <c r="BE87" s="31"/>
      <c r="BF87" s="31"/>
      <c r="BG87" s="31"/>
      <c r="BH87" s="31"/>
    </row>
    <row r="88" spans="1:60" ht="20.25" customHeight="1">
      <c r="A88" s="31"/>
      <c r="B88" s="31"/>
      <c r="C88" s="1"/>
      <c r="D88" s="31"/>
      <c r="E88" s="31"/>
      <c r="F88" s="31"/>
      <c r="G88" s="31"/>
      <c r="H88" s="31"/>
      <c r="I88" s="31"/>
      <c r="J88" s="31"/>
      <c r="K88" s="31"/>
      <c r="L88" s="31"/>
      <c r="M88" s="31"/>
      <c r="N88" s="31"/>
      <c r="O88" s="31"/>
      <c r="P88" s="31"/>
      <c r="Q88" s="58"/>
      <c r="R88" s="59"/>
      <c r="S88" s="59"/>
      <c r="T88" s="59"/>
      <c r="U88" s="59"/>
      <c r="V88" s="59"/>
      <c r="W88" s="31"/>
      <c r="X88" s="31"/>
      <c r="Y88" s="60"/>
      <c r="Z88" s="60"/>
      <c r="AA88" s="31"/>
      <c r="AB88" s="31"/>
      <c r="AC88" s="31"/>
      <c r="AD88" s="31"/>
      <c r="AE88" s="31"/>
      <c r="AF88" s="31"/>
      <c r="AG88" s="31"/>
      <c r="AH88" s="31"/>
      <c r="AI88" s="31"/>
      <c r="AJ88" s="31"/>
      <c r="AK88" s="31"/>
      <c r="AL88" s="31"/>
      <c r="AM88" s="1"/>
      <c r="AN88" s="31"/>
      <c r="AO88" s="31"/>
      <c r="AP88" s="31"/>
      <c r="AQ88" s="31"/>
      <c r="AR88" s="31"/>
      <c r="AS88" s="60"/>
      <c r="AT88" s="31"/>
      <c r="AU88" s="31"/>
      <c r="AV88" s="31"/>
      <c r="AW88" s="31"/>
      <c r="AX88" s="31"/>
      <c r="AY88" s="31"/>
      <c r="AZ88" s="31"/>
      <c r="BA88" s="31"/>
      <c r="BB88" s="31"/>
      <c r="BC88" s="31"/>
      <c r="BD88" s="31"/>
      <c r="BE88" s="31"/>
      <c r="BF88" s="31"/>
      <c r="BG88" s="31"/>
      <c r="BH88" s="31"/>
    </row>
    <row r="89" spans="1:60" ht="20.25" customHeight="1">
      <c r="A89" s="31"/>
      <c r="B89" s="31"/>
      <c r="C89" s="1"/>
      <c r="D89" s="31"/>
      <c r="E89" s="31"/>
      <c r="F89" s="31"/>
      <c r="G89" s="31"/>
      <c r="H89" s="31"/>
      <c r="I89" s="31"/>
      <c r="J89" s="31"/>
      <c r="K89" s="31"/>
      <c r="L89" s="31"/>
      <c r="M89" s="31"/>
      <c r="N89" s="31"/>
      <c r="O89" s="31"/>
      <c r="P89" s="31"/>
      <c r="Q89" s="58"/>
      <c r="R89" s="59"/>
      <c r="S89" s="59"/>
      <c r="T89" s="59"/>
      <c r="U89" s="59"/>
      <c r="V89" s="59"/>
      <c r="W89" s="31"/>
      <c r="X89" s="31"/>
      <c r="Y89" s="60"/>
      <c r="Z89" s="60"/>
      <c r="AA89" s="31"/>
      <c r="AB89" s="31"/>
      <c r="AC89" s="31"/>
      <c r="AD89" s="31"/>
      <c r="AE89" s="31"/>
      <c r="AF89" s="31"/>
      <c r="AG89" s="31"/>
      <c r="AH89" s="31"/>
      <c r="AI89" s="31"/>
      <c r="AJ89" s="31"/>
      <c r="AK89" s="31"/>
      <c r="AL89" s="31"/>
      <c r="AM89" s="1"/>
      <c r="AN89" s="31"/>
      <c r="AO89" s="31"/>
      <c r="AP89" s="31"/>
      <c r="AQ89" s="31"/>
      <c r="AR89" s="31"/>
      <c r="AS89" s="60"/>
      <c r="AT89" s="31"/>
      <c r="AU89" s="31"/>
      <c r="AV89" s="31"/>
      <c r="AW89" s="31"/>
      <c r="AX89" s="31"/>
      <c r="AY89" s="31"/>
      <c r="AZ89" s="31"/>
      <c r="BA89" s="31"/>
      <c r="BB89" s="31"/>
      <c r="BC89" s="31"/>
      <c r="BD89" s="31"/>
      <c r="BE89" s="31"/>
      <c r="BF89" s="31"/>
      <c r="BG89" s="31"/>
      <c r="BH89" s="31"/>
    </row>
    <row r="90" spans="1:60" ht="20.25" customHeight="1">
      <c r="A90" s="31"/>
      <c r="B90" s="31"/>
      <c r="C90" s="1"/>
      <c r="D90" s="31"/>
      <c r="E90" s="31"/>
      <c r="F90" s="31"/>
      <c r="G90" s="31"/>
      <c r="H90" s="31"/>
      <c r="I90" s="31"/>
      <c r="J90" s="31"/>
      <c r="K90" s="31"/>
      <c r="L90" s="31"/>
      <c r="M90" s="31"/>
      <c r="N90" s="31"/>
      <c r="O90" s="31"/>
      <c r="P90" s="31"/>
      <c r="Q90" s="58"/>
      <c r="R90" s="59"/>
      <c r="S90" s="59"/>
      <c r="T90" s="59"/>
      <c r="U90" s="59"/>
      <c r="V90" s="59"/>
      <c r="W90" s="31"/>
      <c r="X90" s="31"/>
      <c r="Y90" s="60"/>
      <c r="Z90" s="60"/>
      <c r="AA90" s="31"/>
      <c r="AB90" s="31"/>
      <c r="AC90" s="31"/>
      <c r="AD90" s="31"/>
      <c r="AE90" s="31"/>
      <c r="AF90" s="31"/>
      <c r="AG90" s="31"/>
      <c r="AH90" s="31"/>
      <c r="AI90" s="31"/>
      <c r="AJ90" s="31"/>
      <c r="AK90" s="31"/>
      <c r="AL90" s="31"/>
      <c r="AM90" s="1"/>
      <c r="AN90" s="31"/>
      <c r="AO90" s="31"/>
      <c r="AP90" s="31"/>
      <c r="AQ90" s="31"/>
      <c r="AR90" s="31"/>
      <c r="AS90" s="60"/>
      <c r="AT90" s="31"/>
      <c r="AU90" s="31"/>
      <c r="AV90" s="31"/>
      <c r="AW90" s="31"/>
      <c r="AX90" s="31"/>
      <c r="AY90" s="31"/>
      <c r="AZ90" s="31"/>
      <c r="BA90" s="31"/>
      <c r="BB90" s="31"/>
      <c r="BC90" s="31"/>
      <c r="BD90" s="31"/>
      <c r="BE90" s="31"/>
      <c r="BF90" s="31"/>
      <c r="BG90" s="31"/>
      <c r="BH90" s="31"/>
    </row>
    <row r="91" spans="1:60" ht="20.25" customHeight="1">
      <c r="A91" s="31"/>
      <c r="B91" s="31"/>
      <c r="C91" s="1"/>
      <c r="D91" s="31"/>
      <c r="E91" s="31"/>
      <c r="F91" s="31"/>
      <c r="G91" s="31"/>
      <c r="H91" s="31"/>
      <c r="I91" s="31"/>
      <c r="J91" s="31"/>
      <c r="K91" s="31"/>
      <c r="L91" s="31"/>
      <c r="M91" s="31"/>
      <c r="N91" s="31"/>
      <c r="O91" s="31"/>
      <c r="P91" s="31"/>
      <c r="Q91" s="58"/>
      <c r="R91" s="59"/>
      <c r="S91" s="59"/>
      <c r="T91" s="59"/>
      <c r="U91" s="59"/>
      <c r="V91" s="59"/>
      <c r="W91" s="31"/>
      <c r="X91" s="31"/>
      <c r="Y91" s="60"/>
      <c r="Z91" s="60"/>
      <c r="AA91" s="31"/>
      <c r="AB91" s="31"/>
      <c r="AC91" s="31"/>
      <c r="AD91" s="31"/>
      <c r="AE91" s="31"/>
      <c r="AF91" s="31"/>
      <c r="AG91" s="31"/>
      <c r="AH91" s="31"/>
      <c r="AI91" s="31"/>
      <c r="AJ91" s="31"/>
      <c r="AK91" s="31"/>
      <c r="AL91" s="31"/>
      <c r="AM91" s="1"/>
      <c r="AN91" s="31"/>
      <c r="AO91" s="31"/>
      <c r="AP91" s="31"/>
      <c r="AQ91" s="31"/>
      <c r="AR91" s="31"/>
      <c r="AS91" s="60"/>
      <c r="AT91" s="31"/>
      <c r="AU91" s="31"/>
      <c r="AV91" s="31"/>
      <c r="AW91" s="31"/>
      <c r="AX91" s="31"/>
      <c r="AY91" s="31"/>
      <c r="AZ91" s="31"/>
      <c r="BA91" s="31"/>
      <c r="BB91" s="31"/>
      <c r="BC91" s="31"/>
      <c r="BD91" s="31"/>
      <c r="BE91" s="31"/>
      <c r="BF91" s="31"/>
      <c r="BG91" s="31"/>
      <c r="BH91" s="31"/>
    </row>
    <row r="92" spans="1:60" ht="20.25" customHeight="1">
      <c r="A92" s="31"/>
      <c r="B92" s="31"/>
      <c r="C92" s="1"/>
      <c r="D92" s="31"/>
      <c r="E92" s="31"/>
      <c r="F92" s="31"/>
      <c r="G92" s="31"/>
      <c r="H92" s="31"/>
      <c r="I92" s="31"/>
      <c r="J92" s="31"/>
      <c r="K92" s="31"/>
      <c r="L92" s="31"/>
      <c r="M92" s="31"/>
      <c r="N92" s="31"/>
      <c r="O92" s="31"/>
      <c r="P92" s="31"/>
      <c r="Q92" s="58"/>
      <c r="R92" s="59"/>
      <c r="S92" s="59"/>
      <c r="T92" s="59"/>
      <c r="U92" s="59"/>
      <c r="V92" s="59"/>
      <c r="W92" s="31"/>
      <c r="X92" s="31"/>
      <c r="Y92" s="60"/>
      <c r="Z92" s="60"/>
      <c r="AA92" s="31"/>
      <c r="AB92" s="31"/>
      <c r="AC92" s="31"/>
      <c r="AD92" s="31"/>
      <c r="AE92" s="31"/>
      <c r="AF92" s="31"/>
      <c r="AG92" s="31"/>
      <c r="AH92" s="31"/>
      <c r="AI92" s="31"/>
      <c r="AJ92" s="31"/>
      <c r="AK92" s="31"/>
      <c r="AL92" s="31"/>
      <c r="AM92" s="1"/>
      <c r="AN92" s="31"/>
      <c r="AO92" s="31"/>
      <c r="AP92" s="31"/>
      <c r="AQ92" s="31"/>
      <c r="AR92" s="31"/>
      <c r="AS92" s="60"/>
      <c r="AT92" s="31"/>
      <c r="AU92" s="31"/>
      <c r="AV92" s="31"/>
      <c r="AW92" s="31"/>
      <c r="AX92" s="31"/>
      <c r="AY92" s="31"/>
      <c r="AZ92" s="31"/>
      <c r="BA92" s="31"/>
      <c r="BB92" s="31"/>
      <c r="BC92" s="31"/>
      <c r="BD92" s="31"/>
      <c r="BE92" s="31"/>
      <c r="BF92" s="31"/>
      <c r="BG92" s="31"/>
      <c r="BH92" s="31"/>
    </row>
    <row r="93" spans="1:60" ht="20.25" customHeight="1">
      <c r="A93" s="31"/>
      <c r="B93" s="31"/>
      <c r="C93" s="1"/>
      <c r="D93" s="31"/>
      <c r="E93" s="31"/>
      <c r="F93" s="31"/>
      <c r="G93" s="31"/>
      <c r="H93" s="31"/>
      <c r="I93" s="31"/>
      <c r="J93" s="31"/>
      <c r="K93" s="31"/>
      <c r="L93" s="31"/>
      <c r="M93" s="31"/>
      <c r="N93" s="31"/>
      <c r="O93" s="31"/>
      <c r="P93" s="31"/>
      <c r="Q93" s="58"/>
      <c r="R93" s="59"/>
      <c r="S93" s="59"/>
      <c r="T93" s="59"/>
      <c r="U93" s="59"/>
      <c r="V93" s="59"/>
      <c r="W93" s="31"/>
      <c r="X93" s="31"/>
      <c r="Y93" s="60"/>
      <c r="Z93" s="60"/>
      <c r="AA93" s="31"/>
      <c r="AB93" s="31"/>
      <c r="AC93" s="31"/>
      <c r="AD93" s="31"/>
      <c r="AE93" s="31"/>
      <c r="AF93" s="31"/>
      <c r="AG93" s="31"/>
      <c r="AH93" s="31"/>
      <c r="AI93" s="31"/>
      <c r="AJ93" s="31"/>
      <c r="AK93" s="31"/>
      <c r="AL93" s="31"/>
      <c r="AM93" s="1"/>
      <c r="AN93" s="31"/>
      <c r="AO93" s="31"/>
      <c r="AP93" s="31"/>
      <c r="AQ93" s="31"/>
      <c r="AR93" s="31"/>
      <c r="AS93" s="60"/>
      <c r="AT93" s="31"/>
      <c r="AU93" s="31"/>
      <c r="AV93" s="31"/>
      <c r="AW93" s="31"/>
      <c r="AX93" s="31"/>
      <c r="AY93" s="31"/>
      <c r="AZ93" s="31"/>
      <c r="BA93" s="31"/>
      <c r="BB93" s="31"/>
      <c r="BC93" s="31"/>
      <c r="BD93" s="31"/>
      <c r="BE93" s="31"/>
      <c r="BF93" s="31"/>
      <c r="BG93" s="31"/>
      <c r="BH93" s="31"/>
    </row>
    <row r="94" spans="1:60" ht="20.25" customHeight="1">
      <c r="A94" s="31"/>
      <c r="B94" s="31"/>
      <c r="C94" s="1"/>
      <c r="D94" s="31"/>
      <c r="E94" s="31"/>
      <c r="F94" s="31"/>
      <c r="G94" s="31"/>
      <c r="H94" s="31"/>
      <c r="I94" s="31"/>
      <c r="J94" s="31"/>
      <c r="K94" s="31"/>
      <c r="L94" s="31"/>
      <c r="M94" s="31"/>
      <c r="N94" s="31"/>
      <c r="O94" s="31"/>
      <c r="P94" s="31"/>
      <c r="Q94" s="58"/>
      <c r="R94" s="59"/>
      <c r="S94" s="59"/>
      <c r="T94" s="59"/>
      <c r="U94" s="59"/>
      <c r="V94" s="59"/>
      <c r="W94" s="31"/>
      <c r="X94" s="31"/>
      <c r="Y94" s="60"/>
      <c r="Z94" s="60"/>
      <c r="AA94" s="31"/>
      <c r="AB94" s="31"/>
      <c r="AC94" s="31"/>
      <c r="AD94" s="31"/>
      <c r="AE94" s="31"/>
      <c r="AF94" s="31"/>
      <c r="AG94" s="31"/>
      <c r="AH94" s="31"/>
      <c r="AI94" s="31"/>
      <c r="AJ94" s="31"/>
      <c r="AK94" s="31"/>
      <c r="AL94" s="31"/>
      <c r="AM94" s="1"/>
      <c r="AN94" s="31"/>
      <c r="AO94" s="31"/>
      <c r="AP94" s="31"/>
      <c r="AQ94" s="31"/>
      <c r="AR94" s="31"/>
      <c r="AS94" s="60"/>
      <c r="AT94" s="31"/>
      <c r="AU94" s="31"/>
      <c r="AV94" s="31"/>
      <c r="AW94" s="31"/>
      <c r="AX94" s="31"/>
      <c r="AY94" s="31"/>
      <c r="AZ94" s="31"/>
      <c r="BA94" s="31"/>
      <c r="BB94" s="31"/>
      <c r="BC94" s="31"/>
      <c r="BD94" s="31"/>
      <c r="BE94" s="31"/>
      <c r="BF94" s="31"/>
      <c r="BG94" s="31"/>
      <c r="BH94" s="31"/>
    </row>
    <row r="95" spans="1:60" ht="20.25" customHeight="1">
      <c r="A95" s="31"/>
      <c r="B95" s="31"/>
      <c r="C95" s="1"/>
      <c r="D95" s="31"/>
      <c r="E95" s="31"/>
      <c r="F95" s="31"/>
      <c r="G95" s="31"/>
      <c r="H95" s="31"/>
      <c r="I95" s="31"/>
      <c r="J95" s="31"/>
      <c r="K95" s="31"/>
      <c r="L95" s="31"/>
      <c r="M95" s="31"/>
      <c r="N95" s="31"/>
      <c r="O95" s="31"/>
      <c r="P95" s="31"/>
      <c r="Q95" s="58"/>
      <c r="R95" s="59"/>
      <c r="S95" s="59"/>
      <c r="T95" s="59"/>
      <c r="U95" s="59"/>
      <c r="V95" s="59"/>
      <c r="W95" s="31"/>
      <c r="X95" s="31"/>
      <c r="Y95" s="60"/>
      <c r="Z95" s="60"/>
      <c r="AA95" s="31"/>
      <c r="AB95" s="31"/>
      <c r="AC95" s="31"/>
      <c r="AD95" s="31"/>
      <c r="AE95" s="31"/>
      <c r="AF95" s="31"/>
      <c r="AG95" s="31"/>
      <c r="AH95" s="31"/>
      <c r="AI95" s="31"/>
      <c r="AJ95" s="31"/>
      <c r="AK95" s="31"/>
      <c r="AL95" s="31"/>
      <c r="AM95" s="1"/>
      <c r="AN95" s="31"/>
      <c r="AO95" s="31"/>
      <c r="AP95" s="31"/>
      <c r="AQ95" s="31"/>
      <c r="AR95" s="31"/>
      <c r="AS95" s="60"/>
      <c r="AT95" s="31"/>
      <c r="AU95" s="31"/>
      <c r="AV95" s="31"/>
      <c r="AW95" s="31"/>
      <c r="AX95" s="31"/>
      <c r="AY95" s="31"/>
      <c r="AZ95" s="31"/>
      <c r="BA95" s="31"/>
      <c r="BB95" s="31"/>
      <c r="BC95" s="31"/>
      <c r="BD95" s="31"/>
      <c r="BE95" s="31"/>
      <c r="BF95" s="31"/>
      <c r="BG95" s="31"/>
      <c r="BH95" s="31"/>
    </row>
    <row r="96" spans="1:60" ht="20.25" customHeight="1">
      <c r="A96" s="31"/>
      <c r="B96" s="31"/>
      <c r="C96" s="1"/>
      <c r="D96" s="31"/>
      <c r="E96" s="31"/>
      <c r="F96" s="31"/>
      <c r="G96" s="31"/>
      <c r="H96" s="31"/>
      <c r="I96" s="31"/>
      <c r="J96" s="31"/>
      <c r="K96" s="31"/>
      <c r="L96" s="31"/>
      <c r="M96" s="31"/>
      <c r="N96" s="31"/>
      <c r="O96" s="31"/>
      <c r="P96" s="31"/>
      <c r="Q96" s="58"/>
      <c r="R96" s="59"/>
      <c r="S96" s="59"/>
      <c r="T96" s="59"/>
      <c r="U96" s="59"/>
      <c r="V96" s="59"/>
      <c r="W96" s="31"/>
      <c r="X96" s="31"/>
      <c r="Y96" s="60"/>
      <c r="Z96" s="60"/>
      <c r="AA96" s="31"/>
      <c r="AB96" s="31"/>
      <c r="AC96" s="31"/>
      <c r="AD96" s="31"/>
      <c r="AE96" s="31"/>
      <c r="AF96" s="31"/>
      <c r="AG96" s="31"/>
      <c r="AH96" s="31"/>
      <c r="AI96" s="31"/>
      <c r="AJ96" s="31"/>
      <c r="AK96" s="31"/>
      <c r="AL96" s="31"/>
      <c r="AM96" s="1"/>
      <c r="AN96" s="31"/>
      <c r="AO96" s="31"/>
      <c r="AP96" s="31"/>
      <c r="AQ96" s="31"/>
      <c r="AR96" s="31"/>
      <c r="AS96" s="60"/>
      <c r="AT96" s="31"/>
      <c r="AU96" s="31"/>
      <c r="AV96" s="31"/>
      <c r="AW96" s="31"/>
      <c r="AX96" s="31"/>
      <c r="AY96" s="31"/>
      <c r="AZ96" s="31"/>
      <c r="BA96" s="31"/>
      <c r="BB96" s="31"/>
      <c r="BC96" s="31"/>
      <c r="BD96" s="31"/>
      <c r="BE96" s="31"/>
      <c r="BF96" s="31"/>
      <c r="BG96" s="31"/>
      <c r="BH96" s="31"/>
    </row>
  </sheetData>
  <mergeCells count="21">
    <mergeCell ref="A1:AM1"/>
    <mergeCell ref="A2:AM2"/>
    <mergeCell ref="D3:Q3"/>
    <mergeCell ref="R3:U3"/>
    <mergeCell ref="AK3:AL3"/>
    <mergeCell ref="V3:V4"/>
    <mergeCell ref="W3:W4"/>
    <mergeCell ref="X3:X4"/>
    <mergeCell ref="Y3:Y4"/>
    <mergeCell ref="Z3:Z4"/>
    <mergeCell ref="AA3:AA4"/>
    <mergeCell ref="A7:Q7"/>
    <mergeCell ref="A8:B8"/>
    <mergeCell ref="U8:Z8"/>
    <mergeCell ref="AL8:AM8"/>
    <mergeCell ref="A3:A4"/>
    <mergeCell ref="B3:B4"/>
    <mergeCell ref="C3:C4"/>
    <mergeCell ref="AJ3:AJ4"/>
    <mergeCell ref="AB3:AI3"/>
    <mergeCell ref="AM3:AM4"/>
  </mergeCells>
  <conditionalFormatting sqref="J5:N6">
    <cfRule type="cellIs" dxfId="18" priority="1" stopIfTrue="1" operator="equal">
      <formula>"ER"</formula>
    </cfRule>
  </conditionalFormatting>
  <printOptions horizontalCentered="1"/>
  <pageMargins left="0" right="0" top="0.23622047244094499" bottom="0" header="0" footer="0"/>
  <pageSetup paperSize="9" scale="21" fitToHeight="0" orientation="landscape"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85623"/>
    <pageSetUpPr fitToPage="1"/>
  </sheetPr>
  <dimension ref="A1:AS86"/>
  <sheetViews>
    <sheetView zoomScale="40" zoomScaleNormal="40" workbookViewId="0">
      <pane xSplit="2" ySplit="4" topLeftCell="C16" activePane="bottomRight" state="frozen"/>
      <selection pane="topRight" activeCell="C1" sqref="C1"/>
      <selection pane="bottomLeft" activeCell="A5" sqref="A5"/>
      <selection pane="bottomRight" activeCell="A20" sqref="A7:XFD20"/>
    </sheetView>
  </sheetViews>
  <sheetFormatPr defaultColWidth="16.81640625" defaultRowHeight="15" customHeight="1" outlineLevelCol="1"/>
  <cols>
    <col min="1" max="1" width="5.1796875" customWidth="1"/>
    <col min="2" max="2" width="27.7265625" customWidth="1"/>
    <col min="3" max="3" width="15.1796875" customWidth="1" outlineLevel="1"/>
    <col min="4" max="4" width="5.81640625" customWidth="1" outlineLevel="1"/>
    <col min="5" max="5" width="4.26953125" customWidth="1" outlineLevel="1"/>
    <col min="6" max="7" width="7.26953125" customWidth="1" outlineLevel="1"/>
    <col min="8" max="8" width="4.26953125" customWidth="1" outlineLevel="1"/>
    <col min="9" max="9" width="7.26953125" customWidth="1" outlineLevel="1"/>
    <col min="10" max="10" width="4.26953125" customWidth="1" outlineLevel="1"/>
    <col min="11" max="13" width="7.26953125" customWidth="1" outlineLevel="1"/>
    <col min="14" max="15" width="4.26953125" customWidth="1" outlineLevel="1"/>
    <col min="16" max="16" width="7.453125" customWidth="1" outlineLevel="1"/>
    <col min="17" max="17" width="7.81640625" customWidth="1" outlineLevel="1"/>
    <col min="18" max="18" width="15.453125" style="355" customWidth="1" outlineLevel="1"/>
    <col min="19" max="19" width="13" style="355" customWidth="1" outlineLevel="1"/>
    <col min="20" max="20" width="14.26953125" style="355" customWidth="1" outlineLevel="1"/>
    <col min="21" max="21" width="16.81640625" style="355" customWidth="1" outlineLevel="1"/>
    <col min="22" max="22" width="15.1796875" customWidth="1" outlineLevel="1"/>
    <col min="23" max="23" width="17.1796875" customWidth="1" outlineLevel="1"/>
    <col min="24" max="24" width="13.1796875" hidden="1" customWidth="1" outlineLevel="1"/>
    <col min="25" max="25" width="23.81640625" hidden="1" customWidth="1" outlineLevel="1"/>
    <col min="26" max="26" width="17.7265625" hidden="1" customWidth="1" outlineLevel="1"/>
    <col min="27" max="27" width="16.26953125" hidden="1" customWidth="1" outlineLevel="1"/>
    <col min="28" max="28" width="12.81640625" hidden="1" customWidth="1" outlineLevel="1"/>
    <col min="29" max="30" width="11.26953125" hidden="1" customWidth="1" outlineLevel="1"/>
    <col min="31" max="31" width="13" customWidth="1" outlineLevel="1"/>
    <col min="32" max="32" width="13.7265625" customWidth="1" outlineLevel="1"/>
    <col min="33" max="33" width="15.453125" customWidth="1" outlineLevel="1"/>
    <col min="34" max="34" width="15.26953125" customWidth="1" outlineLevel="1"/>
    <col min="35" max="35" width="12.453125" customWidth="1" outlineLevel="1"/>
    <col min="36" max="36" width="15.1796875" customWidth="1"/>
    <col min="37" max="37" width="12.81640625" hidden="1" customWidth="1"/>
    <col min="38" max="38" width="13" hidden="1" customWidth="1"/>
    <col min="39" max="39" width="41.7265625" customWidth="1"/>
    <col min="40" max="40" width="32.81640625" customWidth="1"/>
    <col min="41" max="41" width="16.1796875" customWidth="1"/>
    <col min="42" max="42" width="11" customWidth="1"/>
    <col min="43" max="43" width="3.7265625" customWidth="1"/>
    <col min="44" max="44" width="38.7265625" customWidth="1"/>
    <col min="45" max="45" width="20.26953125" customWidth="1"/>
  </cols>
  <sheetData>
    <row r="1" spans="1:45" ht="20.25" customHeight="1">
      <c r="A1" s="725" t="s">
        <v>0</v>
      </c>
      <c r="B1" s="634"/>
      <c r="C1" s="634"/>
      <c r="D1" s="634"/>
      <c r="E1" s="634"/>
      <c r="F1" s="634"/>
      <c r="G1" s="634"/>
      <c r="H1" s="634"/>
      <c r="I1" s="634"/>
      <c r="J1" s="634"/>
      <c r="K1" s="634"/>
      <c r="L1" s="634"/>
      <c r="M1" s="634"/>
      <c r="N1" s="634"/>
      <c r="O1" s="634"/>
      <c r="P1" s="634"/>
      <c r="Q1" s="634"/>
      <c r="R1" s="634"/>
      <c r="S1" s="634"/>
      <c r="T1" s="634"/>
      <c r="U1" s="634"/>
      <c r="V1" s="634"/>
      <c r="W1" s="634"/>
      <c r="X1" s="634"/>
      <c r="Y1" s="634"/>
      <c r="Z1" s="634"/>
      <c r="AA1" s="634"/>
      <c r="AB1" s="634"/>
      <c r="AC1" s="634"/>
      <c r="AD1" s="634"/>
      <c r="AE1" s="634"/>
      <c r="AF1" s="634"/>
      <c r="AG1" s="634"/>
      <c r="AH1" s="634"/>
      <c r="AI1" s="634"/>
      <c r="AJ1" s="634"/>
      <c r="AK1" s="634"/>
      <c r="AL1" s="634"/>
      <c r="AM1" s="635"/>
      <c r="AN1" s="31"/>
      <c r="AO1" s="31"/>
      <c r="AP1" s="31"/>
      <c r="AQ1" s="31"/>
      <c r="AR1" s="31"/>
      <c r="AS1" s="60"/>
    </row>
    <row r="2" spans="1:45" ht="20.25" customHeight="1">
      <c r="A2" s="726" t="s">
        <v>576</v>
      </c>
      <c r="B2" s="637"/>
      <c r="C2" s="637"/>
      <c r="D2" s="637"/>
      <c r="E2" s="637"/>
      <c r="F2" s="637"/>
      <c r="G2" s="637"/>
      <c r="H2" s="637"/>
      <c r="I2" s="637"/>
      <c r="J2" s="637"/>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8"/>
      <c r="AN2" s="31"/>
      <c r="AO2" s="31"/>
      <c r="AP2" s="31"/>
      <c r="AQ2" s="31"/>
      <c r="AR2" s="31"/>
      <c r="AS2" s="60"/>
    </row>
    <row r="3" spans="1:45" ht="57.75" customHeight="1">
      <c r="A3" s="34" t="s">
        <v>39</v>
      </c>
      <c r="B3" s="35" t="s">
        <v>40</v>
      </c>
      <c r="C3" s="35" t="s">
        <v>41</v>
      </c>
      <c r="D3" s="690" t="s">
        <v>42</v>
      </c>
      <c r="E3" s="637"/>
      <c r="F3" s="637"/>
      <c r="G3" s="637"/>
      <c r="H3" s="637"/>
      <c r="I3" s="637"/>
      <c r="J3" s="637"/>
      <c r="K3" s="637"/>
      <c r="L3" s="637"/>
      <c r="M3" s="637"/>
      <c r="N3" s="637"/>
      <c r="O3" s="637"/>
      <c r="P3" s="637"/>
      <c r="Q3" s="628"/>
      <c r="R3" s="774" t="s">
        <v>43</v>
      </c>
      <c r="S3" s="692"/>
      <c r="T3" s="692"/>
      <c r="U3" s="693"/>
      <c r="V3" s="131" t="s">
        <v>44</v>
      </c>
      <c r="W3" s="132" t="s">
        <v>45</v>
      </c>
      <c r="X3" s="35" t="s">
        <v>46</v>
      </c>
      <c r="Y3" s="36" t="s">
        <v>47</v>
      </c>
      <c r="Z3" s="36" t="s">
        <v>48</v>
      </c>
      <c r="AA3" s="37" t="s">
        <v>49</v>
      </c>
      <c r="AB3" s="690" t="s">
        <v>6</v>
      </c>
      <c r="AC3" s="637"/>
      <c r="AD3" s="637"/>
      <c r="AE3" s="637"/>
      <c r="AF3" s="637"/>
      <c r="AG3" s="637"/>
      <c r="AH3" s="637"/>
      <c r="AI3" s="628"/>
      <c r="AJ3" s="37" t="s">
        <v>50</v>
      </c>
      <c r="AK3" s="773" t="s">
        <v>51</v>
      </c>
      <c r="AL3" s="628"/>
      <c r="AM3" s="133" t="s">
        <v>52</v>
      </c>
      <c r="AN3" s="1"/>
      <c r="AO3" s="1"/>
      <c r="AP3" s="1"/>
      <c r="AQ3" s="1"/>
      <c r="AR3" s="1"/>
      <c r="AS3" s="111"/>
    </row>
    <row r="4" spans="1:45" ht="173.25" customHeight="1">
      <c r="A4" s="34"/>
      <c r="B4" s="35"/>
      <c r="C4" s="35"/>
      <c r="D4" s="71" t="s">
        <v>53</v>
      </c>
      <c r="E4" s="121" t="s">
        <v>54</v>
      </c>
      <c r="F4" s="72" t="s">
        <v>55</v>
      </c>
      <c r="G4" s="72" t="s">
        <v>56</v>
      </c>
      <c r="H4" s="121" t="s">
        <v>57</v>
      </c>
      <c r="I4" s="72" t="s">
        <v>58</v>
      </c>
      <c r="J4" s="72" t="s">
        <v>59</v>
      </c>
      <c r="K4" s="71" t="s">
        <v>60</v>
      </c>
      <c r="L4" s="121" t="s">
        <v>116</v>
      </c>
      <c r="M4" s="71" t="s">
        <v>62</v>
      </c>
      <c r="N4" s="71" t="s">
        <v>63</v>
      </c>
      <c r="O4" s="71" t="s">
        <v>64</v>
      </c>
      <c r="P4" s="72" t="s">
        <v>65</v>
      </c>
      <c r="Q4" s="73" t="s">
        <v>66</v>
      </c>
      <c r="R4" s="583" t="s">
        <v>67</v>
      </c>
      <c r="S4" s="583" t="s">
        <v>68</v>
      </c>
      <c r="T4" s="584" t="s">
        <v>69</v>
      </c>
      <c r="U4" s="585" t="s">
        <v>70</v>
      </c>
      <c r="V4" s="134"/>
      <c r="W4" s="132"/>
      <c r="X4" s="35"/>
      <c r="Y4" s="36"/>
      <c r="Z4" s="36"/>
      <c r="AA4" s="37"/>
      <c r="AB4" s="45" t="s">
        <v>71</v>
      </c>
      <c r="AC4" s="35" t="s">
        <v>72</v>
      </c>
      <c r="AD4" s="37" t="s">
        <v>11</v>
      </c>
      <c r="AE4" s="37" t="s">
        <v>12</v>
      </c>
      <c r="AF4" s="46" t="s">
        <v>13</v>
      </c>
      <c r="AG4" s="37" t="s">
        <v>74</v>
      </c>
      <c r="AH4" s="45" t="s">
        <v>75</v>
      </c>
      <c r="AI4" s="47" t="s">
        <v>32</v>
      </c>
      <c r="AJ4" s="37"/>
      <c r="AK4" s="135" t="s">
        <v>76</v>
      </c>
      <c r="AL4" s="37" t="s">
        <v>77</v>
      </c>
      <c r="AM4" s="133"/>
      <c r="AN4" s="49"/>
      <c r="AO4" s="49"/>
      <c r="AP4" s="49"/>
      <c r="AQ4" s="49"/>
      <c r="AR4" s="49"/>
      <c r="AS4" s="112"/>
    </row>
    <row r="5" spans="1:45" s="430" customFormat="1" ht="55" customHeight="1">
      <c r="A5" s="416">
        <v>1</v>
      </c>
      <c r="B5" s="417" t="s">
        <v>187</v>
      </c>
      <c r="C5" s="417" t="s">
        <v>188</v>
      </c>
      <c r="D5" s="417">
        <v>30</v>
      </c>
      <c r="E5" s="452">
        <v>0</v>
      </c>
      <c r="F5" s="418">
        <f t="shared" ref="F5:F6" si="0">IF((E5/3)&gt;=1,TRUNC(E5/3,0),0)</f>
        <v>0</v>
      </c>
      <c r="G5" s="418">
        <f t="shared" ref="G5:G6" si="1">E5-F5*3</f>
        <v>0</v>
      </c>
      <c r="H5" s="452">
        <v>0</v>
      </c>
      <c r="I5" s="418">
        <f>IF(H5&lt;1,H5,H5-1)</f>
        <v>0</v>
      </c>
      <c r="J5" s="418">
        <f t="shared" ref="J5:J6" si="2">H5-I5</f>
        <v>0</v>
      </c>
      <c r="K5" s="418">
        <v>0</v>
      </c>
      <c r="L5" s="501">
        <v>0</v>
      </c>
      <c r="M5" s="418">
        <v>0</v>
      </c>
      <c r="N5" s="418">
        <v>0</v>
      </c>
      <c r="O5" s="418">
        <v>0</v>
      </c>
      <c r="P5" s="419">
        <f t="shared" ref="P5:P6" si="3">L5+M5+N5+O5</f>
        <v>0</v>
      </c>
      <c r="Q5" s="420">
        <f t="shared" ref="Q5:Q6" si="4">(F5*0.5)+(I5*0.5)+M5+(N5*2)</f>
        <v>0</v>
      </c>
      <c r="R5" s="423"/>
      <c r="S5" s="423"/>
      <c r="T5" s="423"/>
      <c r="U5" s="423">
        <f t="shared" ref="U5:U6" si="5">R5-(S5+T5)</f>
        <v>0</v>
      </c>
      <c r="V5" s="423">
        <v>14300</v>
      </c>
      <c r="W5" s="422">
        <f t="shared" ref="W5:W6" si="6">V5</f>
        <v>14300</v>
      </c>
      <c r="X5" s="422"/>
      <c r="Y5" s="423">
        <f t="shared" ref="Y5:Y6" si="7">(W5+X5)-AB5</f>
        <v>14300</v>
      </c>
      <c r="Z5" s="423">
        <f t="shared" ref="Z5:Z6" si="8">W5/D5</f>
        <v>476.66666666666669</v>
      </c>
      <c r="AA5" s="423">
        <f t="shared" ref="AA5:AA6" si="9">W5*45%</f>
        <v>6435</v>
      </c>
      <c r="AB5" s="422">
        <f t="shared" ref="AB5:AB6" si="10">Q5*Z5</f>
        <v>0</v>
      </c>
      <c r="AC5" s="422"/>
      <c r="AD5" s="422">
        <f t="shared" ref="AD5:AD6" si="11">(AC5)*Z5</f>
        <v>0</v>
      </c>
      <c r="AE5" s="423">
        <f t="shared" ref="AE5:AE6" si="12">T5</f>
        <v>0</v>
      </c>
      <c r="AF5" s="425"/>
      <c r="AG5" s="422">
        <f>ROUNDUP(AA5*12%,0)</f>
        <v>773</v>
      </c>
      <c r="AH5" s="422">
        <f>ROUNDUP((Y5+X5)*0.75%,0)</f>
        <v>108</v>
      </c>
      <c r="AI5" s="422">
        <f t="shared" ref="AI5:AI6" si="13">SUM(AB5,AD5:AH5)</f>
        <v>881</v>
      </c>
      <c r="AJ5" s="422">
        <f t="shared" ref="AJ5:AJ6" si="14">ROUND(SUM(W5:X5)-AI5,0)</f>
        <v>13419</v>
      </c>
      <c r="AK5" s="422">
        <f>ROUNDUP(AA5*13.01%,0)</f>
        <v>838</v>
      </c>
      <c r="AL5" s="422">
        <f>ROUNDUP((Y5+X5)*3.25%,0)</f>
        <v>465</v>
      </c>
      <c r="AM5" s="426"/>
      <c r="AN5" s="427" t="s">
        <v>189</v>
      </c>
      <c r="AO5" s="428"/>
      <c r="AP5" s="428"/>
      <c r="AQ5" s="428"/>
      <c r="AR5" s="428"/>
      <c r="AS5" s="429"/>
    </row>
    <row r="6" spans="1:45" s="430" customFormat="1" ht="55" customHeight="1">
      <c r="A6" s="416">
        <v>2</v>
      </c>
      <c r="B6" s="417" t="s">
        <v>190</v>
      </c>
      <c r="C6" s="417" t="s">
        <v>188</v>
      </c>
      <c r="D6" s="417">
        <v>30</v>
      </c>
      <c r="E6" s="452">
        <v>0</v>
      </c>
      <c r="F6" s="418">
        <f t="shared" si="0"/>
        <v>0</v>
      </c>
      <c r="G6" s="418">
        <f t="shared" si="1"/>
        <v>0</v>
      </c>
      <c r="H6" s="452">
        <v>0</v>
      </c>
      <c r="I6" s="418">
        <f>IF(H6&lt;2,H6,H6-2)</f>
        <v>0</v>
      </c>
      <c r="J6" s="418">
        <f t="shared" si="2"/>
        <v>0</v>
      </c>
      <c r="K6" s="418">
        <v>0</v>
      </c>
      <c r="L6" s="501">
        <v>1</v>
      </c>
      <c r="M6" s="418">
        <v>0</v>
      </c>
      <c r="N6" s="418">
        <v>0</v>
      </c>
      <c r="O6" s="418">
        <v>0</v>
      </c>
      <c r="P6" s="419">
        <f t="shared" si="3"/>
        <v>1</v>
      </c>
      <c r="Q6" s="420">
        <f t="shared" si="4"/>
        <v>0</v>
      </c>
      <c r="R6" s="421">
        <v>20000</v>
      </c>
      <c r="S6" s="421">
        <f>2000+2000+2000+2000+2000+2000+2000</f>
        <v>14000</v>
      </c>
      <c r="T6" s="421">
        <v>2000</v>
      </c>
      <c r="U6" s="421">
        <f t="shared" si="5"/>
        <v>4000</v>
      </c>
      <c r="V6" s="423">
        <v>13500</v>
      </c>
      <c r="W6" s="422">
        <f t="shared" si="6"/>
        <v>13500</v>
      </c>
      <c r="X6" s="422"/>
      <c r="Y6" s="423">
        <f t="shared" si="7"/>
        <v>13500</v>
      </c>
      <c r="Z6" s="423">
        <f t="shared" si="8"/>
        <v>450</v>
      </c>
      <c r="AA6" s="423">
        <f t="shared" si="9"/>
        <v>6075</v>
      </c>
      <c r="AB6" s="422">
        <f t="shared" si="10"/>
        <v>0</v>
      </c>
      <c r="AC6" s="422"/>
      <c r="AD6" s="422">
        <f t="shared" si="11"/>
        <v>0</v>
      </c>
      <c r="AE6" s="423">
        <f t="shared" si="12"/>
        <v>2000</v>
      </c>
      <c r="AF6" s="425"/>
      <c r="AG6" s="422">
        <f>ROUNDUP(AA6*12%,0)</f>
        <v>729</v>
      </c>
      <c r="AH6" s="422">
        <f>ROUNDUP((Y6+X6)*0.75%,0)</f>
        <v>102</v>
      </c>
      <c r="AI6" s="422">
        <f t="shared" si="13"/>
        <v>2831</v>
      </c>
      <c r="AJ6" s="422">
        <f t="shared" si="14"/>
        <v>10669</v>
      </c>
      <c r="AK6" s="422">
        <f>ROUNDUP(AA6*13.01%,0)</f>
        <v>791</v>
      </c>
      <c r="AL6" s="422">
        <f>ROUNDUP((Y6+X6)*3.25%,0)</f>
        <v>439</v>
      </c>
      <c r="AM6" s="426" t="s">
        <v>191</v>
      </c>
      <c r="AN6" s="427" t="s">
        <v>192</v>
      </c>
      <c r="AO6" s="428"/>
      <c r="AP6" s="428"/>
      <c r="AQ6" s="428"/>
      <c r="AR6" s="428"/>
      <c r="AS6" s="429"/>
    </row>
    <row r="7" spans="1:45" ht="59.25" customHeight="1">
      <c r="A7" s="768" t="s">
        <v>123</v>
      </c>
      <c r="B7" s="637"/>
      <c r="C7" s="637"/>
      <c r="D7" s="637"/>
      <c r="E7" s="637"/>
      <c r="F7" s="637"/>
      <c r="G7" s="637"/>
      <c r="H7" s="637"/>
      <c r="I7" s="637"/>
      <c r="J7" s="637"/>
      <c r="K7" s="637"/>
      <c r="L7" s="637"/>
      <c r="M7" s="637"/>
      <c r="N7" s="637"/>
      <c r="O7" s="637"/>
      <c r="P7" s="637"/>
      <c r="Q7" s="628"/>
      <c r="R7" s="368">
        <f>SUM(R5:R6)</f>
        <v>20000</v>
      </c>
      <c r="S7" s="368">
        <f>SUM(S5:S6)</f>
        <v>14000</v>
      </c>
      <c r="T7" s="368">
        <f>SUM(T5:T6)</f>
        <v>2000</v>
      </c>
      <c r="U7" s="368">
        <f>SUM(U5:U6)</f>
        <v>4000</v>
      </c>
      <c r="V7" s="66">
        <f>SUM(V5:V6)</f>
        <v>27800</v>
      </c>
      <c r="W7" s="66">
        <f>SUM(W5:W6)</f>
        <v>27800</v>
      </c>
      <c r="X7" s="66">
        <f>SUM(X5:X6)</f>
        <v>0</v>
      </c>
      <c r="Y7" s="66">
        <f>SUM(Y5:Y6)</f>
        <v>27800</v>
      </c>
      <c r="Z7" s="66">
        <f>SUM(Z5:Z6)</f>
        <v>926.66666666666674</v>
      </c>
      <c r="AA7" s="66">
        <f>SUM(AA5:AA6)</f>
        <v>12510</v>
      </c>
      <c r="AB7" s="66">
        <f>SUM(AB5:AB6)</f>
        <v>0</v>
      </c>
      <c r="AC7" s="66">
        <f>SUM(AC5:AC6)</f>
        <v>0</v>
      </c>
      <c r="AD7" s="66">
        <f>SUM(AD5:AD6)</f>
        <v>0</v>
      </c>
      <c r="AE7" s="66">
        <f>SUM(AE5:AE6)</f>
        <v>2000</v>
      </c>
      <c r="AF7" s="66">
        <f>SUM(AF5:AF6)</f>
        <v>0</v>
      </c>
      <c r="AG7" s="66">
        <f>SUM(AG5:AG6)</f>
        <v>1502</v>
      </c>
      <c r="AH7" s="66">
        <f>SUM(AH5:AH6)</f>
        <v>210</v>
      </c>
      <c r="AI7" s="66">
        <f>SUM(AI5:AI6)</f>
        <v>3712</v>
      </c>
      <c r="AJ7" s="66">
        <f>SUM(AJ5:AJ6)</f>
        <v>24088</v>
      </c>
      <c r="AK7" s="66">
        <f>SUM(AK5:AK6)</f>
        <v>1629</v>
      </c>
      <c r="AL7" s="66">
        <f>SUM(AL5:AL6)</f>
        <v>904</v>
      </c>
      <c r="AM7" s="114">
        <f>SUM(AM5:AM6)</f>
        <v>0</v>
      </c>
      <c r="AN7" s="136"/>
      <c r="AO7" s="104"/>
      <c r="AP7" s="104"/>
      <c r="AQ7" s="104"/>
      <c r="AR7" s="104"/>
      <c r="AS7" s="105"/>
    </row>
    <row r="8" spans="1:45" ht="108.75" customHeight="1">
      <c r="A8" s="769" t="s">
        <v>34</v>
      </c>
      <c r="B8" s="770"/>
      <c r="C8" s="126"/>
      <c r="D8" s="126"/>
      <c r="E8" s="126"/>
      <c r="F8" s="126"/>
      <c r="G8" s="126"/>
      <c r="H8" s="126"/>
      <c r="I8" s="126"/>
      <c r="J8" s="126"/>
      <c r="K8" s="126"/>
      <c r="L8" s="126"/>
      <c r="M8" s="126"/>
      <c r="N8" s="126"/>
      <c r="O8" s="126"/>
      <c r="P8" s="126"/>
      <c r="Q8" s="126"/>
      <c r="R8" s="586"/>
      <c r="S8" s="586"/>
      <c r="T8" s="586"/>
      <c r="U8" s="586"/>
      <c r="V8" s="126"/>
      <c r="W8" s="771" t="s">
        <v>112</v>
      </c>
      <c r="X8" s="640"/>
      <c r="Y8" s="770"/>
      <c r="Z8" s="126"/>
      <c r="AA8" s="126"/>
      <c r="AB8" s="126"/>
      <c r="AC8" s="126"/>
      <c r="AD8" s="126"/>
      <c r="AE8" s="126"/>
      <c r="AF8" s="126"/>
      <c r="AG8" s="126"/>
      <c r="AH8" s="126"/>
      <c r="AI8" s="126"/>
      <c r="AJ8" s="126"/>
      <c r="AK8" s="126"/>
      <c r="AL8" s="771" t="s">
        <v>156</v>
      </c>
      <c r="AM8" s="772"/>
      <c r="AN8" s="57"/>
      <c r="AO8" s="57"/>
      <c r="AP8" s="57"/>
      <c r="AQ8" s="57"/>
      <c r="AR8" s="57"/>
      <c r="AS8" s="127"/>
    </row>
    <row r="9" spans="1:45" ht="20.25" customHeight="1">
      <c r="A9" s="117"/>
      <c r="B9" s="118"/>
      <c r="C9" s="117"/>
      <c r="D9" s="117"/>
      <c r="E9" s="117"/>
      <c r="F9" s="117"/>
      <c r="G9" s="117"/>
      <c r="H9" s="117"/>
      <c r="I9" s="117"/>
      <c r="J9" s="117"/>
      <c r="K9" s="117"/>
      <c r="L9" s="117"/>
      <c r="M9" s="117"/>
      <c r="N9" s="117"/>
      <c r="O9" s="117"/>
      <c r="P9" s="117"/>
      <c r="Q9" s="117"/>
      <c r="R9" s="587"/>
      <c r="S9" s="587"/>
      <c r="T9" s="587"/>
      <c r="U9" s="587"/>
      <c r="V9" s="68"/>
      <c r="W9" s="117"/>
      <c r="X9" s="117"/>
      <c r="Y9" s="117"/>
      <c r="Z9" s="117"/>
      <c r="AA9" s="68"/>
      <c r="AB9" s="117"/>
      <c r="AC9" s="117"/>
      <c r="AD9" s="117"/>
      <c r="AE9" s="117"/>
      <c r="AF9" s="117"/>
      <c r="AG9" s="117"/>
      <c r="AH9" s="117"/>
      <c r="AI9" s="68"/>
      <c r="AJ9" s="117"/>
      <c r="AK9" s="117"/>
      <c r="AL9" s="117"/>
      <c r="AM9" s="117"/>
      <c r="AN9" s="117"/>
      <c r="AO9" s="117"/>
      <c r="AP9" s="117"/>
      <c r="AQ9" s="117"/>
      <c r="AR9" s="117"/>
      <c r="AS9" s="120"/>
    </row>
    <row r="10" spans="1:45" ht="20.25" customHeight="1">
      <c r="A10" s="31"/>
      <c r="B10" s="1"/>
      <c r="C10" s="31"/>
      <c r="D10" s="31"/>
      <c r="E10" s="31"/>
      <c r="F10" s="31"/>
      <c r="G10" s="31"/>
      <c r="H10" s="31"/>
      <c r="I10" s="31"/>
      <c r="J10" s="31"/>
      <c r="K10" s="31"/>
      <c r="L10" s="31"/>
      <c r="M10" s="31"/>
      <c r="N10" s="31"/>
      <c r="O10" s="31"/>
      <c r="P10" s="31"/>
      <c r="Q10" s="31"/>
      <c r="R10" s="588"/>
      <c r="S10" s="588"/>
      <c r="T10" s="588"/>
      <c r="U10" s="588"/>
      <c r="V10" s="59"/>
      <c r="W10" s="31"/>
      <c r="X10" s="31"/>
      <c r="Y10" s="31"/>
      <c r="Z10" s="31"/>
      <c r="AA10" s="31"/>
      <c r="AB10" s="31"/>
      <c r="AC10" s="31"/>
      <c r="AD10" s="31"/>
      <c r="AE10" s="31"/>
      <c r="AF10" s="31"/>
      <c r="AG10" s="31"/>
      <c r="AH10" s="31"/>
      <c r="AI10" s="31"/>
      <c r="AJ10" s="31"/>
      <c r="AK10" s="59"/>
      <c r="AL10" s="31"/>
      <c r="AM10" s="31"/>
      <c r="AN10" s="31"/>
      <c r="AO10" s="31"/>
      <c r="AP10" s="31"/>
      <c r="AQ10" s="31"/>
      <c r="AR10" s="31"/>
      <c r="AS10" s="60"/>
    </row>
    <row r="11" spans="1:45" ht="20.25" customHeight="1">
      <c r="A11" s="31"/>
      <c r="B11" s="1"/>
      <c r="C11" s="31"/>
      <c r="D11" s="31"/>
      <c r="E11" s="31"/>
      <c r="F11" s="31"/>
      <c r="G11" s="31"/>
      <c r="H11" s="31"/>
      <c r="I11" s="31"/>
      <c r="J11" s="31"/>
      <c r="K11" s="31"/>
      <c r="L11" s="31"/>
      <c r="M11" s="31"/>
      <c r="N11" s="31"/>
      <c r="O11" s="31"/>
      <c r="P11" s="31"/>
      <c r="Q11" s="31"/>
      <c r="R11" s="588"/>
      <c r="S11" s="588"/>
      <c r="T11" s="588"/>
      <c r="U11" s="588"/>
      <c r="V11" s="59"/>
      <c r="W11" s="31"/>
      <c r="X11" s="31"/>
      <c r="Y11" s="31"/>
      <c r="Z11" s="31"/>
      <c r="AA11" s="31"/>
      <c r="AB11" s="31"/>
      <c r="AC11" s="31"/>
      <c r="AD11" s="31"/>
      <c r="AE11" s="31"/>
      <c r="AF11" s="31"/>
      <c r="AG11" s="31"/>
      <c r="AH11" s="31"/>
      <c r="AI11" s="31"/>
      <c r="AJ11" s="31"/>
      <c r="AK11" s="59"/>
      <c r="AL11" s="31"/>
      <c r="AM11" s="31"/>
      <c r="AN11" s="32"/>
      <c r="AO11" s="32"/>
      <c r="AP11" s="32"/>
      <c r="AQ11" s="32"/>
      <c r="AR11" s="32"/>
      <c r="AS11" s="129"/>
    </row>
    <row r="12" spans="1:45" ht="20.25" customHeight="1">
      <c r="A12" s="32"/>
      <c r="B12" s="137"/>
      <c r="C12" s="32"/>
      <c r="D12" s="32"/>
      <c r="E12" s="32"/>
      <c r="F12" s="32"/>
      <c r="G12" s="32"/>
      <c r="H12" s="32"/>
      <c r="I12" s="32"/>
      <c r="J12" s="32"/>
      <c r="K12" s="32"/>
      <c r="L12" s="32"/>
      <c r="M12" s="32"/>
      <c r="N12" s="32"/>
      <c r="O12" s="32"/>
      <c r="P12" s="32"/>
      <c r="Q12" s="32"/>
      <c r="R12" s="589"/>
      <c r="S12" s="589"/>
      <c r="T12" s="589"/>
      <c r="U12" s="589"/>
      <c r="V12" s="128"/>
      <c r="W12" s="32"/>
      <c r="X12" s="32"/>
      <c r="Y12" s="32"/>
      <c r="Z12" s="32"/>
      <c r="AA12" s="32"/>
      <c r="AB12" s="32"/>
      <c r="AC12" s="32"/>
      <c r="AD12" s="32"/>
      <c r="AE12" s="32"/>
      <c r="AF12" s="32"/>
      <c r="AG12" s="32"/>
      <c r="AH12" s="32"/>
      <c r="AI12" s="32"/>
      <c r="AJ12" s="32"/>
      <c r="AK12" s="32"/>
      <c r="AL12" s="32"/>
      <c r="AM12" s="32"/>
      <c r="AN12" s="31"/>
      <c r="AO12" s="31"/>
      <c r="AP12" s="31"/>
      <c r="AQ12" s="31"/>
      <c r="AR12" s="31"/>
      <c r="AS12" s="60"/>
    </row>
    <row r="13" spans="1:45" ht="20.25" customHeight="1">
      <c r="A13" s="31"/>
      <c r="B13" s="1"/>
      <c r="C13" s="31"/>
      <c r="D13" s="31"/>
      <c r="E13" s="31"/>
      <c r="F13" s="31"/>
      <c r="G13" s="31"/>
      <c r="H13" s="31"/>
      <c r="I13" s="31"/>
      <c r="J13" s="31"/>
      <c r="K13" s="31"/>
      <c r="L13" s="31"/>
      <c r="M13" s="31"/>
      <c r="N13" s="31"/>
      <c r="O13" s="31"/>
      <c r="P13" s="31"/>
      <c r="Q13" s="31"/>
      <c r="R13" s="588"/>
      <c r="S13" s="588"/>
      <c r="T13" s="588"/>
      <c r="U13" s="588"/>
      <c r="V13" s="59"/>
      <c r="W13" s="31"/>
      <c r="X13" s="31"/>
      <c r="Y13" s="31"/>
      <c r="Z13" s="31"/>
      <c r="AA13" s="31"/>
      <c r="AB13" s="31"/>
      <c r="AC13" s="31"/>
      <c r="AD13" s="31"/>
      <c r="AE13" s="31"/>
      <c r="AF13" s="31"/>
      <c r="AG13" s="31"/>
      <c r="AH13" s="31"/>
      <c r="AI13" s="31"/>
      <c r="AJ13" s="59"/>
      <c r="AK13" s="31"/>
      <c r="AL13" s="31"/>
      <c r="AM13" s="31"/>
      <c r="AN13" s="31"/>
      <c r="AO13" s="31"/>
      <c r="AP13" s="31"/>
      <c r="AQ13" s="31"/>
      <c r="AR13" s="31"/>
      <c r="AS13" s="60"/>
    </row>
    <row r="14" spans="1:45" ht="20.25" customHeight="1">
      <c r="A14" s="31"/>
      <c r="B14" s="1"/>
      <c r="C14" s="31"/>
      <c r="D14" s="31"/>
      <c r="E14" s="31"/>
      <c r="F14" s="31"/>
      <c r="G14" s="31"/>
      <c r="H14" s="31"/>
      <c r="I14" s="31"/>
      <c r="J14" s="31"/>
      <c r="K14" s="31"/>
      <c r="L14" s="31"/>
      <c r="M14" s="31"/>
      <c r="N14" s="31"/>
      <c r="O14" s="31"/>
      <c r="P14" s="31"/>
      <c r="Q14" s="31"/>
      <c r="R14" s="588"/>
      <c r="S14" s="588"/>
      <c r="T14" s="588"/>
      <c r="U14" s="588"/>
      <c r="V14" s="59"/>
      <c r="W14" s="59"/>
      <c r="X14" s="59"/>
      <c r="Y14" s="31"/>
      <c r="Z14" s="31"/>
      <c r="AA14" s="31"/>
      <c r="AB14" s="31"/>
      <c r="AC14" s="31"/>
      <c r="AD14" s="31"/>
      <c r="AE14" s="31"/>
      <c r="AF14" s="31"/>
      <c r="AG14" s="31"/>
      <c r="AH14" s="31"/>
      <c r="AI14" s="31"/>
      <c r="AJ14" s="31"/>
      <c r="AK14" s="31"/>
      <c r="AL14" s="31"/>
      <c r="AM14" s="31"/>
      <c r="AN14" s="31"/>
      <c r="AO14" s="31"/>
      <c r="AP14" s="31"/>
      <c r="AQ14" s="31"/>
      <c r="AR14" s="31"/>
      <c r="AS14" s="60"/>
    </row>
    <row r="15" spans="1:45" ht="20.25" customHeight="1">
      <c r="A15" s="31"/>
      <c r="B15" s="1"/>
      <c r="C15" s="31"/>
      <c r="D15" s="31"/>
      <c r="E15" s="31"/>
      <c r="F15" s="31"/>
      <c r="G15" s="31"/>
      <c r="H15" s="31"/>
      <c r="I15" s="31"/>
      <c r="J15" s="31"/>
      <c r="K15" s="31"/>
      <c r="L15" s="31"/>
      <c r="M15" s="31"/>
      <c r="N15" s="31"/>
      <c r="O15" s="31"/>
      <c r="P15" s="31"/>
      <c r="Q15" s="31"/>
      <c r="R15" s="588"/>
      <c r="S15" s="588"/>
      <c r="T15" s="588"/>
      <c r="U15" s="588"/>
      <c r="V15" s="59"/>
      <c r="W15" s="31"/>
      <c r="X15" s="31"/>
      <c r="Y15" s="31"/>
      <c r="Z15" s="31"/>
      <c r="AA15" s="31"/>
      <c r="AB15" s="31"/>
      <c r="AC15" s="31"/>
      <c r="AD15" s="31"/>
      <c r="AE15" s="31"/>
      <c r="AF15" s="31"/>
      <c r="AG15" s="31"/>
      <c r="AH15" s="31"/>
      <c r="AI15" s="31"/>
      <c r="AJ15" s="31"/>
      <c r="AK15" s="31"/>
      <c r="AL15" s="31"/>
      <c r="AM15" s="31"/>
      <c r="AN15" s="31"/>
      <c r="AO15" s="31"/>
      <c r="AP15" s="31"/>
      <c r="AQ15" s="31"/>
      <c r="AR15" s="31"/>
      <c r="AS15" s="60"/>
    </row>
    <row r="16" spans="1:45" ht="20.25" customHeight="1">
      <c r="A16" s="31"/>
      <c r="B16" s="1"/>
      <c r="C16" s="31"/>
      <c r="D16" s="31"/>
      <c r="E16" s="31"/>
      <c r="F16" s="31"/>
      <c r="G16" s="31"/>
      <c r="H16" s="31"/>
      <c r="I16" s="31"/>
      <c r="J16" s="31"/>
      <c r="K16" s="31"/>
      <c r="L16" s="31"/>
      <c r="M16" s="31"/>
      <c r="N16" s="31"/>
      <c r="O16" s="31"/>
      <c r="P16" s="31"/>
      <c r="Q16" s="31"/>
      <c r="R16" s="588"/>
      <c r="S16" s="588"/>
      <c r="T16" s="588"/>
      <c r="U16" s="588"/>
      <c r="V16" s="59"/>
      <c r="W16" s="59"/>
      <c r="X16" s="59"/>
      <c r="Y16" s="31"/>
      <c r="Z16" s="31"/>
      <c r="AA16" s="31"/>
      <c r="AB16" s="31"/>
      <c r="AC16" s="31"/>
      <c r="AD16" s="31"/>
      <c r="AE16" s="31"/>
      <c r="AF16" s="31"/>
      <c r="AG16" s="31"/>
      <c r="AH16" s="31"/>
      <c r="AI16" s="31"/>
      <c r="AJ16" s="59"/>
      <c r="AK16" s="31"/>
      <c r="AL16" s="31"/>
      <c r="AM16" s="31"/>
      <c r="AN16" s="32"/>
      <c r="AO16" s="32"/>
      <c r="AP16" s="32"/>
      <c r="AQ16" s="32"/>
      <c r="AR16" s="32"/>
      <c r="AS16" s="129"/>
    </row>
    <row r="17" spans="1:45" ht="20.25" customHeight="1">
      <c r="A17" s="32"/>
      <c r="B17" s="137"/>
      <c r="C17" s="32"/>
      <c r="D17" s="32"/>
      <c r="E17" s="32"/>
      <c r="F17" s="32"/>
      <c r="G17" s="32"/>
      <c r="H17" s="32"/>
      <c r="I17" s="32"/>
      <c r="J17" s="32"/>
      <c r="K17" s="32"/>
      <c r="L17" s="32"/>
      <c r="M17" s="32"/>
      <c r="N17" s="32"/>
      <c r="O17" s="32"/>
      <c r="P17" s="32"/>
      <c r="Q17" s="32"/>
      <c r="R17" s="589"/>
      <c r="S17" s="589"/>
      <c r="T17" s="589"/>
      <c r="U17" s="589"/>
      <c r="V17" s="128"/>
      <c r="W17" s="32"/>
      <c r="X17" s="32"/>
      <c r="Y17" s="32"/>
      <c r="Z17" s="32"/>
      <c r="AA17" s="32"/>
      <c r="AB17" s="32"/>
      <c r="AC17" s="32"/>
      <c r="AD17" s="32"/>
      <c r="AE17" s="32"/>
      <c r="AF17" s="32"/>
      <c r="AG17" s="32"/>
      <c r="AH17" s="32"/>
      <c r="AI17" s="32"/>
      <c r="AJ17" s="32"/>
      <c r="AK17" s="32"/>
      <c r="AL17" s="32"/>
      <c r="AM17" s="32"/>
      <c r="AN17" s="32"/>
      <c r="AO17" s="32"/>
      <c r="AP17" s="32"/>
      <c r="AQ17" s="32"/>
      <c r="AR17" s="32"/>
      <c r="AS17" s="129"/>
    </row>
    <row r="18" spans="1:45" ht="20.25" customHeight="1">
      <c r="A18" s="32"/>
      <c r="B18" s="137"/>
      <c r="C18" s="32"/>
      <c r="D18" s="32"/>
      <c r="E18" s="32"/>
      <c r="F18" s="32"/>
      <c r="G18" s="32"/>
      <c r="H18" s="32"/>
      <c r="I18" s="32"/>
      <c r="J18" s="32"/>
      <c r="K18" s="32"/>
      <c r="L18" s="32"/>
      <c r="M18" s="32"/>
      <c r="N18" s="32"/>
      <c r="O18" s="32"/>
      <c r="P18" s="32"/>
      <c r="Q18" s="32"/>
      <c r="R18" s="589"/>
      <c r="S18" s="589"/>
      <c r="T18" s="589"/>
      <c r="U18" s="589"/>
      <c r="V18" s="128"/>
      <c r="W18" s="32"/>
      <c r="X18" s="32"/>
      <c r="Y18" s="32"/>
      <c r="Z18" s="32"/>
      <c r="AA18" s="32"/>
      <c r="AB18" s="32"/>
      <c r="AC18" s="32"/>
      <c r="AD18" s="32"/>
      <c r="AE18" s="32"/>
      <c r="AF18" s="32"/>
      <c r="AG18" s="32"/>
      <c r="AH18" s="32"/>
      <c r="AI18" s="32"/>
      <c r="AJ18" s="32"/>
      <c r="AK18" s="32"/>
      <c r="AL18" s="32"/>
      <c r="AM18" s="32"/>
      <c r="AN18" s="31"/>
      <c r="AO18" s="31"/>
      <c r="AP18" s="31"/>
      <c r="AQ18" s="31"/>
      <c r="AR18" s="31"/>
      <c r="AS18" s="60"/>
    </row>
    <row r="19" spans="1:45" ht="20.25" customHeight="1">
      <c r="A19" s="31"/>
      <c r="B19" s="1"/>
      <c r="C19" s="31"/>
      <c r="D19" s="31"/>
      <c r="E19" s="31"/>
      <c r="F19" s="31"/>
      <c r="G19" s="31"/>
      <c r="H19" s="31"/>
      <c r="I19" s="31"/>
      <c r="J19" s="31"/>
      <c r="K19" s="31"/>
      <c r="L19" s="31"/>
      <c r="M19" s="31"/>
      <c r="N19" s="31"/>
      <c r="O19" s="31"/>
      <c r="P19" s="31"/>
      <c r="Q19" s="31"/>
      <c r="R19" s="588"/>
      <c r="S19" s="588"/>
      <c r="T19" s="588"/>
      <c r="U19" s="588"/>
      <c r="V19" s="59"/>
      <c r="W19" s="31"/>
      <c r="X19" s="31"/>
      <c r="Y19" s="31"/>
      <c r="Z19" s="31"/>
      <c r="AA19" s="31"/>
      <c r="AB19" s="31"/>
      <c r="AC19" s="31"/>
      <c r="AD19" s="31"/>
      <c r="AE19" s="31"/>
      <c r="AF19" s="31"/>
      <c r="AG19" s="31"/>
      <c r="AH19" s="31"/>
      <c r="AI19" s="31"/>
      <c r="AJ19" s="31"/>
      <c r="AK19" s="31"/>
      <c r="AL19" s="31"/>
      <c r="AM19" s="31"/>
      <c r="AN19" s="31"/>
      <c r="AO19" s="31"/>
      <c r="AP19" s="31"/>
      <c r="AQ19" s="31"/>
      <c r="AR19" s="31"/>
      <c r="AS19" s="60"/>
    </row>
    <row r="20" spans="1:45" ht="20.25" customHeight="1">
      <c r="A20" s="31"/>
      <c r="B20" s="1"/>
      <c r="C20" s="1"/>
      <c r="D20" s="31"/>
      <c r="E20" s="31"/>
      <c r="F20" s="31"/>
      <c r="G20" s="31"/>
      <c r="H20" s="31"/>
      <c r="I20" s="31"/>
      <c r="J20" s="31"/>
      <c r="K20" s="31"/>
      <c r="L20" s="31"/>
      <c r="M20" s="31"/>
      <c r="N20" s="31"/>
      <c r="O20" s="31"/>
      <c r="P20" s="31"/>
      <c r="Q20" s="58"/>
      <c r="R20" s="588"/>
      <c r="S20" s="588"/>
      <c r="T20" s="588"/>
      <c r="U20" s="588"/>
      <c r="V20" s="59"/>
      <c r="W20" s="31"/>
      <c r="X20" s="31"/>
      <c r="Y20" s="60"/>
      <c r="Z20" s="60"/>
      <c r="AA20" s="31"/>
      <c r="AB20" s="31"/>
      <c r="AC20" s="31"/>
      <c r="AD20" s="31"/>
      <c r="AE20" s="31"/>
      <c r="AF20" s="31"/>
      <c r="AG20" s="31"/>
      <c r="AH20" s="31"/>
      <c r="AI20" s="31"/>
      <c r="AJ20" s="31"/>
      <c r="AK20" s="31"/>
      <c r="AL20" s="31"/>
      <c r="AM20" s="1"/>
      <c r="AN20" s="31"/>
      <c r="AO20" s="31"/>
      <c r="AP20" s="31"/>
      <c r="AQ20" s="31"/>
      <c r="AR20" s="31"/>
      <c r="AS20" s="60"/>
    </row>
    <row r="21" spans="1:45" ht="20.25" customHeight="1">
      <c r="A21" s="31"/>
      <c r="B21" s="1"/>
      <c r="C21" s="1"/>
      <c r="D21" s="31"/>
      <c r="E21" s="31"/>
      <c r="F21" s="31"/>
      <c r="G21" s="31"/>
      <c r="H21" s="31"/>
      <c r="I21" s="31"/>
      <c r="J21" s="31"/>
      <c r="K21" s="31"/>
      <c r="L21" s="31"/>
      <c r="M21" s="31"/>
      <c r="N21" s="31"/>
      <c r="O21" s="31"/>
      <c r="P21" s="31"/>
      <c r="Q21" s="58"/>
      <c r="R21" s="588"/>
      <c r="S21" s="588"/>
      <c r="T21" s="588"/>
      <c r="U21" s="588"/>
      <c r="V21" s="59"/>
      <c r="W21" s="31"/>
      <c r="X21" s="31"/>
      <c r="Y21" s="60"/>
      <c r="Z21" s="60"/>
      <c r="AA21" s="31"/>
      <c r="AB21" s="31"/>
      <c r="AC21" s="31"/>
      <c r="AD21" s="31"/>
      <c r="AE21" s="31"/>
      <c r="AF21" s="31"/>
      <c r="AG21" s="31"/>
      <c r="AH21" s="31"/>
      <c r="AI21" s="31"/>
      <c r="AJ21" s="31"/>
      <c r="AK21" s="31"/>
      <c r="AL21" s="31"/>
      <c r="AM21" s="1"/>
      <c r="AN21" s="31"/>
      <c r="AO21" s="31"/>
      <c r="AP21" s="31"/>
      <c r="AQ21" s="31"/>
      <c r="AR21" s="31"/>
      <c r="AS21" s="60"/>
    </row>
    <row r="22" spans="1:45" ht="20.25" customHeight="1">
      <c r="A22" s="31"/>
      <c r="B22" s="1"/>
      <c r="C22" s="1"/>
      <c r="D22" s="31"/>
      <c r="E22" s="31"/>
      <c r="F22" s="31"/>
      <c r="G22" s="31"/>
      <c r="H22" s="31"/>
      <c r="I22" s="31"/>
      <c r="J22" s="31"/>
      <c r="K22" s="31"/>
      <c r="L22" s="31"/>
      <c r="M22" s="31"/>
      <c r="N22" s="31"/>
      <c r="O22" s="31"/>
      <c r="P22" s="31"/>
      <c r="Q22" s="58"/>
      <c r="R22" s="588"/>
      <c r="S22" s="588"/>
      <c r="T22" s="588"/>
      <c r="U22" s="588"/>
      <c r="V22" s="59"/>
      <c r="W22" s="31"/>
      <c r="X22" s="31"/>
      <c r="Y22" s="60"/>
      <c r="Z22" s="60"/>
      <c r="AA22" s="31"/>
      <c r="AB22" s="31"/>
      <c r="AC22" s="31"/>
      <c r="AD22" s="31"/>
      <c r="AE22" s="31"/>
      <c r="AF22" s="31"/>
      <c r="AG22" s="31"/>
      <c r="AH22" s="31"/>
      <c r="AI22" s="31"/>
      <c r="AJ22" s="31"/>
      <c r="AK22" s="31"/>
      <c r="AL22" s="31"/>
      <c r="AM22" s="1"/>
      <c r="AN22" s="31"/>
      <c r="AO22" s="31"/>
      <c r="AP22" s="31"/>
      <c r="AQ22" s="31"/>
      <c r="AR22" s="31"/>
      <c r="AS22" s="60"/>
    </row>
    <row r="23" spans="1:45" ht="20.25" customHeight="1">
      <c r="A23" s="31"/>
      <c r="B23" s="1"/>
      <c r="C23" s="1"/>
      <c r="D23" s="31"/>
      <c r="E23" s="31"/>
      <c r="F23" s="31"/>
      <c r="G23" s="31"/>
      <c r="H23" s="31"/>
      <c r="I23" s="31"/>
      <c r="J23" s="31"/>
      <c r="K23" s="31"/>
      <c r="L23" s="31"/>
      <c r="M23" s="31"/>
      <c r="N23" s="31"/>
      <c r="O23" s="31"/>
      <c r="P23" s="31"/>
      <c r="Q23" s="58"/>
      <c r="R23" s="588"/>
      <c r="S23" s="588"/>
      <c r="T23" s="588"/>
      <c r="U23" s="588"/>
      <c r="V23" s="59"/>
      <c r="W23" s="31"/>
      <c r="X23" s="31"/>
      <c r="Y23" s="60"/>
      <c r="Z23" s="60"/>
      <c r="AA23" s="31"/>
      <c r="AB23" s="31"/>
      <c r="AC23" s="31"/>
      <c r="AD23" s="31"/>
      <c r="AE23" s="31"/>
      <c r="AF23" s="31"/>
      <c r="AG23" s="31"/>
      <c r="AH23" s="31"/>
      <c r="AI23" s="31"/>
      <c r="AJ23" s="31"/>
      <c r="AK23" s="31"/>
      <c r="AL23" s="31"/>
      <c r="AM23" s="1"/>
      <c r="AN23" s="31"/>
      <c r="AO23" s="31"/>
      <c r="AP23" s="31"/>
      <c r="AQ23" s="31"/>
      <c r="AR23" s="31"/>
      <c r="AS23" s="60"/>
    </row>
    <row r="24" spans="1:45" ht="20.25" customHeight="1">
      <c r="A24" s="31"/>
      <c r="B24" s="1"/>
      <c r="C24" s="1"/>
      <c r="D24" s="31"/>
      <c r="E24" s="31"/>
      <c r="F24" s="31"/>
      <c r="G24" s="31"/>
      <c r="H24" s="31"/>
      <c r="I24" s="31"/>
      <c r="J24" s="31"/>
      <c r="K24" s="31"/>
      <c r="L24" s="31"/>
      <c r="M24" s="31"/>
      <c r="N24" s="31"/>
      <c r="O24" s="31"/>
      <c r="P24" s="31"/>
      <c r="Q24" s="58"/>
      <c r="R24" s="588"/>
      <c r="S24" s="588"/>
      <c r="T24" s="588"/>
      <c r="U24" s="588"/>
      <c r="V24" s="59"/>
      <c r="W24" s="31"/>
      <c r="X24" s="31"/>
      <c r="Y24" s="60"/>
      <c r="Z24" s="60"/>
      <c r="AA24" s="31"/>
      <c r="AB24" s="31"/>
      <c r="AC24" s="31"/>
      <c r="AD24" s="31"/>
      <c r="AE24" s="31"/>
      <c r="AF24" s="31"/>
      <c r="AG24" s="31"/>
      <c r="AH24" s="31"/>
      <c r="AI24" s="31"/>
      <c r="AJ24" s="31"/>
      <c r="AK24" s="31"/>
      <c r="AL24" s="31"/>
      <c r="AM24" s="1"/>
      <c r="AN24" s="31"/>
      <c r="AO24" s="31"/>
      <c r="AP24" s="31"/>
      <c r="AQ24" s="31"/>
      <c r="AR24" s="31"/>
      <c r="AS24" s="60"/>
    </row>
    <row r="25" spans="1:45" ht="20.25" customHeight="1">
      <c r="A25" s="31"/>
      <c r="B25" s="1"/>
      <c r="C25" s="1"/>
      <c r="D25" s="31"/>
      <c r="E25" s="31"/>
      <c r="F25" s="31"/>
      <c r="G25" s="31"/>
      <c r="H25" s="31"/>
      <c r="I25" s="31"/>
      <c r="J25" s="31"/>
      <c r="K25" s="31"/>
      <c r="L25" s="31"/>
      <c r="M25" s="31"/>
      <c r="N25" s="31"/>
      <c r="O25" s="31"/>
      <c r="P25" s="31"/>
      <c r="Q25" s="58"/>
      <c r="R25" s="588"/>
      <c r="S25" s="588"/>
      <c r="T25" s="588"/>
      <c r="U25" s="588"/>
      <c r="V25" s="59"/>
      <c r="W25" s="31"/>
      <c r="X25" s="31"/>
      <c r="Y25" s="60"/>
      <c r="Z25" s="60"/>
      <c r="AA25" s="31"/>
      <c r="AB25" s="31"/>
      <c r="AC25" s="31"/>
      <c r="AD25" s="31"/>
      <c r="AE25" s="31"/>
      <c r="AF25" s="31"/>
      <c r="AG25" s="31"/>
      <c r="AH25" s="31"/>
      <c r="AI25" s="31"/>
      <c r="AJ25" s="31"/>
      <c r="AK25" s="31"/>
      <c r="AL25" s="31"/>
      <c r="AM25" s="1"/>
      <c r="AN25" s="31"/>
      <c r="AO25" s="31"/>
      <c r="AP25" s="31"/>
      <c r="AQ25" s="31"/>
      <c r="AR25" s="31"/>
      <c r="AS25" s="60"/>
    </row>
    <row r="26" spans="1:45" ht="20.25" customHeight="1">
      <c r="A26" s="31"/>
      <c r="B26" s="1"/>
      <c r="C26" s="1"/>
      <c r="D26" s="31"/>
      <c r="E26" s="31"/>
      <c r="F26" s="31"/>
      <c r="G26" s="31"/>
      <c r="H26" s="31"/>
      <c r="I26" s="31"/>
      <c r="J26" s="31"/>
      <c r="K26" s="31"/>
      <c r="L26" s="31"/>
      <c r="M26" s="31"/>
      <c r="N26" s="31"/>
      <c r="O26" s="31"/>
      <c r="P26" s="31"/>
      <c r="Q26" s="58"/>
      <c r="R26" s="588"/>
      <c r="S26" s="588"/>
      <c r="T26" s="588"/>
      <c r="U26" s="588"/>
      <c r="V26" s="59"/>
      <c r="W26" s="31"/>
      <c r="X26" s="31"/>
      <c r="Y26" s="60"/>
      <c r="Z26" s="60"/>
      <c r="AA26" s="31"/>
      <c r="AB26" s="31"/>
      <c r="AC26" s="31"/>
      <c r="AD26" s="31"/>
      <c r="AE26" s="31"/>
      <c r="AF26" s="31"/>
      <c r="AG26" s="31"/>
      <c r="AH26" s="31"/>
      <c r="AI26" s="31"/>
      <c r="AJ26" s="31"/>
      <c r="AK26" s="31"/>
      <c r="AL26" s="31"/>
      <c r="AM26" s="1"/>
      <c r="AN26" s="31"/>
      <c r="AO26" s="31"/>
      <c r="AP26" s="31"/>
      <c r="AQ26" s="31"/>
      <c r="AR26" s="31"/>
      <c r="AS26" s="60"/>
    </row>
    <row r="27" spans="1:45" ht="20.25" customHeight="1">
      <c r="A27" s="31"/>
      <c r="B27" s="1"/>
      <c r="C27" s="1"/>
      <c r="D27" s="31"/>
      <c r="E27" s="31"/>
      <c r="F27" s="31"/>
      <c r="G27" s="31"/>
      <c r="H27" s="31"/>
      <c r="I27" s="31"/>
      <c r="J27" s="31"/>
      <c r="K27" s="31"/>
      <c r="L27" s="31"/>
      <c r="M27" s="31"/>
      <c r="N27" s="31"/>
      <c r="O27" s="31"/>
      <c r="P27" s="31"/>
      <c r="Q27" s="58"/>
      <c r="R27" s="588"/>
      <c r="S27" s="588"/>
      <c r="T27" s="588"/>
      <c r="U27" s="588"/>
      <c r="V27" s="59"/>
      <c r="W27" s="31"/>
      <c r="X27" s="31"/>
      <c r="Y27" s="60"/>
      <c r="Z27" s="60"/>
      <c r="AA27" s="31"/>
      <c r="AB27" s="31"/>
      <c r="AC27" s="31"/>
      <c r="AD27" s="31"/>
      <c r="AE27" s="31"/>
      <c r="AF27" s="31"/>
      <c r="AG27" s="31"/>
      <c r="AH27" s="31"/>
      <c r="AI27" s="31"/>
      <c r="AJ27" s="31"/>
      <c r="AK27" s="31"/>
      <c r="AL27" s="31"/>
      <c r="AM27" s="1"/>
      <c r="AN27" s="31"/>
      <c r="AO27" s="31"/>
      <c r="AP27" s="31"/>
      <c r="AQ27" s="31"/>
      <c r="AR27" s="31"/>
      <c r="AS27" s="60"/>
    </row>
    <row r="28" spans="1:45" ht="20.25" customHeight="1">
      <c r="A28" s="31"/>
      <c r="B28" s="1"/>
      <c r="C28" s="1"/>
      <c r="D28" s="31"/>
      <c r="E28" s="31"/>
      <c r="F28" s="31"/>
      <c r="G28" s="31"/>
      <c r="H28" s="31"/>
      <c r="I28" s="31"/>
      <c r="J28" s="31"/>
      <c r="K28" s="31"/>
      <c r="L28" s="31"/>
      <c r="M28" s="31"/>
      <c r="N28" s="31"/>
      <c r="O28" s="31"/>
      <c r="P28" s="31"/>
      <c r="Q28" s="58"/>
      <c r="R28" s="588"/>
      <c r="S28" s="588"/>
      <c r="T28" s="588"/>
      <c r="U28" s="588"/>
      <c r="V28" s="59"/>
      <c r="W28" s="31"/>
      <c r="X28" s="31"/>
      <c r="Y28" s="60"/>
      <c r="Z28" s="60"/>
      <c r="AA28" s="31"/>
      <c r="AB28" s="31"/>
      <c r="AC28" s="31"/>
      <c r="AD28" s="31"/>
      <c r="AE28" s="31"/>
      <c r="AF28" s="31"/>
      <c r="AG28" s="31"/>
      <c r="AH28" s="31"/>
      <c r="AI28" s="31"/>
      <c r="AJ28" s="31"/>
      <c r="AK28" s="31"/>
      <c r="AL28" s="31"/>
      <c r="AM28" s="1"/>
      <c r="AN28" s="31"/>
      <c r="AO28" s="31"/>
      <c r="AP28" s="31"/>
      <c r="AQ28" s="31"/>
      <c r="AR28" s="31"/>
      <c r="AS28" s="60"/>
    </row>
    <row r="29" spans="1:45" ht="20.25" customHeight="1">
      <c r="A29" s="31"/>
      <c r="B29" s="1"/>
      <c r="C29" s="1"/>
      <c r="D29" s="31"/>
      <c r="E29" s="31"/>
      <c r="F29" s="31"/>
      <c r="G29" s="31"/>
      <c r="H29" s="31"/>
      <c r="I29" s="31"/>
      <c r="J29" s="31"/>
      <c r="K29" s="31"/>
      <c r="L29" s="31"/>
      <c r="M29" s="31"/>
      <c r="N29" s="31"/>
      <c r="O29" s="31"/>
      <c r="P29" s="31"/>
      <c r="Q29" s="58"/>
      <c r="R29" s="588"/>
      <c r="S29" s="588"/>
      <c r="T29" s="588"/>
      <c r="U29" s="588"/>
      <c r="V29" s="59"/>
      <c r="W29" s="31"/>
      <c r="X29" s="31"/>
      <c r="Y29" s="60"/>
      <c r="Z29" s="60"/>
      <c r="AA29" s="31"/>
      <c r="AB29" s="31"/>
      <c r="AC29" s="31"/>
      <c r="AD29" s="31"/>
      <c r="AE29" s="31"/>
      <c r="AF29" s="31"/>
      <c r="AG29" s="31"/>
      <c r="AH29" s="31"/>
      <c r="AI29" s="31"/>
      <c r="AJ29" s="31"/>
      <c r="AK29" s="31"/>
      <c r="AL29" s="31"/>
      <c r="AM29" s="1"/>
      <c r="AN29" s="31"/>
      <c r="AO29" s="31"/>
      <c r="AP29" s="31"/>
      <c r="AQ29" s="31"/>
      <c r="AR29" s="31"/>
      <c r="AS29" s="60"/>
    </row>
    <row r="30" spans="1:45" ht="20.25" customHeight="1">
      <c r="A30" s="31"/>
      <c r="B30" s="1"/>
      <c r="C30" s="1"/>
      <c r="D30" s="31"/>
      <c r="E30" s="31"/>
      <c r="F30" s="31"/>
      <c r="G30" s="31"/>
      <c r="H30" s="31"/>
      <c r="I30" s="31"/>
      <c r="J30" s="31"/>
      <c r="K30" s="31"/>
      <c r="L30" s="31"/>
      <c r="M30" s="31"/>
      <c r="N30" s="31"/>
      <c r="O30" s="31"/>
      <c r="P30" s="31"/>
      <c r="Q30" s="58"/>
      <c r="R30" s="588"/>
      <c r="S30" s="588"/>
      <c r="T30" s="588"/>
      <c r="U30" s="588"/>
      <c r="V30" s="59"/>
      <c r="W30" s="31"/>
      <c r="X30" s="31"/>
      <c r="Y30" s="60"/>
      <c r="Z30" s="60"/>
      <c r="AA30" s="31"/>
      <c r="AB30" s="31"/>
      <c r="AC30" s="31"/>
      <c r="AD30" s="31"/>
      <c r="AE30" s="31"/>
      <c r="AF30" s="31"/>
      <c r="AG30" s="31"/>
      <c r="AH30" s="31"/>
      <c r="AI30" s="31"/>
      <c r="AJ30" s="31"/>
      <c r="AK30" s="31"/>
      <c r="AL30" s="31"/>
      <c r="AM30" s="1"/>
      <c r="AN30" s="31"/>
      <c r="AO30" s="31"/>
      <c r="AP30" s="31"/>
      <c r="AQ30" s="31"/>
      <c r="AR30" s="31"/>
      <c r="AS30" s="60"/>
    </row>
    <row r="31" spans="1:45" ht="20.25" customHeight="1">
      <c r="A31" s="31"/>
      <c r="B31" s="1"/>
      <c r="C31" s="1"/>
      <c r="D31" s="31"/>
      <c r="E31" s="31"/>
      <c r="F31" s="31"/>
      <c r="G31" s="31"/>
      <c r="H31" s="31"/>
      <c r="I31" s="31"/>
      <c r="J31" s="31"/>
      <c r="K31" s="31"/>
      <c r="L31" s="31"/>
      <c r="M31" s="31"/>
      <c r="N31" s="31"/>
      <c r="O31" s="31"/>
      <c r="P31" s="31"/>
      <c r="Q31" s="58"/>
      <c r="R31" s="588"/>
      <c r="S31" s="588"/>
      <c r="T31" s="588"/>
      <c r="U31" s="588"/>
      <c r="V31" s="59"/>
      <c r="W31" s="31"/>
      <c r="X31" s="31"/>
      <c r="Y31" s="60"/>
      <c r="Z31" s="60"/>
      <c r="AA31" s="31"/>
      <c r="AB31" s="31"/>
      <c r="AC31" s="31"/>
      <c r="AD31" s="31"/>
      <c r="AE31" s="31"/>
      <c r="AF31" s="31"/>
      <c r="AG31" s="31"/>
      <c r="AH31" s="31"/>
      <c r="AI31" s="31"/>
      <c r="AJ31" s="31"/>
      <c r="AK31" s="31"/>
      <c r="AL31" s="31"/>
      <c r="AM31" s="1"/>
      <c r="AN31" s="31"/>
      <c r="AO31" s="31"/>
      <c r="AP31" s="31"/>
      <c r="AQ31" s="31"/>
      <c r="AR31" s="31"/>
      <c r="AS31" s="60"/>
    </row>
    <row r="32" spans="1:45" ht="20.25" customHeight="1">
      <c r="A32" s="31"/>
      <c r="B32" s="1"/>
      <c r="C32" s="1"/>
      <c r="D32" s="31"/>
      <c r="E32" s="31"/>
      <c r="F32" s="31"/>
      <c r="G32" s="31"/>
      <c r="H32" s="31"/>
      <c r="I32" s="31"/>
      <c r="J32" s="31"/>
      <c r="K32" s="31"/>
      <c r="L32" s="31"/>
      <c r="M32" s="31"/>
      <c r="N32" s="31"/>
      <c r="O32" s="31"/>
      <c r="P32" s="31"/>
      <c r="Q32" s="58"/>
      <c r="R32" s="588"/>
      <c r="S32" s="588"/>
      <c r="T32" s="588"/>
      <c r="U32" s="588"/>
      <c r="V32" s="59"/>
      <c r="W32" s="31"/>
      <c r="X32" s="31"/>
      <c r="Y32" s="60"/>
      <c r="Z32" s="60"/>
      <c r="AA32" s="31"/>
      <c r="AB32" s="31"/>
      <c r="AC32" s="31"/>
      <c r="AD32" s="31"/>
      <c r="AE32" s="31"/>
      <c r="AF32" s="31"/>
      <c r="AG32" s="31"/>
      <c r="AH32" s="31"/>
      <c r="AI32" s="31"/>
      <c r="AJ32" s="31"/>
      <c r="AK32" s="31"/>
      <c r="AL32" s="31"/>
      <c r="AM32" s="1"/>
      <c r="AN32" s="31"/>
      <c r="AO32" s="31"/>
      <c r="AP32" s="31"/>
      <c r="AQ32" s="31"/>
      <c r="AR32" s="31"/>
      <c r="AS32" s="60"/>
    </row>
    <row r="33" spans="1:45" ht="20.25" customHeight="1">
      <c r="A33" s="31"/>
      <c r="B33" s="1"/>
      <c r="C33" s="1"/>
      <c r="D33" s="31"/>
      <c r="E33" s="31"/>
      <c r="F33" s="31"/>
      <c r="G33" s="31"/>
      <c r="H33" s="31"/>
      <c r="I33" s="31"/>
      <c r="J33" s="31"/>
      <c r="K33" s="31"/>
      <c r="L33" s="31"/>
      <c r="M33" s="31"/>
      <c r="N33" s="31"/>
      <c r="O33" s="31"/>
      <c r="P33" s="31"/>
      <c r="Q33" s="58"/>
      <c r="R33" s="588"/>
      <c r="S33" s="588"/>
      <c r="T33" s="588"/>
      <c r="U33" s="588"/>
      <c r="V33" s="59"/>
      <c r="W33" s="31"/>
      <c r="X33" s="31"/>
      <c r="Y33" s="60"/>
      <c r="Z33" s="60"/>
      <c r="AA33" s="31"/>
      <c r="AB33" s="31"/>
      <c r="AC33" s="31"/>
      <c r="AD33" s="31"/>
      <c r="AE33" s="31"/>
      <c r="AF33" s="31"/>
      <c r="AG33" s="31"/>
      <c r="AH33" s="31"/>
      <c r="AI33" s="31"/>
      <c r="AJ33" s="31"/>
      <c r="AK33" s="31"/>
      <c r="AL33" s="31"/>
      <c r="AM33" s="1"/>
      <c r="AN33" s="31"/>
      <c r="AO33" s="31"/>
      <c r="AP33" s="31"/>
      <c r="AQ33" s="31"/>
      <c r="AR33" s="31"/>
      <c r="AS33" s="60"/>
    </row>
    <row r="34" spans="1:45" ht="20.25" customHeight="1">
      <c r="A34" s="31"/>
      <c r="B34" s="1"/>
      <c r="C34" s="1"/>
      <c r="D34" s="31"/>
      <c r="E34" s="31"/>
      <c r="F34" s="31"/>
      <c r="G34" s="31"/>
      <c r="H34" s="31"/>
      <c r="I34" s="31"/>
      <c r="J34" s="31"/>
      <c r="K34" s="31"/>
      <c r="L34" s="31"/>
      <c r="M34" s="31"/>
      <c r="N34" s="31"/>
      <c r="O34" s="31"/>
      <c r="P34" s="31"/>
      <c r="Q34" s="58"/>
      <c r="R34" s="588"/>
      <c r="S34" s="588"/>
      <c r="T34" s="588"/>
      <c r="U34" s="588"/>
      <c r="V34" s="59"/>
      <c r="W34" s="31"/>
      <c r="X34" s="31"/>
      <c r="Y34" s="60"/>
      <c r="Z34" s="60"/>
      <c r="AA34" s="31"/>
      <c r="AB34" s="31"/>
      <c r="AC34" s="31"/>
      <c r="AD34" s="31"/>
      <c r="AE34" s="31"/>
      <c r="AF34" s="31"/>
      <c r="AG34" s="31"/>
      <c r="AH34" s="31"/>
      <c r="AI34" s="31"/>
      <c r="AJ34" s="31"/>
      <c r="AK34" s="31"/>
      <c r="AL34" s="31"/>
      <c r="AM34" s="1"/>
      <c r="AN34" s="31"/>
      <c r="AO34" s="31"/>
      <c r="AP34" s="31"/>
      <c r="AQ34" s="31"/>
      <c r="AR34" s="31"/>
      <c r="AS34" s="60"/>
    </row>
    <row r="35" spans="1:45" ht="20.25" customHeight="1">
      <c r="A35" s="31"/>
      <c r="B35" s="1"/>
      <c r="C35" s="1"/>
      <c r="D35" s="31"/>
      <c r="E35" s="31"/>
      <c r="F35" s="31"/>
      <c r="G35" s="31"/>
      <c r="H35" s="31"/>
      <c r="I35" s="31"/>
      <c r="J35" s="31"/>
      <c r="K35" s="31"/>
      <c r="L35" s="31"/>
      <c r="M35" s="31"/>
      <c r="N35" s="31"/>
      <c r="O35" s="31"/>
      <c r="P35" s="31"/>
      <c r="Q35" s="58"/>
      <c r="R35" s="588"/>
      <c r="S35" s="588"/>
      <c r="T35" s="588"/>
      <c r="U35" s="588"/>
      <c r="V35" s="59"/>
      <c r="W35" s="31"/>
      <c r="X35" s="31"/>
      <c r="Y35" s="60"/>
      <c r="Z35" s="60"/>
      <c r="AA35" s="31"/>
      <c r="AB35" s="31"/>
      <c r="AC35" s="31"/>
      <c r="AD35" s="31"/>
      <c r="AE35" s="31"/>
      <c r="AF35" s="31"/>
      <c r="AG35" s="31"/>
      <c r="AH35" s="31"/>
      <c r="AI35" s="31"/>
      <c r="AJ35" s="31"/>
      <c r="AK35" s="31"/>
      <c r="AL35" s="31"/>
      <c r="AM35" s="1"/>
      <c r="AN35" s="31"/>
      <c r="AO35" s="31"/>
      <c r="AP35" s="31"/>
      <c r="AQ35" s="31"/>
      <c r="AR35" s="31"/>
      <c r="AS35" s="60"/>
    </row>
    <row r="36" spans="1:45" ht="20.25" customHeight="1">
      <c r="A36" s="31"/>
      <c r="B36" s="1"/>
      <c r="C36" s="1"/>
      <c r="D36" s="31"/>
      <c r="E36" s="31"/>
      <c r="F36" s="31"/>
      <c r="G36" s="31"/>
      <c r="H36" s="31"/>
      <c r="I36" s="31"/>
      <c r="J36" s="31"/>
      <c r="K36" s="31"/>
      <c r="L36" s="31"/>
      <c r="M36" s="31"/>
      <c r="N36" s="31"/>
      <c r="O36" s="31"/>
      <c r="P36" s="31"/>
      <c r="Q36" s="58"/>
      <c r="R36" s="588"/>
      <c r="S36" s="588"/>
      <c r="T36" s="588"/>
      <c r="U36" s="588"/>
      <c r="V36" s="59"/>
      <c r="W36" s="31"/>
      <c r="X36" s="31"/>
      <c r="Y36" s="60"/>
      <c r="Z36" s="60"/>
      <c r="AA36" s="31"/>
      <c r="AB36" s="31"/>
      <c r="AC36" s="31"/>
      <c r="AD36" s="31"/>
      <c r="AE36" s="31"/>
      <c r="AF36" s="31"/>
      <c r="AG36" s="31"/>
      <c r="AH36" s="31"/>
      <c r="AI36" s="31"/>
      <c r="AJ36" s="31"/>
      <c r="AK36" s="31"/>
      <c r="AL36" s="31"/>
      <c r="AM36" s="1"/>
      <c r="AN36" s="31"/>
      <c r="AO36" s="31"/>
      <c r="AP36" s="31"/>
      <c r="AQ36" s="31"/>
      <c r="AR36" s="31"/>
      <c r="AS36" s="60"/>
    </row>
    <row r="37" spans="1:45" ht="20.25" customHeight="1">
      <c r="A37" s="31"/>
      <c r="B37" s="1"/>
      <c r="C37" s="1"/>
      <c r="D37" s="31"/>
      <c r="E37" s="31"/>
      <c r="F37" s="31"/>
      <c r="G37" s="31"/>
      <c r="H37" s="31"/>
      <c r="I37" s="31"/>
      <c r="J37" s="31"/>
      <c r="K37" s="31"/>
      <c r="L37" s="31"/>
      <c r="M37" s="31"/>
      <c r="N37" s="31"/>
      <c r="O37" s="31"/>
      <c r="P37" s="31"/>
      <c r="Q37" s="58"/>
      <c r="R37" s="588"/>
      <c r="S37" s="588"/>
      <c r="T37" s="588"/>
      <c r="U37" s="588"/>
      <c r="V37" s="59"/>
      <c r="W37" s="31"/>
      <c r="X37" s="31"/>
      <c r="Y37" s="60"/>
      <c r="Z37" s="60"/>
      <c r="AA37" s="31"/>
      <c r="AB37" s="31"/>
      <c r="AC37" s="31"/>
      <c r="AD37" s="31"/>
      <c r="AE37" s="31"/>
      <c r="AF37" s="31"/>
      <c r="AG37" s="31"/>
      <c r="AH37" s="31"/>
      <c r="AI37" s="31"/>
      <c r="AJ37" s="31"/>
      <c r="AK37" s="31"/>
      <c r="AL37" s="31"/>
      <c r="AM37" s="1"/>
      <c r="AN37" s="31"/>
      <c r="AO37" s="31"/>
      <c r="AP37" s="31"/>
      <c r="AQ37" s="31"/>
      <c r="AR37" s="31"/>
      <c r="AS37" s="60"/>
    </row>
    <row r="38" spans="1:45" ht="20.25" customHeight="1">
      <c r="A38" s="31"/>
      <c r="B38" s="1"/>
      <c r="C38" s="1"/>
      <c r="D38" s="31"/>
      <c r="E38" s="31"/>
      <c r="F38" s="31"/>
      <c r="G38" s="31"/>
      <c r="H38" s="31"/>
      <c r="I38" s="31"/>
      <c r="J38" s="31"/>
      <c r="K38" s="31"/>
      <c r="L38" s="31"/>
      <c r="M38" s="31"/>
      <c r="N38" s="31"/>
      <c r="O38" s="31"/>
      <c r="P38" s="31"/>
      <c r="Q38" s="58"/>
      <c r="R38" s="588"/>
      <c r="S38" s="588"/>
      <c r="T38" s="588"/>
      <c r="U38" s="588"/>
      <c r="V38" s="59"/>
      <c r="W38" s="31"/>
      <c r="X38" s="31"/>
      <c r="Y38" s="60"/>
      <c r="Z38" s="60"/>
      <c r="AA38" s="31"/>
      <c r="AB38" s="31"/>
      <c r="AC38" s="31"/>
      <c r="AD38" s="31"/>
      <c r="AE38" s="31"/>
      <c r="AF38" s="31"/>
      <c r="AG38" s="31"/>
      <c r="AH38" s="31"/>
      <c r="AI38" s="31"/>
      <c r="AJ38" s="31"/>
      <c r="AK38" s="31"/>
      <c r="AL38" s="31"/>
      <c r="AM38" s="1"/>
      <c r="AN38" s="31"/>
      <c r="AO38" s="31"/>
      <c r="AP38" s="31"/>
      <c r="AQ38" s="31"/>
      <c r="AR38" s="31"/>
      <c r="AS38" s="60"/>
    </row>
    <row r="39" spans="1:45" ht="20.25" customHeight="1">
      <c r="A39" s="31"/>
      <c r="B39" s="1"/>
      <c r="C39" s="1"/>
      <c r="D39" s="31"/>
      <c r="E39" s="31"/>
      <c r="F39" s="31"/>
      <c r="G39" s="31"/>
      <c r="H39" s="31"/>
      <c r="I39" s="31"/>
      <c r="J39" s="31"/>
      <c r="K39" s="31"/>
      <c r="L39" s="31"/>
      <c r="M39" s="31"/>
      <c r="N39" s="31"/>
      <c r="O39" s="31"/>
      <c r="P39" s="31"/>
      <c r="Q39" s="58"/>
      <c r="R39" s="588"/>
      <c r="S39" s="588"/>
      <c r="T39" s="588"/>
      <c r="U39" s="588"/>
      <c r="V39" s="59"/>
      <c r="W39" s="31"/>
      <c r="X39" s="31"/>
      <c r="Y39" s="60"/>
      <c r="Z39" s="60"/>
      <c r="AA39" s="31"/>
      <c r="AB39" s="31"/>
      <c r="AC39" s="31"/>
      <c r="AD39" s="31"/>
      <c r="AE39" s="31"/>
      <c r="AF39" s="31"/>
      <c r="AG39" s="31"/>
      <c r="AH39" s="31"/>
      <c r="AI39" s="31"/>
      <c r="AJ39" s="31"/>
      <c r="AK39" s="31"/>
      <c r="AL39" s="31"/>
      <c r="AM39" s="1"/>
      <c r="AN39" s="31"/>
      <c r="AO39" s="31"/>
      <c r="AP39" s="31"/>
      <c r="AQ39" s="31"/>
      <c r="AR39" s="31"/>
      <c r="AS39" s="60"/>
    </row>
    <row r="40" spans="1:45" ht="20.25" customHeight="1">
      <c r="A40" s="31"/>
      <c r="B40" s="1"/>
      <c r="C40" s="1"/>
      <c r="D40" s="31"/>
      <c r="E40" s="31"/>
      <c r="F40" s="31"/>
      <c r="G40" s="31"/>
      <c r="H40" s="31"/>
      <c r="I40" s="31"/>
      <c r="J40" s="31"/>
      <c r="K40" s="31"/>
      <c r="L40" s="31"/>
      <c r="M40" s="31"/>
      <c r="N40" s="31"/>
      <c r="O40" s="31"/>
      <c r="P40" s="31"/>
      <c r="Q40" s="58"/>
      <c r="R40" s="588"/>
      <c r="S40" s="588"/>
      <c r="T40" s="588"/>
      <c r="U40" s="588"/>
      <c r="V40" s="59"/>
      <c r="W40" s="31"/>
      <c r="X40" s="31"/>
      <c r="Y40" s="60"/>
      <c r="Z40" s="60"/>
      <c r="AA40" s="31"/>
      <c r="AB40" s="31"/>
      <c r="AC40" s="31"/>
      <c r="AD40" s="31"/>
      <c r="AE40" s="31"/>
      <c r="AF40" s="31"/>
      <c r="AG40" s="31"/>
      <c r="AH40" s="31"/>
      <c r="AI40" s="31"/>
      <c r="AJ40" s="31"/>
      <c r="AK40" s="31"/>
      <c r="AL40" s="31"/>
      <c r="AM40" s="1"/>
      <c r="AN40" s="31"/>
      <c r="AO40" s="31"/>
      <c r="AP40" s="31"/>
      <c r="AQ40" s="31"/>
      <c r="AR40" s="31"/>
      <c r="AS40" s="60"/>
    </row>
    <row r="41" spans="1:45" ht="20.25" customHeight="1">
      <c r="A41" s="31"/>
      <c r="B41" s="1"/>
      <c r="C41" s="1"/>
      <c r="D41" s="31"/>
      <c r="E41" s="31"/>
      <c r="F41" s="31"/>
      <c r="G41" s="31"/>
      <c r="H41" s="31"/>
      <c r="I41" s="31"/>
      <c r="J41" s="31"/>
      <c r="K41" s="31"/>
      <c r="L41" s="31"/>
      <c r="M41" s="31"/>
      <c r="N41" s="31"/>
      <c r="O41" s="31"/>
      <c r="P41" s="31"/>
      <c r="Q41" s="58"/>
      <c r="R41" s="588"/>
      <c r="S41" s="588"/>
      <c r="T41" s="588"/>
      <c r="U41" s="588"/>
      <c r="V41" s="59"/>
      <c r="W41" s="31"/>
      <c r="X41" s="31"/>
      <c r="Y41" s="60"/>
      <c r="Z41" s="60"/>
      <c r="AA41" s="31"/>
      <c r="AB41" s="31"/>
      <c r="AC41" s="31"/>
      <c r="AD41" s="31"/>
      <c r="AE41" s="31"/>
      <c r="AF41" s="31"/>
      <c r="AG41" s="31"/>
      <c r="AH41" s="31"/>
      <c r="AI41" s="31"/>
      <c r="AJ41" s="31"/>
      <c r="AK41" s="31"/>
      <c r="AL41" s="31"/>
      <c r="AM41" s="1"/>
      <c r="AN41" s="31"/>
      <c r="AO41" s="31"/>
      <c r="AP41" s="31"/>
      <c r="AQ41" s="31"/>
      <c r="AR41" s="31"/>
      <c r="AS41" s="60"/>
    </row>
    <row r="42" spans="1:45" ht="20.25" customHeight="1">
      <c r="A42" s="31"/>
      <c r="B42" s="1"/>
      <c r="C42" s="1"/>
      <c r="D42" s="31"/>
      <c r="E42" s="31"/>
      <c r="F42" s="31"/>
      <c r="G42" s="31"/>
      <c r="H42" s="31"/>
      <c r="I42" s="31"/>
      <c r="J42" s="31"/>
      <c r="K42" s="31"/>
      <c r="L42" s="31"/>
      <c r="M42" s="31"/>
      <c r="N42" s="31"/>
      <c r="O42" s="31"/>
      <c r="P42" s="31"/>
      <c r="Q42" s="58"/>
      <c r="R42" s="588"/>
      <c r="S42" s="588"/>
      <c r="T42" s="588"/>
      <c r="U42" s="588"/>
      <c r="V42" s="59"/>
      <c r="W42" s="31"/>
      <c r="X42" s="31"/>
      <c r="Y42" s="60"/>
      <c r="Z42" s="60"/>
      <c r="AA42" s="31"/>
      <c r="AB42" s="31"/>
      <c r="AC42" s="31"/>
      <c r="AD42" s="31"/>
      <c r="AE42" s="31"/>
      <c r="AF42" s="31"/>
      <c r="AG42" s="31"/>
      <c r="AH42" s="31"/>
      <c r="AI42" s="31"/>
      <c r="AJ42" s="31"/>
      <c r="AK42" s="31"/>
      <c r="AL42" s="31"/>
      <c r="AM42" s="1"/>
      <c r="AN42" s="31"/>
      <c r="AO42" s="31"/>
      <c r="AP42" s="31"/>
      <c r="AQ42" s="31"/>
      <c r="AR42" s="31"/>
      <c r="AS42" s="60"/>
    </row>
    <row r="43" spans="1:45" ht="20.25" customHeight="1">
      <c r="A43" s="31"/>
      <c r="B43" s="1"/>
      <c r="C43" s="1"/>
      <c r="D43" s="31"/>
      <c r="E43" s="31"/>
      <c r="F43" s="31"/>
      <c r="G43" s="31"/>
      <c r="H43" s="31"/>
      <c r="I43" s="31"/>
      <c r="J43" s="31"/>
      <c r="K43" s="31"/>
      <c r="L43" s="31"/>
      <c r="M43" s="31"/>
      <c r="N43" s="31"/>
      <c r="O43" s="31"/>
      <c r="P43" s="31"/>
      <c r="Q43" s="58"/>
      <c r="R43" s="588"/>
      <c r="S43" s="588"/>
      <c r="T43" s="588"/>
      <c r="U43" s="588"/>
      <c r="V43" s="59"/>
      <c r="W43" s="31"/>
      <c r="X43" s="31"/>
      <c r="Y43" s="60"/>
      <c r="Z43" s="60"/>
      <c r="AA43" s="31"/>
      <c r="AB43" s="31"/>
      <c r="AC43" s="31"/>
      <c r="AD43" s="31"/>
      <c r="AE43" s="31"/>
      <c r="AF43" s="31"/>
      <c r="AG43" s="31"/>
      <c r="AH43" s="31"/>
      <c r="AI43" s="31"/>
      <c r="AJ43" s="31"/>
      <c r="AK43" s="31"/>
      <c r="AL43" s="31"/>
      <c r="AM43" s="1"/>
      <c r="AN43" s="31"/>
      <c r="AO43" s="31"/>
      <c r="AP43" s="31"/>
      <c r="AQ43" s="31"/>
      <c r="AR43" s="31"/>
      <c r="AS43" s="60"/>
    </row>
    <row r="44" spans="1:45" ht="20.25" customHeight="1">
      <c r="A44" s="31"/>
      <c r="B44" s="1"/>
      <c r="C44" s="1"/>
      <c r="D44" s="31"/>
      <c r="E44" s="31"/>
      <c r="F44" s="31"/>
      <c r="G44" s="31"/>
      <c r="H44" s="31"/>
      <c r="I44" s="31"/>
      <c r="J44" s="31"/>
      <c r="K44" s="31"/>
      <c r="L44" s="31"/>
      <c r="M44" s="31"/>
      <c r="N44" s="31"/>
      <c r="O44" s="31"/>
      <c r="P44" s="31"/>
      <c r="Q44" s="58"/>
      <c r="R44" s="588"/>
      <c r="S44" s="588"/>
      <c r="T44" s="588"/>
      <c r="U44" s="588"/>
      <c r="V44" s="59"/>
      <c r="W44" s="31"/>
      <c r="X44" s="31"/>
      <c r="Y44" s="60"/>
      <c r="Z44" s="60"/>
      <c r="AA44" s="31"/>
      <c r="AB44" s="31"/>
      <c r="AC44" s="31"/>
      <c r="AD44" s="31"/>
      <c r="AE44" s="31"/>
      <c r="AF44" s="31"/>
      <c r="AG44" s="31"/>
      <c r="AH44" s="31"/>
      <c r="AI44" s="31"/>
      <c r="AJ44" s="31"/>
      <c r="AK44" s="31"/>
      <c r="AL44" s="31"/>
      <c r="AM44" s="1"/>
      <c r="AN44" s="31"/>
      <c r="AO44" s="31"/>
      <c r="AP44" s="31"/>
      <c r="AQ44" s="31"/>
      <c r="AR44" s="31"/>
      <c r="AS44" s="60"/>
    </row>
    <row r="45" spans="1:45" ht="20.25" customHeight="1">
      <c r="A45" s="31"/>
      <c r="B45" s="1"/>
      <c r="C45" s="1"/>
      <c r="D45" s="31"/>
      <c r="E45" s="31"/>
      <c r="F45" s="31"/>
      <c r="G45" s="31"/>
      <c r="H45" s="31"/>
      <c r="I45" s="31"/>
      <c r="J45" s="31"/>
      <c r="K45" s="31"/>
      <c r="L45" s="31"/>
      <c r="M45" s="31"/>
      <c r="N45" s="31"/>
      <c r="O45" s="31"/>
      <c r="P45" s="31"/>
      <c r="Q45" s="58"/>
      <c r="R45" s="588"/>
      <c r="S45" s="588"/>
      <c r="T45" s="588"/>
      <c r="U45" s="588"/>
      <c r="V45" s="59"/>
      <c r="W45" s="31"/>
      <c r="X45" s="31"/>
      <c r="Y45" s="60"/>
      <c r="Z45" s="60"/>
      <c r="AA45" s="31"/>
      <c r="AB45" s="31"/>
      <c r="AC45" s="31"/>
      <c r="AD45" s="31"/>
      <c r="AE45" s="31"/>
      <c r="AF45" s="31"/>
      <c r="AG45" s="31"/>
      <c r="AH45" s="31"/>
      <c r="AI45" s="31"/>
      <c r="AJ45" s="31"/>
      <c r="AK45" s="31"/>
      <c r="AL45" s="31"/>
      <c r="AM45" s="1"/>
      <c r="AN45" s="31"/>
      <c r="AO45" s="31"/>
      <c r="AP45" s="31"/>
      <c r="AQ45" s="31"/>
      <c r="AR45" s="31"/>
      <c r="AS45" s="60"/>
    </row>
    <row r="46" spans="1:45" ht="20.25" customHeight="1">
      <c r="A46" s="31"/>
      <c r="B46" s="1"/>
      <c r="C46" s="1"/>
      <c r="D46" s="31"/>
      <c r="E46" s="31"/>
      <c r="F46" s="31"/>
      <c r="G46" s="31"/>
      <c r="H46" s="31"/>
      <c r="I46" s="31"/>
      <c r="J46" s="31"/>
      <c r="K46" s="31"/>
      <c r="L46" s="31"/>
      <c r="M46" s="31"/>
      <c r="N46" s="31"/>
      <c r="O46" s="31"/>
      <c r="P46" s="31"/>
      <c r="Q46" s="58"/>
      <c r="R46" s="588"/>
      <c r="S46" s="588"/>
      <c r="T46" s="588"/>
      <c r="U46" s="588"/>
      <c r="V46" s="59"/>
      <c r="W46" s="31"/>
      <c r="X46" s="31"/>
      <c r="Y46" s="60"/>
      <c r="Z46" s="60"/>
      <c r="AA46" s="31"/>
      <c r="AB46" s="31"/>
      <c r="AC46" s="31"/>
      <c r="AD46" s="31"/>
      <c r="AE46" s="31"/>
      <c r="AF46" s="31"/>
      <c r="AG46" s="31"/>
      <c r="AH46" s="31"/>
      <c r="AI46" s="31"/>
      <c r="AJ46" s="31"/>
      <c r="AK46" s="31"/>
      <c r="AL46" s="31"/>
      <c r="AM46" s="1"/>
      <c r="AN46" s="31"/>
      <c r="AO46" s="31"/>
      <c r="AP46" s="31"/>
      <c r="AQ46" s="31"/>
      <c r="AR46" s="31"/>
      <c r="AS46" s="60"/>
    </row>
    <row r="47" spans="1:45" ht="20.25" customHeight="1">
      <c r="A47" s="31"/>
      <c r="B47" s="1"/>
      <c r="C47" s="1"/>
      <c r="D47" s="31"/>
      <c r="E47" s="31"/>
      <c r="F47" s="31"/>
      <c r="G47" s="31"/>
      <c r="H47" s="31"/>
      <c r="I47" s="31"/>
      <c r="J47" s="31"/>
      <c r="K47" s="31"/>
      <c r="L47" s="31"/>
      <c r="M47" s="31"/>
      <c r="N47" s="31"/>
      <c r="O47" s="31"/>
      <c r="P47" s="31"/>
      <c r="Q47" s="58"/>
      <c r="R47" s="588"/>
      <c r="S47" s="588"/>
      <c r="T47" s="588"/>
      <c r="U47" s="588"/>
      <c r="V47" s="59"/>
      <c r="W47" s="31"/>
      <c r="X47" s="31"/>
      <c r="Y47" s="60"/>
      <c r="Z47" s="60"/>
      <c r="AA47" s="31"/>
      <c r="AB47" s="31"/>
      <c r="AC47" s="31"/>
      <c r="AD47" s="31"/>
      <c r="AE47" s="31"/>
      <c r="AF47" s="31"/>
      <c r="AG47" s="31"/>
      <c r="AH47" s="31"/>
      <c r="AI47" s="31"/>
      <c r="AJ47" s="31"/>
      <c r="AK47" s="31"/>
      <c r="AL47" s="31"/>
      <c r="AM47" s="1"/>
      <c r="AN47" s="31"/>
      <c r="AO47" s="31"/>
      <c r="AP47" s="31"/>
      <c r="AQ47" s="31"/>
      <c r="AR47" s="31"/>
      <c r="AS47" s="60"/>
    </row>
    <row r="48" spans="1:45" ht="20.25" customHeight="1">
      <c r="A48" s="31"/>
      <c r="B48" s="1"/>
      <c r="C48" s="1"/>
      <c r="D48" s="31"/>
      <c r="E48" s="31"/>
      <c r="F48" s="31"/>
      <c r="G48" s="31"/>
      <c r="H48" s="31"/>
      <c r="I48" s="31"/>
      <c r="J48" s="31"/>
      <c r="K48" s="31"/>
      <c r="L48" s="31"/>
      <c r="M48" s="31"/>
      <c r="N48" s="31"/>
      <c r="O48" s="31"/>
      <c r="P48" s="31"/>
      <c r="Q48" s="58"/>
      <c r="R48" s="588"/>
      <c r="S48" s="588"/>
      <c r="T48" s="588"/>
      <c r="U48" s="588"/>
      <c r="V48" s="59"/>
      <c r="W48" s="31"/>
      <c r="X48" s="31"/>
      <c r="Y48" s="60"/>
      <c r="Z48" s="60"/>
      <c r="AA48" s="31"/>
      <c r="AB48" s="31"/>
      <c r="AC48" s="31"/>
      <c r="AD48" s="31"/>
      <c r="AE48" s="31"/>
      <c r="AF48" s="31"/>
      <c r="AG48" s="31"/>
      <c r="AH48" s="31"/>
      <c r="AI48" s="31"/>
      <c r="AJ48" s="31"/>
      <c r="AK48" s="31"/>
      <c r="AL48" s="31"/>
      <c r="AM48" s="1"/>
      <c r="AN48" s="31"/>
      <c r="AO48" s="31"/>
      <c r="AP48" s="31"/>
      <c r="AQ48" s="31"/>
      <c r="AR48" s="31"/>
      <c r="AS48" s="60"/>
    </row>
    <row r="49" spans="1:45" ht="20.25" customHeight="1">
      <c r="A49" s="31"/>
      <c r="B49" s="1"/>
      <c r="C49" s="1"/>
      <c r="D49" s="31"/>
      <c r="E49" s="31"/>
      <c r="F49" s="31"/>
      <c r="G49" s="31"/>
      <c r="H49" s="31"/>
      <c r="I49" s="31"/>
      <c r="J49" s="31"/>
      <c r="K49" s="31"/>
      <c r="L49" s="31"/>
      <c r="M49" s="31"/>
      <c r="N49" s="31"/>
      <c r="O49" s="31"/>
      <c r="P49" s="31"/>
      <c r="Q49" s="58"/>
      <c r="R49" s="588"/>
      <c r="S49" s="588"/>
      <c r="T49" s="588"/>
      <c r="U49" s="588"/>
      <c r="V49" s="59"/>
      <c r="W49" s="31"/>
      <c r="X49" s="31"/>
      <c r="Y49" s="60"/>
      <c r="Z49" s="60"/>
      <c r="AA49" s="31"/>
      <c r="AB49" s="31"/>
      <c r="AC49" s="31"/>
      <c r="AD49" s="31"/>
      <c r="AE49" s="31"/>
      <c r="AF49" s="31"/>
      <c r="AG49" s="31"/>
      <c r="AH49" s="31"/>
      <c r="AI49" s="31"/>
      <c r="AJ49" s="31"/>
      <c r="AK49" s="31"/>
      <c r="AL49" s="31"/>
      <c r="AM49" s="1"/>
      <c r="AN49" s="31"/>
      <c r="AO49" s="31"/>
      <c r="AP49" s="31"/>
      <c r="AQ49" s="31"/>
      <c r="AR49" s="31"/>
      <c r="AS49" s="60"/>
    </row>
    <row r="50" spans="1:45" ht="20.25" customHeight="1">
      <c r="A50" s="31"/>
      <c r="B50" s="1"/>
      <c r="C50" s="1"/>
      <c r="D50" s="31"/>
      <c r="E50" s="31"/>
      <c r="F50" s="31"/>
      <c r="G50" s="31"/>
      <c r="H50" s="31"/>
      <c r="I50" s="31"/>
      <c r="J50" s="31"/>
      <c r="K50" s="31"/>
      <c r="L50" s="31"/>
      <c r="M50" s="31"/>
      <c r="N50" s="31"/>
      <c r="O50" s="31"/>
      <c r="P50" s="31"/>
      <c r="Q50" s="58"/>
      <c r="R50" s="588"/>
      <c r="S50" s="588"/>
      <c r="T50" s="588"/>
      <c r="U50" s="588"/>
      <c r="V50" s="59"/>
      <c r="W50" s="31"/>
      <c r="X50" s="31"/>
      <c r="Y50" s="60"/>
      <c r="Z50" s="60"/>
      <c r="AA50" s="31"/>
      <c r="AB50" s="31"/>
      <c r="AC50" s="31"/>
      <c r="AD50" s="31"/>
      <c r="AE50" s="31"/>
      <c r="AF50" s="31"/>
      <c r="AG50" s="31"/>
      <c r="AH50" s="31"/>
      <c r="AI50" s="31"/>
      <c r="AJ50" s="31"/>
      <c r="AK50" s="31"/>
      <c r="AL50" s="31"/>
      <c r="AM50" s="1"/>
      <c r="AN50" s="31"/>
      <c r="AO50" s="31"/>
      <c r="AP50" s="31"/>
      <c r="AQ50" s="31"/>
      <c r="AR50" s="31"/>
      <c r="AS50" s="60"/>
    </row>
    <row r="51" spans="1:45" ht="20.25" customHeight="1">
      <c r="A51" s="31"/>
      <c r="B51" s="1"/>
      <c r="C51" s="1"/>
      <c r="D51" s="31"/>
      <c r="E51" s="31"/>
      <c r="F51" s="31"/>
      <c r="G51" s="31"/>
      <c r="H51" s="31"/>
      <c r="I51" s="31"/>
      <c r="J51" s="31"/>
      <c r="K51" s="31"/>
      <c r="L51" s="31"/>
      <c r="M51" s="31"/>
      <c r="N51" s="31"/>
      <c r="O51" s="31"/>
      <c r="P51" s="31"/>
      <c r="Q51" s="58"/>
      <c r="R51" s="588"/>
      <c r="S51" s="588"/>
      <c r="T51" s="588"/>
      <c r="U51" s="588"/>
      <c r="V51" s="59"/>
      <c r="W51" s="31"/>
      <c r="X51" s="31"/>
      <c r="Y51" s="60"/>
      <c r="Z51" s="60"/>
      <c r="AA51" s="31"/>
      <c r="AB51" s="31"/>
      <c r="AC51" s="31"/>
      <c r="AD51" s="31"/>
      <c r="AE51" s="31"/>
      <c r="AF51" s="31"/>
      <c r="AG51" s="31"/>
      <c r="AH51" s="31"/>
      <c r="AI51" s="31"/>
      <c r="AJ51" s="31"/>
      <c r="AK51" s="31"/>
      <c r="AL51" s="31"/>
      <c r="AM51" s="1"/>
      <c r="AN51" s="31"/>
      <c r="AO51" s="31"/>
      <c r="AP51" s="31"/>
      <c r="AQ51" s="31"/>
      <c r="AR51" s="31"/>
      <c r="AS51" s="60"/>
    </row>
    <row r="52" spans="1:45" ht="20.25" customHeight="1">
      <c r="A52" s="31"/>
      <c r="B52" s="1"/>
      <c r="C52" s="1"/>
      <c r="D52" s="31"/>
      <c r="E52" s="31"/>
      <c r="F52" s="31"/>
      <c r="G52" s="31"/>
      <c r="H52" s="31"/>
      <c r="I52" s="31"/>
      <c r="J52" s="31"/>
      <c r="K52" s="31"/>
      <c r="L52" s="31"/>
      <c r="M52" s="31"/>
      <c r="N52" s="31"/>
      <c r="O52" s="31"/>
      <c r="P52" s="31"/>
      <c r="Q52" s="58"/>
      <c r="R52" s="588"/>
      <c r="S52" s="588"/>
      <c r="T52" s="588"/>
      <c r="U52" s="588"/>
      <c r="V52" s="59"/>
      <c r="W52" s="31"/>
      <c r="X52" s="31"/>
      <c r="Y52" s="60"/>
      <c r="Z52" s="60"/>
      <c r="AA52" s="31"/>
      <c r="AB52" s="31"/>
      <c r="AC52" s="31"/>
      <c r="AD52" s="31"/>
      <c r="AE52" s="31"/>
      <c r="AF52" s="31"/>
      <c r="AG52" s="31"/>
      <c r="AH52" s="31"/>
      <c r="AI52" s="31"/>
      <c r="AJ52" s="31"/>
      <c r="AK52" s="31"/>
      <c r="AL52" s="31"/>
      <c r="AM52" s="1"/>
      <c r="AN52" s="31"/>
      <c r="AO52" s="31"/>
      <c r="AP52" s="31"/>
      <c r="AQ52" s="31"/>
      <c r="AR52" s="31"/>
      <c r="AS52" s="60"/>
    </row>
    <row r="53" spans="1:45" ht="20.25" customHeight="1">
      <c r="A53" s="31"/>
      <c r="B53" s="1"/>
      <c r="C53" s="1"/>
      <c r="D53" s="31"/>
      <c r="E53" s="31"/>
      <c r="F53" s="31"/>
      <c r="G53" s="31"/>
      <c r="H53" s="31"/>
      <c r="I53" s="31"/>
      <c r="J53" s="31"/>
      <c r="K53" s="31"/>
      <c r="L53" s="31"/>
      <c r="M53" s="31"/>
      <c r="N53" s="31"/>
      <c r="O53" s="31"/>
      <c r="P53" s="31"/>
      <c r="Q53" s="58"/>
      <c r="R53" s="588"/>
      <c r="S53" s="588"/>
      <c r="T53" s="588"/>
      <c r="U53" s="588"/>
      <c r="V53" s="59"/>
      <c r="W53" s="31"/>
      <c r="X53" s="31"/>
      <c r="Y53" s="60"/>
      <c r="Z53" s="60"/>
      <c r="AA53" s="31"/>
      <c r="AB53" s="31"/>
      <c r="AC53" s="31"/>
      <c r="AD53" s="31"/>
      <c r="AE53" s="31"/>
      <c r="AF53" s="31"/>
      <c r="AG53" s="31"/>
      <c r="AH53" s="31"/>
      <c r="AI53" s="31"/>
      <c r="AJ53" s="31"/>
      <c r="AK53" s="31"/>
      <c r="AL53" s="31"/>
      <c r="AM53" s="1"/>
      <c r="AN53" s="31"/>
      <c r="AO53" s="31"/>
      <c r="AP53" s="31"/>
      <c r="AQ53" s="31"/>
      <c r="AR53" s="31"/>
      <c r="AS53" s="60"/>
    </row>
    <row r="54" spans="1:45" ht="20.25" customHeight="1">
      <c r="A54" s="31"/>
      <c r="B54" s="1"/>
      <c r="C54" s="1"/>
      <c r="D54" s="31"/>
      <c r="E54" s="31"/>
      <c r="F54" s="31"/>
      <c r="G54" s="31"/>
      <c r="H54" s="31"/>
      <c r="I54" s="31"/>
      <c r="J54" s="31"/>
      <c r="K54" s="31"/>
      <c r="L54" s="31"/>
      <c r="M54" s="31"/>
      <c r="N54" s="31"/>
      <c r="O54" s="31"/>
      <c r="P54" s="31"/>
      <c r="Q54" s="58"/>
      <c r="R54" s="588"/>
      <c r="S54" s="588"/>
      <c r="T54" s="588"/>
      <c r="U54" s="588"/>
      <c r="V54" s="59"/>
      <c r="W54" s="31"/>
      <c r="X54" s="31"/>
      <c r="Y54" s="60"/>
      <c r="Z54" s="60"/>
      <c r="AA54" s="31"/>
      <c r="AB54" s="31"/>
      <c r="AC54" s="31"/>
      <c r="AD54" s="31"/>
      <c r="AE54" s="31"/>
      <c r="AF54" s="31"/>
      <c r="AG54" s="31"/>
      <c r="AH54" s="31"/>
      <c r="AI54" s="31"/>
      <c r="AJ54" s="31"/>
      <c r="AK54" s="31"/>
      <c r="AL54" s="31"/>
      <c r="AM54" s="1"/>
      <c r="AN54" s="31"/>
      <c r="AO54" s="31"/>
      <c r="AP54" s="31"/>
      <c r="AQ54" s="31"/>
      <c r="AR54" s="31"/>
      <c r="AS54" s="60"/>
    </row>
    <row r="55" spans="1:45" ht="20.25" customHeight="1">
      <c r="A55" s="31"/>
      <c r="B55" s="1"/>
      <c r="C55" s="1"/>
      <c r="D55" s="31"/>
      <c r="E55" s="31"/>
      <c r="F55" s="31"/>
      <c r="G55" s="31"/>
      <c r="H55" s="31"/>
      <c r="I55" s="31"/>
      <c r="J55" s="31"/>
      <c r="K55" s="31"/>
      <c r="L55" s="31"/>
      <c r="M55" s="31"/>
      <c r="N55" s="31"/>
      <c r="O55" s="31"/>
      <c r="P55" s="31"/>
      <c r="Q55" s="58"/>
      <c r="R55" s="588"/>
      <c r="S55" s="588"/>
      <c r="T55" s="588"/>
      <c r="U55" s="588"/>
      <c r="V55" s="59"/>
      <c r="W55" s="31"/>
      <c r="X55" s="31"/>
      <c r="Y55" s="60"/>
      <c r="Z55" s="60"/>
      <c r="AA55" s="31"/>
      <c r="AB55" s="31"/>
      <c r="AC55" s="31"/>
      <c r="AD55" s="31"/>
      <c r="AE55" s="31"/>
      <c r="AF55" s="31"/>
      <c r="AG55" s="31"/>
      <c r="AH55" s="31"/>
      <c r="AI55" s="31"/>
      <c r="AJ55" s="31"/>
      <c r="AK55" s="31"/>
      <c r="AL55" s="31"/>
      <c r="AM55" s="1"/>
      <c r="AN55" s="31"/>
      <c r="AO55" s="31"/>
      <c r="AP55" s="31"/>
      <c r="AQ55" s="31"/>
      <c r="AR55" s="31"/>
      <c r="AS55" s="60"/>
    </row>
    <row r="56" spans="1:45" ht="20.25" customHeight="1">
      <c r="A56" s="31"/>
      <c r="B56" s="1"/>
      <c r="C56" s="1"/>
      <c r="D56" s="31"/>
      <c r="E56" s="31"/>
      <c r="F56" s="31"/>
      <c r="G56" s="31"/>
      <c r="H56" s="31"/>
      <c r="I56" s="31"/>
      <c r="J56" s="31"/>
      <c r="K56" s="31"/>
      <c r="L56" s="31"/>
      <c r="M56" s="31"/>
      <c r="N56" s="31"/>
      <c r="O56" s="31"/>
      <c r="P56" s="31"/>
      <c r="Q56" s="58"/>
      <c r="R56" s="588"/>
      <c r="S56" s="588"/>
      <c r="T56" s="588"/>
      <c r="U56" s="588"/>
      <c r="V56" s="59"/>
      <c r="W56" s="31"/>
      <c r="X56" s="31"/>
      <c r="Y56" s="60"/>
      <c r="Z56" s="60"/>
      <c r="AA56" s="31"/>
      <c r="AB56" s="31"/>
      <c r="AC56" s="31"/>
      <c r="AD56" s="31"/>
      <c r="AE56" s="31"/>
      <c r="AF56" s="31"/>
      <c r="AG56" s="31"/>
      <c r="AH56" s="31"/>
      <c r="AI56" s="31"/>
      <c r="AJ56" s="31"/>
      <c r="AK56" s="31"/>
      <c r="AL56" s="31"/>
      <c r="AM56" s="1"/>
      <c r="AN56" s="31"/>
      <c r="AO56" s="31"/>
      <c r="AP56" s="31"/>
      <c r="AQ56" s="31"/>
      <c r="AR56" s="31"/>
      <c r="AS56" s="60"/>
    </row>
    <row r="57" spans="1:45" ht="20.25" customHeight="1">
      <c r="A57" s="31"/>
      <c r="B57" s="1"/>
      <c r="C57" s="1"/>
      <c r="D57" s="31"/>
      <c r="E57" s="31"/>
      <c r="F57" s="31"/>
      <c r="G57" s="31"/>
      <c r="H57" s="31"/>
      <c r="I57" s="31"/>
      <c r="J57" s="31"/>
      <c r="K57" s="31"/>
      <c r="L57" s="31"/>
      <c r="M57" s="31"/>
      <c r="N57" s="31"/>
      <c r="O57" s="31"/>
      <c r="P57" s="31"/>
      <c r="Q57" s="58"/>
      <c r="R57" s="588"/>
      <c r="S57" s="588"/>
      <c r="T57" s="588"/>
      <c r="U57" s="588"/>
      <c r="V57" s="59"/>
      <c r="W57" s="31"/>
      <c r="X57" s="31"/>
      <c r="Y57" s="60"/>
      <c r="Z57" s="60"/>
      <c r="AA57" s="31"/>
      <c r="AB57" s="31"/>
      <c r="AC57" s="31"/>
      <c r="AD57" s="31"/>
      <c r="AE57" s="31"/>
      <c r="AF57" s="31"/>
      <c r="AG57" s="31"/>
      <c r="AH57" s="31"/>
      <c r="AI57" s="31"/>
      <c r="AJ57" s="31"/>
      <c r="AK57" s="31"/>
      <c r="AL57" s="31"/>
      <c r="AM57" s="1"/>
      <c r="AN57" s="31"/>
      <c r="AO57" s="31"/>
      <c r="AP57" s="31"/>
      <c r="AQ57" s="31"/>
      <c r="AR57" s="31"/>
      <c r="AS57" s="60"/>
    </row>
    <row r="58" spans="1:45" ht="20.25" customHeight="1">
      <c r="A58" s="31"/>
      <c r="B58" s="1"/>
      <c r="C58" s="1"/>
      <c r="D58" s="31"/>
      <c r="E58" s="31"/>
      <c r="F58" s="31"/>
      <c r="G58" s="31"/>
      <c r="H58" s="31"/>
      <c r="I58" s="31"/>
      <c r="J58" s="31"/>
      <c r="K58" s="31"/>
      <c r="L58" s="31"/>
      <c r="M58" s="31"/>
      <c r="N58" s="31"/>
      <c r="O58" s="31"/>
      <c r="P58" s="31"/>
      <c r="Q58" s="58"/>
      <c r="R58" s="588"/>
      <c r="S58" s="588"/>
      <c r="T58" s="588"/>
      <c r="U58" s="588"/>
      <c r="V58" s="59"/>
      <c r="W58" s="31"/>
      <c r="X58" s="31"/>
      <c r="Y58" s="60"/>
      <c r="Z58" s="60"/>
      <c r="AA58" s="31"/>
      <c r="AB58" s="31"/>
      <c r="AC58" s="31"/>
      <c r="AD58" s="31"/>
      <c r="AE58" s="31"/>
      <c r="AF58" s="31"/>
      <c r="AG58" s="31"/>
      <c r="AH58" s="31"/>
      <c r="AI58" s="31"/>
      <c r="AJ58" s="31"/>
      <c r="AK58" s="31"/>
      <c r="AL58" s="31"/>
      <c r="AM58" s="1"/>
      <c r="AN58" s="31"/>
      <c r="AO58" s="31"/>
      <c r="AP58" s="31"/>
      <c r="AQ58" s="31"/>
      <c r="AR58" s="31"/>
      <c r="AS58" s="60"/>
    </row>
    <row r="59" spans="1:45" ht="20.25" customHeight="1">
      <c r="A59" s="31"/>
      <c r="B59" s="1"/>
      <c r="C59" s="1"/>
      <c r="D59" s="31"/>
      <c r="E59" s="31"/>
      <c r="F59" s="31"/>
      <c r="G59" s="31"/>
      <c r="H59" s="31"/>
      <c r="I59" s="31"/>
      <c r="J59" s="31"/>
      <c r="K59" s="31"/>
      <c r="L59" s="31"/>
      <c r="M59" s="31"/>
      <c r="N59" s="31"/>
      <c r="O59" s="31"/>
      <c r="P59" s="31"/>
      <c r="Q59" s="58"/>
      <c r="R59" s="588"/>
      <c r="S59" s="588"/>
      <c r="T59" s="588"/>
      <c r="U59" s="588"/>
      <c r="V59" s="59"/>
      <c r="W59" s="31"/>
      <c r="X59" s="31"/>
      <c r="Y59" s="60"/>
      <c r="Z59" s="60"/>
      <c r="AA59" s="31"/>
      <c r="AB59" s="31"/>
      <c r="AC59" s="31"/>
      <c r="AD59" s="31"/>
      <c r="AE59" s="31"/>
      <c r="AF59" s="31"/>
      <c r="AG59" s="31"/>
      <c r="AH59" s="31"/>
      <c r="AI59" s="31"/>
      <c r="AJ59" s="31"/>
      <c r="AK59" s="31"/>
      <c r="AL59" s="31"/>
      <c r="AM59" s="1"/>
      <c r="AN59" s="31"/>
      <c r="AO59" s="31"/>
      <c r="AP59" s="31"/>
      <c r="AQ59" s="31"/>
      <c r="AR59" s="31"/>
      <c r="AS59" s="60"/>
    </row>
    <row r="60" spans="1:45" ht="20.25" customHeight="1">
      <c r="A60" s="31"/>
      <c r="B60" s="1"/>
      <c r="C60" s="1"/>
      <c r="D60" s="31"/>
      <c r="E60" s="31"/>
      <c r="F60" s="31"/>
      <c r="G60" s="31"/>
      <c r="H60" s="31"/>
      <c r="I60" s="31"/>
      <c r="J60" s="31"/>
      <c r="K60" s="31"/>
      <c r="L60" s="31"/>
      <c r="M60" s="31"/>
      <c r="N60" s="31"/>
      <c r="O60" s="31"/>
      <c r="P60" s="31"/>
      <c r="Q60" s="58"/>
      <c r="R60" s="588"/>
      <c r="S60" s="588"/>
      <c r="T60" s="588"/>
      <c r="U60" s="588"/>
      <c r="V60" s="59"/>
      <c r="W60" s="31"/>
      <c r="X60" s="31"/>
      <c r="Y60" s="60"/>
      <c r="Z60" s="60"/>
      <c r="AA60" s="31"/>
      <c r="AB60" s="31"/>
      <c r="AC60" s="31"/>
      <c r="AD60" s="31"/>
      <c r="AE60" s="31"/>
      <c r="AF60" s="31"/>
      <c r="AG60" s="31"/>
      <c r="AH60" s="31"/>
      <c r="AI60" s="31"/>
      <c r="AJ60" s="31"/>
      <c r="AK60" s="31"/>
      <c r="AL60" s="31"/>
      <c r="AM60" s="1"/>
      <c r="AN60" s="31"/>
      <c r="AO60" s="31"/>
      <c r="AP60" s="31"/>
      <c r="AQ60" s="31"/>
      <c r="AR60" s="31"/>
      <c r="AS60" s="60"/>
    </row>
    <row r="61" spans="1:45" ht="20.25" customHeight="1">
      <c r="A61" s="31"/>
      <c r="B61" s="1"/>
      <c r="C61" s="1"/>
      <c r="D61" s="31"/>
      <c r="E61" s="31"/>
      <c r="F61" s="31"/>
      <c r="G61" s="31"/>
      <c r="H61" s="31"/>
      <c r="I61" s="31"/>
      <c r="J61" s="31"/>
      <c r="K61" s="31"/>
      <c r="L61" s="31"/>
      <c r="M61" s="31"/>
      <c r="N61" s="31"/>
      <c r="O61" s="31"/>
      <c r="P61" s="31"/>
      <c r="Q61" s="58"/>
      <c r="R61" s="588"/>
      <c r="S61" s="588"/>
      <c r="T61" s="588"/>
      <c r="U61" s="588"/>
      <c r="V61" s="59"/>
      <c r="W61" s="31"/>
      <c r="X61" s="31"/>
      <c r="Y61" s="60"/>
      <c r="Z61" s="60"/>
      <c r="AA61" s="31"/>
      <c r="AB61" s="31"/>
      <c r="AC61" s="31"/>
      <c r="AD61" s="31"/>
      <c r="AE61" s="31"/>
      <c r="AF61" s="31"/>
      <c r="AG61" s="31"/>
      <c r="AH61" s="31"/>
      <c r="AI61" s="31"/>
      <c r="AJ61" s="31"/>
      <c r="AK61" s="31"/>
      <c r="AL61" s="31"/>
      <c r="AM61" s="1"/>
      <c r="AN61" s="31"/>
      <c r="AO61" s="31"/>
      <c r="AP61" s="31"/>
      <c r="AQ61" s="31"/>
      <c r="AR61" s="31"/>
      <c r="AS61" s="60"/>
    </row>
    <row r="62" spans="1:45" ht="20.25" customHeight="1">
      <c r="A62" s="31"/>
      <c r="B62" s="1"/>
      <c r="C62" s="1"/>
      <c r="D62" s="31"/>
      <c r="E62" s="31"/>
      <c r="F62" s="31"/>
      <c r="G62" s="31"/>
      <c r="H62" s="31"/>
      <c r="I62" s="31"/>
      <c r="J62" s="31"/>
      <c r="K62" s="31"/>
      <c r="L62" s="31"/>
      <c r="M62" s="31"/>
      <c r="N62" s="31"/>
      <c r="O62" s="31"/>
      <c r="P62" s="31"/>
      <c r="Q62" s="58"/>
      <c r="R62" s="588"/>
      <c r="S62" s="588"/>
      <c r="T62" s="588"/>
      <c r="U62" s="588"/>
      <c r="V62" s="59"/>
      <c r="W62" s="31"/>
      <c r="X62" s="31"/>
      <c r="Y62" s="60"/>
      <c r="Z62" s="60"/>
      <c r="AA62" s="31"/>
      <c r="AB62" s="31"/>
      <c r="AC62" s="31"/>
      <c r="AD62" s="31"/>
      <c r="AE62" s="31"/>
      <c r="AF62" s="31"/>
      <c r="AG62" s="31"/>
      <c r="AH62" s="31"/>
      <c r="AI62" s="31"/>
      <c r="AJ62" s="31"/>
      <c r="AK62" s="31"/>
      <c r="AL62" s="31"/>
      <c r="AM62" s="1"/>
      <c r="AN62" s="31"/>
      <c r="AO62" s="31"/>
      <c r="AP62" s="31"/>
      <c r="AQ62" s="31"/>
      <c r="AR62" s="31"/>
      <c r="AS62" s="60"/>
    </row>
    <row r="63" spans="1:45" ht="20.25" customHeight="1">
      <c r="A63" s="31"/>
      <c r="B63" s="1"/>
      <c r="C63" s="1"/>
      <c r="D63" s="31"/>
      <c r="E63" s="31"/>
      <c r="F63" s="31"/>
      <c r="G63" s="31"/>
      <c r="H63" s="31"/>
      <c r="I63" s="31"/>
      <c r="J63" s="31"/>
      <c r="K63" s="31"/>
      <c r="L63" s="31"/>
      <c r="M63" s="31"/>
      <c r="N63" s="31"/>
      <c r="O63" s="31"/>
      <c r="P63" s="31"/>
      <c r="Q63" s="58"/>
      <c r="R63" s="588"/>
      <c r="S63" s="588"/>
      <c r="T63" s="588"/>
      <c r="U63" s="588"/>
      <c r="V63" s="59"/>
      <c r="W63" s="31"/>
      <c r="X63" s="31"/>
      <c r="Y63" s="60"/>
      <c r="Z63" s="60"/>
      <c r="AA63" s="31"/>
      <c r="AB63" s="31"/>
      <c r="AC63" s="31"/>
      <c r="AD63" s="31"/>
      <c r="AE63" s="31"/>
      <c r="AF63" s="31"/>
      <c r="AG63" s="31"/>
      <c r="AH63" s="31"/>
      <c r="AI63" s="31"/>
      <c r="AJ63" s="31"/>
      <c r="AK63" s="31"/>
      <c r="AL63" s="31"/>
      <c r="AM63" s="1"/>
      <c r="AN63" s="31"/>
      <c r="AO63" s="31"/>
      <c r="AP63" s="31"/>
      <c r="AQ63" s="31"/>
      <c r="AR63" s="31"/>
      <c r="AS63" s="60"/>
    </row>
    <row r="64" spans="1:45" ht="20.25" customHeight="1">
      <c r="A64" s="31"/>
      <c r="B64" s="1"/>
      <c r="C64" s="1"/>
      <c r="D64" s="31"/>
      <c r="E64" s="31"/>
      <c r="F64" s="31"/>
      <c r="G64" s="31"/>
      <c r="H64" s="31"/>
      <c r="I64" s="31"/>
      <c r="J64" s="31"/>
      <c r="K64" s="31"/>
      <c r="L64" s="31"/>
      <c r="M64" s="31"/>
      <c r="N64" s="31"/>
      <c r="O64" s="31"/>
      <c r="P64" s="31"/>
      <c r="Q64" s="58"/>
      <c r="R64" s="588"/>
      <c r="S64" s="588"/>
      <c r="T64" s="588"/>
      <c r="U64" s="588"/>
      <c r="V64" s="59"/>
      <c r="W64" s="31"/>
      <c r="X64" s="31"/>
      <c r="Y64" s="60"/>
      <c r="Z64" s="60"/>
      <c r="AA64" s="31"/>
      <c r="AB64" s="31"/>
      <c r="AC64" s="31"/>
      <c r="AD64" s="31"/>
      <c r="AE64" s="31"/>
      <c r="AF64" s="31"/>
      <c r="AG64" s="31"/>
      <c r="AH64" s="31"/>
      <c r="AI64" s="31"/>
      <c r="AJ64" s="31"/>
      <c r="AK64" s="31"/>
      <c r="AL64" s="31"/>
      <c r="AM64" s="1"/>
      <c r="AN64" s="31"/>
      <c r="AO64" s="31"/>
      <c r="AP64" s="31"/>
      <c r="AQ64" s="31"/>
      <c r="AR64" s="31"/>
      <c r="AS64" s="60"/>
    </row>
    <row r="65" spans="1:45" ht="20.25" customHeight="1">
      <c r="A65" s="31"/>
      <c r="B65" s="1"/>
      <c r="C65" s="1"/>
      <c r="D65" s="31"/>
      <c r="E65" s="31"/>
      <c r="F65" s="31"/>
      <c r="G65" s="31"/>
      <c r="H65" s="31"/>
      <c r="I65" s="31"/>
      <c r="J65" s="31"/>
      <c r="K65" s="31"/>
      <c r="L65" s="31"/>
      <c r="M65" s="31"/>
      <c r="N65" s="31"/>
      <c r="O65" s="31"/>
      <c r="P65" s="31"/>
      <c r="Q65" s="58"/>
      <c r="R65" s="588"/>
      <c r="S65" s="588"/>
      <c r="T65" s="588"/>
      <c r="U65" s="588"/>
      <c r="V65" s="59"/>
      <c r="W65" s="31"/>
      <c r="X65" s="31"/>
      <c r="Y65" s="60"/>
      <c r="Z65" s="60"/>
      <c r="AA65" s="31"/>
      <c r="AB65" s="31"/>
      <c r="AC65" s="31"/>
      <c r="AD65" s="31"/>
      <c r="AE65" s="31"/>
      <c r="AF65" s="31"/>
      <c r="AG65" s="31"/>
      <c r="AH65" s="31"/>
      <c r="AI65" s="31"/>
      <c r="AJ65" s="31"/>
      <c r="AK65" s="31"/>
      <c r="AL65" s="31"/>
      <c r="AM65" s="1"/>
      <c r="AN65" s="31"/>
      <c r="AO65" s="31"/>
      <c r="AP65" s="31"/>
      <c r="AQ65" s="31"/>
      <c r="AR65" s="31"/>
      <c r="AS65" s="60"/>
    </row>
    <row r="66" spans="1:45" ht="20.25" customHeight="1">
      <c r="A66" s="31"/>
      <c r="B66" s="1"/>
      <c r="C66" s="1"/>
      <c r="D66" s="31"/>
      <c r="E66" s="31"/>
      <c r="F66" s="31"/>
      <c r="G66" s="31"/>
      <c r="H66" s="31"/>
      <c r="I66" s="31"/>
      <c r="J66" s="31"/>
      <c r="K66" s="31"/>
      <c r="L66" s="31"/>
      <c r="M66" s="31"/>
      <c r="N66" s="31"/>
      <c r="O66" s="31"/>
      <c r="P66" s="31"/>
      <c r="Q66" s="58"/>
      <c r="R66" s="588"/>
      <c r="S66" s="588"/>
      <c r="T66" s="588"/>
      <c r="U66" s="588"/>
      <c r="V66" s="59"/>
      <c r="W66" s="31"/>
      <c r="X66" s="31"/>
      <c r="Y66" s="60"/>
      <c r="Z66" s="60"/>
      <c r="AA66" s="31"/>
      <c r="AB66" s="31"/>
      <c r="AC66" s="31"/>
      <c r="AD66" s="31"/>
      <c r="AE66" s="31"/>
      <c r="AF66" s="31"/>
      <c r="AG66" s="31"/>
      <c r="AH66" s="31"/>
      <c r="AI66" s="31"/>
      <c r="AJ66" s="31"/>
      <c r="AK66" s="31"/>
      <c r="AL66" s="31"/>
      <c r="AM66" s="1"/>
      <c r="AN66" s="31"/>
      <c r="AO66" s="31"/>
      <c r="AP66" s="31"/>
      <c r="AQ66" s="31"/>
      <c r="AR66" s="31"/>
      <c r="AS66" s="60"/>
    </row>
    <row r="67" spans="1:45" ht="20.25" customHeight="1">
      <c r="A67" s="31"/>
      <c r="B67" s="1"/>
      <c r="C67" s="1"/>
      <c r="D67" s="31"/>
      <c r="E67" s="31"/>
      <c r="F67" s="31"/>
      <c r="G67" s="31"/>
      <c r="H67" s="31"/>
      <c r="I67" s="31"/>
      <c r="J67" s="31"/>
      <c r="K67" s="31"/>
      <c r="L67" s="31"/>
      <c r="M67" s="31"/>
      <c r="N67" s="31"/>
      <c r="O67" s="31"/>
      <c r="P67" s="31"/>
      <c r="Q67" s="58"/>
      <c r="R67" s="588"/>
      <c r="S67" s="588"/>
      <c r="T67" s="588"/>
      <c r="U67" s="588"/>
      <c r="V67" s="59"/>
      <c r="W67" s="31"/>
      <c r="X67" s="31"/>
      <c r="Y67" s="60"/>
      <c r="Z67" s="60"/>
      <c r="AA67" s="31"/>
      <c r="AB67" s="31"/>
      <c r="AC67" s="31"/>
      <c r="AD67" s="31"/>
      <c r="AE67" s="31"/>
      <c r="AF67" s="31"/>
      <c r="AG67" s="31"/>
      <c r="AH67" s="31"/>
      <c r="AI67" s="31"/>
      <c r="AJ67" s="31"/>
      <c r="AK67" s="31"/>
      <c r="AL67" s="31"/>
      <c r="AM67" s="1"/>
      <c r="AN67" s="31"/>
      <c r="AO67" s="31"/>
      <c r="AP67" s="31"/>
      <c r="AQ67" s="31"/>
      <c r="AR67" s="31"/>
      <c r="AS67" s="60"/>
    </row>
    <row r="68" spans="1:45" ht="20.25" customHeight="1">
      <c r="A68" s="31"/>
      <c r="B68" s="1"/>
      <c r="C68" s="1"/>
      <c r="D68" s="31"/>
      <c r="E68" s="31"/>
      <c r="F68" s="31"/>
      <c r="G68" s="31"/>
      <c r="H68" s="31"/>
      <c r="I68" s="31"/>
      <c r="J68" s="31"/>
      <c r="K68" s="31"/>
      <c r="L68" s="31"/>
      <c r="M68" s="31"/>
      <c r="N68" s="31"/>
      <c r="O68" s="31"/>
      <c r="P68" s="31"/>
      <c r="Q68" s="58"/>
      <c r="R68" s="588"/>
      <c r="S68" s="588"/>
      <c r="T68" s="588"/>
      <c r="U68" s="588"/>
      <c r="V68" s="59"/>
      <c r="W68" s="31"/>
      <c r="X68" s="31"/>
      <c r="Y68" s="60"/>
      <c r="Z68" s="60"/>
      <c r="AA68" s="31"/>
      <c r="AB68" s="31"/>
      <c r="AC68" s="31"/>
      <c r="AD68" s="31"/>
      <c r="AE68" s="31"/>
      <c r="AF68" s="31"/>
      <c r="AG68" s="31"/>
      <c r="AH68" s="31"/>
      <c r="AI68" s="31"/>
      <c r="AJ68" s="31"/>
      <c r="AK68" s="31"/>
      <c r="AL68" s="31"/>
      <c r="AM68" s="1"/>
      <c r="AN68" s="31"/>
      <c r="AO68" s="31"/>
      <c r="AP68" s="31"/>
      <c r="AQ68" s="31"/>
      <c r="AR68" s="31"/>
      <c r="AS68" s="60"/>
    </row>
    <row r="69" spans="1:45" ht="20.25" customHeight="1">
      <c r="A69" s="31"/>
      <c r="B69" s="1"/>
      <c r="C69" s="1"/>
      <c r="D69" s="31"/>
      <c r="E69" s="31"/>
      <c r="F69" s="31"/>
      <c r="G69" s="31"/>
      <c r="H69" s="31"/>
      <c r="I69" s="31"/>
      <c r="J69" s="31"/>
      <c r="K69" s="31"/>
      <c r="L69" s="31"/>
      <c r="M69" s="31"/>
      <c r="N69" s="31"/>
      <c r="O69" s="31"/>
      <c r="P69" s="31"/>
      <c r="Q69" s="58"/>
      <c r="R69" s="588"/>
      <c r="S69" s="588"/>
      <c r="T69" s="588"/>
      <c r="U69" s="588"/>
      <c r="V69" s="59"/>
      <c r="W69" s="31"/>
      <c r="X69" s="31"/>
      <c r="Y69" s="60"/>
      <c r="Z69" s="60"/>
      <c r="AA69" s="31"/>
      <c r="AB69" s="31"/>
      <c r="AC69" s="31"/>
      <c r="AD69" s="31"/>
      <c r="AE69" s="31"/>
      <c r="AF69" s="31"/>
      <c r="AG69" s="31"/>
      <c r="AH69" s="31"/>
      <c r="AI69" s="31"/>
      <c r="AJ69" s="31"/>
      <c r="AK69" s="31"/>
      <c r="AL69" s="31"/>
      <c r="AM69" s="1"/>
      <c r="AN69" s="31"/>
      <c r="AO69" s="31"/>
      <c r="AP69" s="31"/>
      <c r="AQ69" s="31"/>
      <c r="AR69" s="31"/>
      <c r="AS69" s="60"/>
    </row>
    <row r="70" spans="1:45" ht="20.25" customHeight="1">
      <c r="A70" s="31"/>
      <c r="B70" s="1"/>
      <c r="C70" s="1"/>
      <c r="D70" s="31"/>
      <c r="E70" s="31"/>
      <c r="F70" s="31"/>
      <c r="G70" s="31"/>
      <c r="H70" s="31"/>
      <c r="I70" s="31"/>
      <c r="J70" s="31"/>
      <c r="K70" s="31"/>
      <c r="L70" s="31"/>
      <c r="M70" s="31"/>
      <c r="N70" s="31"/>
      <c r="O70" s="31"/>
      <c r="P70" s="31"/>
      <c r="Q70" s="58"/>
      <c r="R70" s="588"/>
      <c r="S70" s="588"/>
      <c r="T70" s="588"/>
      <c r="U70" s="588"/>
      <c r="V70" s="59"/>
      <c r="W70" s="31"/>
      <c r="X70" s="31"/>
      <c r="Y70" s="60"/>
      <c r="Z70" s="60"/>
      <c r="AA70" s="31"/>
      <c r="AB70" s="31"/>
      <c r="AC70" s="31"/>
      <c r="AD70" s="31"/>
      <c r="AE70" s="31"/>
      <c r="AF70" s="31"/>
      <c r="AG70" s="31"/>
      <c r="AH70" s="31"/>
      <c r="AI70" s="31"/>
      <c r="AJ70" s="31"/>
      <c r="AK70" s="31"/>
      <c r="AL70" s="31"/>
      <c r="AM70" s="1"/>
      <c r="AN70" s="31"/>
      <c r="AO70" s="31"/>
      <c r="AP70" s="31"/>
      <c r="AQ70" s="31"/>
      <c r="AR70" s="31"/>
      <c r="AS70" s="60"/>
    </row>
    <row r="71" spans="1:45" ht="20.25" customHeight="1">
      <c r="A71" s="31"/>
      <c r="B71" s="1"/>
      <c r="C71" s="1"/>
      <c r="D71" s="31"/>
      <c r="E71" s="31"/>
      <c r="F71" s="31"/>
      <c r="G71" s="31"/>
      <c r="H71" s="31"/>
      <c r="I71" s="31"/>
      <c r="J71" s="31"/>
      <c r="K71" s="31"/>
      <c r="L71" s="31"/>
      <c r="M71" s="31"/>
      <c r="N71" s="31"/>
      <c r="O71" s="31"/>
      <c r="P71" s="31"/>
      <c r="Q71" s="58"/>
      <c r="R71" s="588"/>
      <c r="S71" s="588"/>
      <c r="T71" s="588"/>
      <c r="U71" s="588"/>
      <c r="V71" s="59"/>
      <c r="W71" s="31"/>
      <c r="X71" s="31"/>
      <c r="Y71" s="60"/>
      <c r="Z71" s="60"/>
      <c r="AA71" s="31"/>
      <c r="AB71" s="31"/>
      <c r="AC71" s="31"/>
      <c r="AD71" s="31"/>
      <c r="AE71" s="31"/>
      <c r="AF71" s="31"/>
      <c r="AG71" s="31"/>
      <c r="AH71" s="31"/>
      <c r="AI71" s="31"/>
      <c r="AJ71" s="31"/>
      <c r="AK71" s="31"/>
      <c r="AL71" s="31"/>
      <c r="AM71" s="1"/>
      <c r="AN71" s="31"/>
      <c r="AO71" s="31"/>
      <c r="AP71" s="31"/>
      <c r="AQ71" s="31"/>
      <c r="AR71" s="31"/>
      <c r="AS71" s="60"/>
    </row>
    <row r="72" spans="1:45" ht="20.25" customHeight="1">
      <c r="A72" s="31"/>
      <c r="B72" s="1"/>
      <c r="C72" s="1"/>
      <c r="D72" s="31"/>
      <c r="E72" s="31"/>
      <c r="F72" s="31"/>
      <c r="G72" s="31"/>
      <c r="H72" s="31"/>
      <c r="I72" s="31"/>
      <c r="J72" s="31"/>
      <c r="K72" s="31"/>
      <c r="L72" s="31"/>
      <c r="M72" s="31"/>
      <c r="N72" s="31"/>
      <c r="O72" s="31"/>
      <c r="P72" s="31"/>
      <c r="Q72" s="58"/>
      <c r="R72" s="588"/>
      <c r="S72" s="588"/>
      <c r="T72" s="588"/>
      <c r="U72" s="588"/>
      <c r="V72" s="59"/>
      <c r="W72" s="31"/>
      <c r="X72" s="31"/>
      <c r="Y72" s="60"/>
      <c r="Z72" s="60"/>
      <c r="AA72" s="31"/>
      <c r="AB72" s="31"/>
      <c r="AC72" s="31"/>
      <c r="AD72" s="31"/>
      <c r="AE72" s="31"/>
      <c r="AF72" s="31"/>
      <c r="AG72" s="31"/>
      <c r="AH72" s="31"/>
      <c r="AI72" s="31"/>
      <c r="AJ72" s="31"/>
      <c r="AK72" s="31"/>
      <c r="AL72" s="31"/>
      <c r="AM72" s="1"/>
      <c r="AN72" s="31"/>
      <c r="AO72" s="31"/>
      <c r="AP72" s="31"/>
      <c r="AQ72" s="31"/>
      <c r="AR72" s="31"/>
      <c r="AS72" s="60"/>
    </row>
    <row r="73" spans="1:45" ht="20.25" customHeight="1">
      <c r="A73" s="31"/>
      <c r="B73" s="1"/>
      <c r="C73" s="1"/>
      <c r="D73" s="31"/>
      <c r="E73" s="31"/>
      <c r="F73" s="31"/>
      <c r="G73" s="31"/>
      <c r="H73" s="31"/>
      <c r="I73" s="31"/>
      <c r="J73" s="31"/>
      <c r="K73" s="31"/>
      <c r="L73" s="31"/>
      <c r="M73" s="31"/>
      <c r="N73" s="31"/>
      <c r="O73" s="31"/>
      <c r="P73" s="31"/>
      <c r="Q73" s="58"/>
      <c r="R73" s="588"/>
      <c r="S73" s="588"/>
      <c r="T73" s="588"/>
      <c r="U73" s="588"/>
      <c r="V73" s="59"/>
      <c r="W73" s="31"/>
      <c r="X73" s="31"/>
      <c r="Y73" s="60"/>
      <c r="Z73" s="60"/>
      <c r="AA73" s="31"/>
      <c r="AB73" s="31"/>
      <c r="AC73" s="31"/>
      <c r="AD73" s="31"/>
      <c r="AE73" s="31"/>
      <c r="AF73" s="31"/>
      <c r="AG73" s="31"/>
      <c r="AH73" s="31"/>
      <c r="AI73" s="31"/>
      <c r="AJ73" s="31"/>
      <c r="AK73" s="31"/>
      <c r="AL73" s="31"/>
      <c r="AM73" s="1"/>
      <c r="AN73" s="31"/>
      <c r="AO73" s="31"/>
      <c r="AP73" s="31"/>
      <c r="AQ73" s="31"/>
      <c r="AR73" s="31"/>
      <c r="AS73" s="60"/>
    </row>
    <row r="74" spans="1:45" ht="20.25" customHeight="1">
      <c r="A74" s="31"/>
      <c r="B74" s="1"/>
      <c r="C74" s="1"/>
      <c r="D74" s="31"/>
      <c r="E74" s="31"/>
      <c r="F74" s="31"/>
      <c r="G74" s="31"/>
      <c r="H74" s="31"/>
      <c r="I74" s="31"/>
      <c r="J74" s="31"/>
      <c r="K74" s="31"/>
      <c r="L74" s="31"/>
      <c r="M74" s="31"/>
      <c r="N74" s="31"/>
      <c r="O74" s="31"/>
      <c r="P74" s="31"/>
      <c r="Q74" s="58"/>
      <c r="R74" s="588"/>
      <c r="S74" s="588"/>
      <c r="T74" s="588"/>
      <c r="U74" s="588"/>
      <c r="V74" s="59"/>
      <c r="W74" s="31"/>
      <c r="X74" s="31"/>
      <c r="Y74" s="60"/>
      <c r="Z74" s="60"/>
      <c r="AA74" s="31"/>
      <c r="AB74" s="31"/>
      <c r="AC74" s="31"/>
      <c r="AD74" s="31"/>
      <c r="AE74" s="31"/>
      <c r="AF74" s="31"/>
      <c r="AG74" s="31"/>
      <c r="AH74" s="31"/>
      <c r="AI74" s="31"/>
      <c r="AJ74" s="31"/>
      <c r="AK74" s="31"/>
      <c r="AL74" s="31"/>
      <c r="AM74" s="1"/>
      <c r="AN74" s="31"/>
      <c r="AO74" s="31"/>
      <c r="AP74" s="31"/>
      <c r="AQ74" s="31"/>
      <c r="AR74" s="31"/>
      <c r="AS74" s="60"/>
    </row>
    <row r="75" spans="1:45" ht="20.25" customHeight="1">
      <c r="A75" s="31"/>
      <c r="B75" s="1"/>
      <c r="C75" s="1"/>
      <c r="D75" s="31"/>
      <c r="E75" s="31"/>
      <c r="F75" s="31"/>
      <c r="G75" s="31"/>
      <c r="H75" s="31"/>
      <c r="I75" s="31"/>
      <c r="J75" s="31"/>
      <c r="K75" s="31"/>
      <c r="L75" s="31"/>
      <c r="M75" s="31"/>
      <c r="N75" s="31"/>
      <c r="O75" s="31"/>
      <c r="P75" s="31"/>
      <c r="Q75" s="58"/>
      <c r="R75" s="588"/>
      <c r="S75" s="588"/>
      <c r="T75" s="588"/>
      <c r="U75" s="588"/>
      <c r="V75" s="59"/>
      <c r="W75" s="31"/>
      <c r="X75" s="31"/>
      <c r="Y75" s="60"/>
      <c r="Z75" s="60"/>
      <c r="AA75" s="31"/>
      <c r="AB75" s="31"/>
      <c r="AC75" s="31"/>
      <c r="AD75" s="31"/>
      <c r="AE75" s="31"/>
      <c r="AF75" s="31"/>
      <c r="AG75" s="31"/>
      <c r="AH75" s="31"/>
      <c r="AI75" s="31"/>
      <c r="AJ75" s="31"/>
      <c r="AK75" s="31"/>
      <c r="AL75" s="31"/>
      <c r="AM75" s="1"/>
      <c r="AN75" s="31"/>
      <c r="AO75" s="31"/>
      <c r="AP75" s="31"/>
      <c r="AQ75" s="31"/>
      <c r="AR75" s="31"/>
      <c r="AS75" s="60"/>
    </row>
    <row r="76" spans="1:45" ht="20.25" customHeight="1">
      <c r="A76" s="31"/>
      <c r="B76" s="1"/>
      <c r="C76" s="1"/>
      <c r="D76" s="31"/>
      <c r="E76" s="31"/>
      <c r="F76" s="31"/>
      <c r="G76" s="31"/>
      <c r="H76" s="31"/>
      <c r="I76" s="31"/>
      <c r="J76" s="31"/>
      <c r="K76" s="31"/>
      <c r="L76" s="31"/>
      <c r="M76" s="31"/>
      <c r="N76" s="31"/>
      <c r="O76" s="31"/>
      <c r="P76" s="31"/>
      <c r="Q76" s="58"/>
      <c r="R76" s="588"/>
      <c r="S76" s="588"/>
      <c r="T76" s="588"/>
      <c r="U76" s="588"/>
      <c r="V76" s="59"/>
      <c r="W76" s="31"/>
      <c r="X76" s="31"/>
      <c r="Y76" s="60"/>
      <c r="Z76" s="60"/>
      <c r="AA76" s="31"/>
      <c r="AB76" s="31"/>
      <c r="AC76" s="31"/>
      <c r="AD76" s="31"/>
      <c r="AE76" s="31"/>
      <c r="AF76" s="31"/>
      <c r="AG76" s="31"/>
      <c r="AH76" s="31"/>
      <c r="AI76" s="31"/>
      <c r="AJ76" s="31"/>
      <c r="AK76" s="31"/>
      <c r="AL76" s="31"/>
      <c r="AM76" s="1"/>
      <c r="AN76" s="31"/>
      <c r="AO76" s="31"/>
      <c r="AP76" s="31"/>
      <c r="AQ76" s="31"/>
      <c r="AR76" s="31"/>
      <c r="AS76" s="60"/>
    </row>
    <row r="77" spans="1:45" ht="20.25" customHeight="1">
      <c r="A77" s="31"/>
      <c r="B77" s="1"/>
      <c r="C77" s="1"/>
      <c r="D77" s="31"/>
      <c r="E77" s="31"/>
      <c r="F77" s="31"/>
      <c r="G77" s="31"/>
      <c r="H77" s="31"/>
      <c r="I77" s="31"/>
      <c r="J77" s="31"/>
      <c r="K77" s="31"/>
      <c r="L77" s="31"/>
      <c r="M77" s="31"/>
      <c r="N77" s="31"/>
      <c r="O77" s="31"/>
      <c r="P77" s="31"/>
      <c r="Q77" s="58"/>
      <c r="R77" s="588"/>
      <c r="S77" s="588"/>
      <c r="T77" s="588"/>
      <c r="U77" s="588"/>
      <c r="V77" s="59"/>
      <c r="W77" s="31"/>
      <c r="X77" s="31"/>
      <c r="Y77" s="60"/>
      <c r="Z77" s="60"/>
      <c r="AA77" s="31"/>
      <c r="AB77" s="31"/>
      <c r="AC77" s="31"/>
      <c r="AD77" s="31"/>
      <c r="AE77" s="31"/>
      <c r="AF77" s="31"/>
      <c r="AG77" s="31"/>
      <c r="AH77" s="31"/>
      <c r="AI77" s="31"/>
      <c r="AJ77" s="31"/>
      <c r="AK77" s="31"/>
      <c r="AL77" s="31"/>
      <c r="AM77" s="1"/>
      <c r="AN77" s="31"/>
      <c r="AO77" s="31"/>
      <c r="AP77" s="31"/>
      <c r="AQ77" s="31"/>
      <c r="AR77" s="31"/>
      <c r="AS77" s="60"/>
    </row>
    <row r="78" spans="1:45" ht="20.25" customHeight="1">
      <c r="A78" s="31"/>
      <c r="B78" s="1"/>
      <c r="C78" s="1"/>
      <c r="D78" s="31"/>
      <c r="E78" s="31"/>
      <c r="F78" s="31"/>
      <c r="G78" s="31"/>
      <c r="H78" s="31"/>
      <c r="I78" s="31"/>
      <c r="J78" s="31"/>
      <c r="K78" s="31"/>
      <c r="L78" s="31"/>
      <c r="M78" s="31"/>
      <c r="N78" s="31"/>
      <c r="O78" s="31"/>
      <c r="P78" s="31"/>
      <c r="Q78" s="58"/>
      <c r="R78" s="588"/>
      <c r="S78" s="588"/>
      <c r="T78" s="588"/>
      <c r="U78" s="588"/>
      <c r="V78" s="59"/>
      <c r="W78" s="31"/>
      <c r="X78" s="31"/>
      <c r="Y78" s="60"/>
      <c r="Z78" s="60"/>
      <c r="AA78" s="31"/>
      <c r="AB78" s="31"/>
      <c r="AC78" s="31"/>
      <c r="AD78" s="31"/>
      <c r="AE78" s="31"/>
      <c r="AF78" s="31"/>
      <c r="AG78" s="31"/>
      <c r="AH78" s="31"/>
      <c r="AI78" s="31"/>
      <c r="AJ78" s="31"/>
      <c r="AK78" s="31"/>
      <c r="AL78" s="31"/>
      <c r="AM78" s="1"/>
      <c r="AN78" s="31"/>
      <c r="AO78" s="31"/>
      <c r="AP78" s="31"/>
      <c r="AQ78" s="31"/>
      <c r="AR78" s="31"/>
      <c r="AS78" s="60"/>
    </row>
    <row r="79" spans="1:45" ht="20.25" customHeight="1">
      <c r="A79" s="31"/>
      <c r="B79" s="1"/>
      <c r="C79" s="1"/>
      <c r="D79" s="31"/>
      <c r="E79" s="31"/>
      <c r="F79" s="31"/>
      <c r="G79" s="31"/>
      <c r="H79" s="31"/>
      <c r="I79" s="31"/>
      <c r="J79" s="31"/>
      <c r="K79" s="31"/>
      <c r="L79" s="31"/>
      <c r="M79" s="31"/>
      <c r="N79" s="31"/>
      <c r="O79" s="31"/>
      <c r="P79" s="31"/>
      <c r="Q79" s="58"/>
      <c r="R79" s="588"/>
      <c r="S79" s="588"/>
      <c r="T79" s="588"/>
      <c r="U79" s="588"/>
      <c r="V79" s="59"/>
      <c r="W79" s="31"/>
      <c r="X79" s="31"/>
      <c r="Y79" s="60"/>
      <c r="Z79" s="60"/>
      <c r="AA79" s="31"/>
      <c r="AB79" s="31"/>
      <c r="AC79" s="31"/>
      <c r="AD79" s="31"/>
      <c r="AE79" s="31"/>
      <c r="AF79" s="31"/>
      <c r="AG79" s="31"/>
      <c r="AH79" s="31"/>
      <c r="AI79" s="31"/>
      <c r="AJ79" s="31"/>
      <c r="AK79" s="31"/>
      <c r="AL79" s="31"/>
      <c r="AM79" s="1"/>
      <c r="AN79" s="31"/>
      <c r="AO79" s="31"/>
      <c r="AP79" s="31"/>
      <c r="AQ79" s="31"/>
      <c r="AR79" s="31"/>
      <c r="AS79" s="60"/>
    </row>
    <row r="80" spans="1:45" ht="20.25" customHeight="1">
      <c r="A80" s="31"/>
      <c r="B80" s="1"/>
      <c r="C80" s="1"/>
      <c r="D80" s="31"/>
      <c r="E80" s="31"/>
      <c r="F80" s="31"/>
      <c r="G80" s="31"/>
      <c r="H80" s="31"/>
      <c r="I80" s="31"/>
      <c r="J80" s="31"/>
      <c r="K80" s="31"/>
      <c r="L80" s="31"/>
      <c r="M80" s="31"/>
      <c r="N80" s="31"/>
      <c r="O80" s="31"/>
      <c r="P80" s="31"/>
      <c r="Q80" s="58"/>
      <c r="R80" s="588"/>
      <c r="S80" s="588"/>
      <c r="T80" s="588"/>
      <c r="U80" s="588"/>
      <c r="V80" s="59"/>
      <c r="W80" s="31"/>
      <c r="X80" s="31"/>
      <c r="Y80" s="60"/>
      <c r="Z80" s="60"/>
      <c r="AA80" s="31"/>
      <c r="AB80" s="31"/>
      <c r="AC80" s="31"/>
      <c r="AD80" s="31"/>
      <c r="AE80" s="31"/>
      <c r="AF80" s="31"/>
      <c r="AG80" s="31"/>
      <c r="AH80" s="31"/>
      <c r="AI80" s="31"/>
      <c r="AJ80" s="31"/>
      <c r="AK80" s="31"/>
      <c r="AL80" s="31"/>
      <c r="AM80" s="1"/>
      <c r="AN80" s="31"/>
      <c r="AO80" s="31"/>
      <c r="AP80" s="31"/>
      <c r="AQ80" s="31"/>
      <c r="AR80" s="31"/>
      <c r="AS80" s="60"/>
    </row>
    <row r="81" spans="1:45" ht="20.25" customHeight="1">
      <c r="A81" s="31"/>
      <c r="B81" s="1"/>
      <c r="C81" s="1"/>
      <c r="D81" s="31"/>
      <c r="E81" s="31"/>
      <c r="F81" s="31"/>
      <c r="G81" s="31"/>
      <c r="H81" s="31"/>
      <c r="I81" s="31"/>
      <c r="J81" s="31"/>
      <c r="K81" s="31"/>
      <c r="L81" s="31"/>
      <c r="M81" s="31"/>
      <c r="N81" s="31"/>
      <c r="O81" s="31"/>
      <c r="P81" s="31"/>
      <c r="Q81" s="58"/>
      <c r="R81" s="588"/>
      <c r="S81" s="588"/>
      <c r="T81" s="588"/>
      <c r="U81" s="588"/>
      <c r="V81" s="59"/>
      <c r="W81" s="31"/>
      <c r="X81" s="31"/>
      <c r="Y81" s="60"/>
      <c r="Z81" s="60"/>
      <c r="AA81" s="31"/>
      <c r="AB81" s="31"/>
      <c r="AC81" s="31"/>
      <c r="AD81" s="31"/>
      <c r="AE81" s="31"/>
      <c r="AF81" s="31"/>
      <c r="AG81" s="31"/>
      <c r="AH81" s="31"/>
      <c r="AI81" s="31"/>
      <c r="AJ81" s="31"/>
      <c r="AK81" s="31"/>
      <c r="AL81" s="31"/>
      <c r="AM81" s="1"/>
      <c r="AN81" s="31"/>
      <c r="AO81" s="31"/>
      <c r="AP81" s="31"/>
      <c r="AQ81" s="31"/>
      <c r="AR81" s="31"/>
      <c r="AS81" s="60"/>
    </row>
    <row r="82" spans="1:45" ht="20.25" customHeight="1">
      <c r="A82" s="31"/>
      <c r="B82" s="1"/>
      <c r="C82" s="1"/>
      <c r="D82" s="31"/>
      <c r="E82" s="31"/>
      <c r="F82" s="31"/>
      <c r="G82" s="31"/>
      <c r="H82" s="31"/>
      <c r="I82" s="31"/>
      <c r="J82" s="31"/>
      <c r="K82" s="31"/>
      <c r="L82" s="31"/>
      <c r="M82" s="31"/>
      <c r="N82" s="31"/>
      <c r="O82" s="31"/>
      <c r="P82" s="31"/>
      <c r="Q82" s="58"/>
      <c r="R82" s="588"/>
      <c r="S82" s="588"/>
      <c r="T82" s="588"/>
      <c r="U82" s="588"/>
      <c r="V82" s="59"/>
      <c r="W82" s="31"/>
      <c r="X82" s="31"/>
      <c r="Y82" s="60"/>
      <c r="Z82" s="60"/>
      <c r="AA82" s="31"/>
      <c r="AB82" s="31"/>
      <c r="AC82" s="31"/>
      <c r="AD82" s="31"/>
      <c r="AE82" s="31"/>
      <c r="AF82" s="31"/>
      <c r="AG82" s="31"/>
      <c r="AH82" s="31"/>
      <c r="AI82" s="31"/>
      <c r="AJ82" s="31"/>
      <c r="AK82" s="31"/>
      <c r="AL82" s="31"/>
      <c r="AM82" s="1"/>
      <c r="AN82" s="31"/>
      <c r="AO82" s="31"/>
      <c r="AP82" s="31"/>
      <c r="AQ82" s="31"/>
      <c r="AR82" s="31"/>
      <c r="AS82" s="60"/>
    </row>
    <row r="83" spans="1:45" ht="20.25" customHeight="1">
      <c r="A83" s="31"/>
      <c r="B83" s="1"/>
      <c r="C83" s="1"/>
      <c r="D83" s="31"/>
      <c r="E83" s="31"/>
      <c r="F83" s="31"/>
      <c r="G83" s="31"/>
      <c r="H83" s="31"/>
      <c r="I83" s="31"/>
      <c r="J83" s="31"/>
      <c r="K83" s="31"/>
      <c r="L83" s="31"/>
      <c r="M83" s="31"/>
      <c r="N83" s="31"/>
      <c r="O83" s="31"/>
      <c r="P83" s="31"/>
      <c r="Q83" s="58"/>
      <c r="R83" s="588"/>
      <c r="S83" s="588"/>
      <c r="T83" s="588"/>
      <c r="U83" s="588"/>
      <c r="V83" s="59"/>
      <c r="W83" s="31"/>
      <c r="X83" s="31"/>
      <c r="Y83" s="60"/>
      <c r="Z83" s="60"/>
      <c r="AA83" s="31"/>
      <c r="AB83" s="31"/>
      <c r="AC83" s="31"/>
      <c r="AD83" s="31"/>
      <c r="AE83" s="31"/>
      <c r="AF83" s="31"/>
      <c r="AG83" s="31"/>
      <c r="AH83" s="31"/>
      <c r="AI83" s="31"/>
      <c r="AJ83" s="31"/>
      <c r="AK83" s="31"/>
      <c r="AL83" s="31"/>
      <c r="AM83" s="1"/>
      <c r="AN83" s="31"/>
      <c r="AO83" s="31"/>
      <c r="AP83" s="31"/>
      <c r="AQ83" s="31"/>
      <c r="AR83" s="31"/>
      <c r="AS83" s="60"/>
    </row>
    <row r="84" spans="1:45" ht="20.25" customHeight="1">
      <c r="A84" s="31"/>
      <c r="B84" s="1"/>
      <c r="C84" s="1"/>
      <c r="D84" s="31"/>
      <c r="E84" s="31"/>
      <c r="F84" s="31"/>
      <c r="G84" s="31"/>
      <c r="H84" s="31"/>
      <c r="I84" s="31"/>
      <c r="J84" s="31"/>
      <c r="K84" s="31"/>
      <c r="L84" s="31"/>
      <c r="M84" s="31"/>
      <c r="N84" s="31"/>
      <c r="O84" s="31"/>
      <c r="P84" s="31"/>
      <c r="Q84" s="58"/>
      <c r="R84" s="588"/>
      <c r="S84" s="588"/>
      <c r="T84" s="588"/>
      <c r="U84" s="588"/>
      <c r="V84" s="59"/>
      <c r="W84" s="31"/>
      <c r="X84" s="31"/>
      <c r="Y84" s="60"/>
      <c r="Z84" s="60"/>
      <c r="AA84" s="31"/>
      <c r="AB84" s="31"/>
      <c r="AC84" s="31"/>
      <c r="AD84" s="31"/>
      <c r="AE84" s="31"/>
      <c r="AF84" s="31"/>
      <c r="AG84" s="31"/>
      <c r="AH84" s="31"/>
      <c r="AI84" s="31"/>
      <c r="AJ84" s="31"/>
      <c r="AK84" s="31"/>
      <c r="AL84" s="31"/>
      <c r="AM84" s="1"/>
      <c r="AN84" s="31"/>
      <c r="AO84" s="31"/>
      <c r="AP84" s="31"/>
      <c r="AQ84" s="31"/>
      <c r="AR84" s="31"/>
      <c r="AS84" s="60"/>
    </row>
    <row r="85" spans="1:45" ht="20.25" customHeight="1">
      <c r="A85" s="31"/>
      <c r="B85" s="1"/>
      <c r="C85" s="1"/>
      <c r="D85" s="31"/>
      <c r="E85" s="31"/>
      <c r="F85" s="31"/>
      <c r="G85" s="31"/>
      <c r="H85" s="31"/>
      <c r="I85" s="31"/>
      <c r="J85" s="31"/>
      <c r="K85" s="31"/>
      <c r="L85" s="31"/>
      <c r="M85" s="31"/>
      <c r="N85" s="31"/>
      <c r="O85" s="31"/>
      <c r="P85" s="31"/>
      <c r="Q85" s="58"/>
      <c r="R85" s="588"/>
      <c r="S85" s="588"/>
      <c r="T85" s="588"/>
      <c r="U85" s="588"/>
      <c r="V85" s="59"/>
      <c r="W85" s="31"/>
      <c r="X85" s="31"/>
      <c r="Y85" s="60"/>
      <c r="Z85" s="60"/>
      <c r="AA85" s="31"/>
      <c r="AB85" s="31"/>
      <c r="AC85" s="31"/>
      <c r="AD85" s="31"/>
      <c r="AE85" s="31"/>
      <c r="AF85" s="31"/>
      <c r="AG85" s="31"/>
      <c r="AH85" s="31"/>
      <c r="AI85" s="31"/>
      <c r="AJ85" s="31"/>
      <c r="AK85" s="31"/>
      <c r="AL85" s="31"/>
      <c r="AM85" s="1"/>
      <c r="AN85" s="31"/>
      <c r="AO85" s="31"/>
      <c r="AP85" s="31"/>
      <c r="AQ85" s="31"/>
      <c r="AR85" s="31"/>
      <c r="AS85" s="60"/>
    </row>
    <row r="86" spans="1:45" ht="20.25" customHeight="1">
      <c r="A86" s="31"/>
      <c r="B86" s="1"/>
      <c r="C86" s="1"/>
      <c r="D86" s="31"/>
      <c r="E86" s="31"/>
      <c r="F86" s="31"/>
      <c r="G86" s="31"/>
      <c r="H86" s="31"/>
      <c r="I86" s="31"/>
      <c r="J86" s="31"/>
      <c r="K86" s="31"/>
      <c r="L86" s="31"/>
      <c r="M86" s="31"/>
      <c r="N86" s="31"/>
      <c r="O86" s="31"/>
      <c r="P86" s="31"/>
      <c r="Q86" s="58"/>
      <c r="R86" s="588"/>
      <c r="S86" s="588"/>
      <c r="T86" s="588"/>
      <c r="U86" s="588"/>
      <c r="V86" s="59"/>
      <c r="W86" s="31"/>
      <c r="X86" s="31"/>
      <c r="Y86" s="60"/>
      <c r="Z86" s="60"/>
      <c r="AA86" s="31"/>
      <c r="AB86" s="31"/>
      <c r="AC86" s="31"/>
      <c r="AD86" s="31"/>
      <c r="AE86" s="31"/>
      <c r="AF86" s="31"/>
      <c r="AG86" s="31"/>
      <c r="AH86" s="31"/>
      <c r="AI86" s="31"/>
      <c r="AJ86" s="31"/>
      <c r="AK86" s="31"/>
      <c r="AL86" s="31"/>
      <c r="AM86" s="1"/>
      <c r="AN86" s="31"/>
      <c r="AO86" s="31"/>
      <c r="AP86" s="31"/>
      <c r="AQ86" s="31"/>
      <c r="AR86" s="31"/>
      <c r="AS86" s="60"/>
    </row>
  </sheetData>
  <mergeCells count="10">
    <mergeCell ref="A7:Q7"/>
    <mergeCell ref="A8:B8"/>
    <mergeCell ref="AL8:AM8"/>
    <mergeCell ref="W8:Y8"/>
    <mergeCell ref="A1:AM1"/>
    <mergeCell ref="A2:AM2"/>
    <mergeCell ref="D3:Q3"/>
    <mergeCell ref="AK3:AL3"/>
    <mergeCell ref="R3:U3"/>
    <mergeCell ref="AB3:AI3"/>
  </mergeCells>
  <conditionalFormatting sqref="J5:N6">
    <cfRule type="cellIs" dxfId="17" priority="1" stopIfTrue="1" operator="equal">
      <formula>"ER"</formula>
    </cfRule>
  </conditionalFormatting>
  <printOptions horizontalCentered="1"/>
  <pageMargins left="0" right="0" top="0.23622047244094499" bottom="0" header="0" footer="0"/>
  <pageSetup paperSize="9" scale="30" fitToHeight="0" orientation="landscape"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85623"/>
  </sheetPr>
  <dimension ref="E1:Y131"/>
  <sheetViews>
    <sheetView topLeftCell="I86" zoomScale="85" zoomScaleNormal="85" workbookViewId="0">
      <selection activeCell="K114" sqref="K114:M114"/>
    </sheetView>
  </sheetViews>
  <sheetFormatPr defaultColWidth="16.81640625" defaultRowHeight="15" customHeight="1"/>
  <cols>
    <col min="1" max="5" width="10.26953125" customWidth="1"/>
    <col min="6" max="6" width="39.7265625" customWidth="1"/>
    <col min="7" max="7" width="34.7265625" customWidth="1"/>
    <col min="8" max="8" width="13.81640625" customWidth="1"/>
    <col min="9" max="10" width="10.26953125" customWidth="1"/>
    <col min="11" max="11" width="43" customWidth="1"/>
    <col min="12" max="12" width="23.81640625" customWidth="1"/>
    <col min="13" max="13" width="13.81640625" customWidth="1"/>
    <col min="14" max="15" width="10.26953125" customWidth="1"/>
    <col min="16" max="16" width="43.26953125" customWidth="1"/>
    <col min="17" max="17" width="40.1796875" customWidth="1"/>
    <col min="18" max="18" width="26.1796875" customWidth="1"/>
    <col min="19" max="20" width="10.26953125" customWidth="1"/>
    <col min="21" max="21" width="40" customWidth="1"/>
    <col min="22" max="22" width="20" customWidth="1"/>
    <col min="23" max="23" width="21" customWidth="1"/>
    <col min="24" max="24" width="14" customWidth="1"/>
    <col min="25" max="25" width="8.1796875" customWidth="1"/>
  </cols>
  <sheetData>
    <row r="1" spans="5:25" ht="14.5">
      <c r="E1" s="775" t="s">
        <v>201</v>
      </c>
      <c r="F1" s="776"/>
      <c r="G1" s="776"/>
      <c r="H1" s="777"/>
      <c r="J1" s="775" t="s">
        <v>202</v>
      </c>
      <c r="K1" s="776"/>
      <c r="L1" s="776"/>
      <c r="M1" s="777"/>
      <c r="O1" s="775" t="s">
        <v>203</v>
      </c>
      <c r="P1" s="776"/>
      <c r="Q1" s="776"/>
      <c r="R1" s="777"/>
      <c r="T1" s="783" t="s">
        <v>204</v>
      </c>
      <c r="U1" s="776"/>
      <c r="V1" s="776"/>
      <c r="W1" s="776"/>
      <c r="X1" s="776"/>
      <c r="Y1" s="777"/>
    </row>
    <row r="2" spans="5:25" ht="14.5">
      <c r="T2" s="138" t="s">
        <v>1</v>
      </c>
      <c r="U2" s="138" t="s">
        <v>40</v>
      </c>
      <c r="V2" s="138" t="s">
        <v>205</v>
      </c>
      <c r="W2" s="138" t="s">
        <v>206</v>
      </c>
      <c r="X2" s="138"/>
      <c r="Y2" s="138"/>
    </row>
    <row r="3" spans="5:25" ht="14.5">
      <c r="E3" s="138" t="s">
        <v>1</v>
      </c>
      <c r="F3" s="138" t="s">
        <v>40</v>
      </c>
      <c r="G3" s="138" t="s">
        <v>205</v>
      </c>
      <c r="H3" s="138" t="s">
        <v>206</v>
      </c>
      <c r="J3" s="138" t="s">
        <v>1</v>
      </c>
      <c r="K3" s="138" t="s">
        <v>40</v>
      </c>
      <c r="L3" s="138" t="s">
        <v>205</v>
      </c>
      <c r="M3" s="138" t="s">
        <v>206</v>
      </c>
      <c r="O3" s="138" t="s">
        <v>1</v>
      </c>
      <c r="P3" s="138" t="s">
        <v>40</v>
      </c>
      <c r="Q3" s="138" t="s">
        <v>205</v>
      </c>
      <c r="R3" s="138" t="s">
        <v>206</v>
      </c>
      <c r="T3" s="138" t="e">
        <f>#REF!</f>
        <v>#REF!</v>
      </c>
      <c r="U3" s="138" t="e">
        <f>#REF!</f>
        <v>#REF!</v>
      </c>
      <c r="V3" s="138" t="e">
        <f>#REF!</f>
        <v>#REF!</v>
      </c>
      <c r="W3" s="139" t="e">
        <f>#REF!</f>
        <v>#REF!</v>
      </c>
      <c r="X3" s="140"/>
      <c r="Y3" s="140"/>
    </row>
    <row r="4" spans="5:25" ht="14.5">
      <c r="E4" s="141">
        <f>Academics!A5</f>
        <v>1</v>
      </c>
      <c r="F4" s="141" t="str">
        <f>Academics!B5</f>
        <v>SUJATHA D/O SUBBURAM</v>
      </c>
      <c r="G4" s="142" t="str">
        <f>Academics!AN5</f>
        <v>1750155000050628</v>
      </c>
      <c r="H4" s="143">
        <f>Academics!AJ5</f>
        <v>102700</v>
      </c>
      <c r="J4" s="141">
        <f>Admin!A5</f>
        <v>1</v>
      </c>
      <c r="K4" s="141" t="str">
        <f>Admin!B5</f>
        <v>JOSEPHINE ANNE SHEEBHA ARULDASS</v>
      </c>
      <c r="L4" s="142" t="str">
        <f>Admin!AN5</f>
        <v>1750062000000072</v>
      </c>
      <c r="M4" s="143">
        <f>Admin!AJ5</f>
        <v>67700</v>
      </c>
      <c r="O4" s="141">
        <f>Drivers!A5</f>
        <v>1</v>
      </c>
      <c r="P4" s="141" t="str">
        <f>Drivers!B5</f>
        <v>KUMARAVEL MOOKKAIAH</v>
      </c>
      <c r="Q4" s="142" t="str">
        <f>Drivers!AN5</f>
        <v>1750060000000508</v>
      </c>
      <c r="R4" s="142">
        <f>Drivers!AJ5</f>
        <v>22231</v>
      </c>
      <c r="T4" s="138" t="e">
        <f>#REF!</f>
        <v>#REF!</v>
      </c>
      <c r="U4" s="138" t="e">
        <f>#REF!</f>
        <v>#REF!</v>
      </c>
      <c r="V4" s="138" t="e">
        <f>#REF!</f>
        <v>#REF!</v>
      </c>
      <c r="W4" s="139" t="e">
        <f>#REF!</f>
        <v>#REF!</v>
      </c>
      <c r="X4" s="140"/>
      <c r="Y4" s="140"/>
    </row>
    <row r="5" spans="5:25" ht="14.5">
      <c r="E5" s="141">
        <f>Academics!A6</f>
        <v>2</v>
      </c>
      <c r="F5" s="141" t="str">
        <f>Academics!B6</f>
        <v>A JAINCOL FATHIMA</v>
      </c>
      <c r="G5" s="142" t="str">
        <f>Academics!AN6</f>
        <v>1750061000000064</v>
      </c>
      <c r="H5" s="143">
        <f>Academics!AJ6</f>
        <v>0</v>
      </c>
      <c r="I5" s="144"/>
      <c r="J5" s="141">
        <f>Admin!A6</f>
        <v>2</v>
      </c>
      <c r="K5" s="141" t="str">
        <f>Admin!B6</f>
        <v>Jeya Dharini Abinath</v>
      </c>
      <c r="L5" s="142">
        <f>Admin!AN6</f>
        <v>0</v>
      </c>
      <c r="M5" s="143">
        <f>Admin!AJ6</f>
        <v>24500</v>
      </c>
      <c r="O5" s="141">
        <f>Drivers!A6</f>
        <v>2</v>
      </c>
      <c r="P5" s="141" t="str">
        <f>Drivers!B6</f>
        <v>DURAIMURUGAN NAGARAJAN</v>
      </c>
      <c r="Q5" s="142" t="str">
        <f>Drivers!AN6</f>
        <v>1750060000000522</v>
      </c>
      <c r="R5" s="142">
        <f>Drivers!AJ6</f>
        <v>18991</v>
      </c>
      <c r="T5" s="138" t="e">
        <f>#REF!</f>
        <v>#REF!</v>
      </c>
      <c r="U5" s="138" t="e">
        <f>#REF!</f>
        <v>#REF!</v>
      </c>
      <c r="V5" s="138" t="e">
        <f>#REF!</f>
        <v>#REF!</v>
      </c>
      <c r="W5" s="139" t="e">
        <f>#REF!</f>
        <v>#REF!</v>
      </c>
      <c r="X5" s="140"/>
      <c r="Y5" s="140"/>
    </row>
    <row r="6" spans="5:25" ht="14.5">
      <c r="E6" s="141" t="e">
        <f>Academics!#REF!</f>
        <v>#REF!</v>
      </c>
      <c r="F6" s="141" t="e">
        <f>Academics!#REF!</f>
        <v>#REF!</v>
      </c>
      <c r="G6" s="142" t="e">
        <f>Academics!#REF!</f>
        <v>#REF!</v>
      </c>
      <c r="H6" s="143" t="e">
        <f>Academics!#REF!</f>
        <v>#REF!</v>
      </c>
      <c r="J6" s="141" t="e">
        <f>Admin!#REF!</f>
        <v>#REF!</v>
      </c>
      <c r="K6" s="141" t="e">
        <f>Admin!#REF!</f>
        <v>#REF!</v>
      </c>
      <c r="L6" s="142" t="e">
        <f>Admin!#REF!</f>
        <v>#REF!</v>
      </c>
      <c r="M6" s="143" t="e">
        <f>Admin!#REF!</f>
        <v>#REF!</v>
      </c>
      <c r="O6" s="141" t="e">
        <f>Drivers!#REF!</f>
        <v>#REF!</v>
      </c>
      <c r="P6" s="141" t="e">
        <f>Drivers!#REF!</f>
        <v>#REF!</v>
      </c>
      <c r="Q6" s="142" t="e">
        <f>Drivers!#REF!</f>
        <v>#REF!</v>
      </c>
      <c r="R6" s="142" t="e">
        <f>Drivers!#REF!</f>
        <v>#REF!</v>
      </c>
      <c r="T6" s="138" t="e">
        <f>#REF!</f>
        <v>#REF!</v>
      </c>
      <c r="U6" s="138" t="e">
        <f>#REF!</f>
        <v>#REF!</v>
      </c>
      <c r="V6" s="138" t="e">
        <f>#REF!</f>
        <v>#REF!</v>
      </c>
      <c r="W6" s="139" t="e">
        <f>#REF!</f>
        <v>#REF!</v>
      </c>
      <c r="X6" s="140"/>
      <c r="Y6" s="140"/>
    </row>
    <row r="7" spans="5:25" ht="14.5">
      <c r="E7" s="141" t="e">
        <f>Academics!#REF!</f>
        <v>#REF!</v>
      </c>
      <c r="F7" s="141" t="e">
        <f>Academics!#REF!</f>
        <v>#REF!</v>
      </c>
      <c r="G7" s="142" t="e">
        <f>Academics!#REF!</f>
        <v>#REF!</v>
      </c>
      <c r="H7" s="143" t="e">
        <f>Academics!#REF!</f>
        <v>#REF!</v>
      </c>
      <c r="J7" s="141" t="e">
        <f>Admin!#REF!</f>
        <v>#REF!</v>
      </c>
      <c r="K7" s="141" t="e">
        <f>Admin!#REF!</f>
        <v>#REF!</v>
      </c>
      <c r="L7" s="142" t="e">
        <f>Admin!#REF!</f>
        <v>#REF!</v>
      </c>
      <c r="M7" s="143" t="e">
        <f>Admin!#REF!</f>
        <v>#REF!</v>
      </c>
      <c r="O7" s="141" t="e">
        <f>Drivers!#REF!</f>
        <v>#REF!</v>
      </c>
      <c r="P7" s="141" t="e">
        <f>Drivers!#REF!</f>
        <v>#REF!</v>
      </c>
      <c r="Q7" s="142" t="e">
        <f>Drivers!#REF!</f>
        <v>#REF!</v>
      </c>
      <c r="R7" s="142" t="e">
        <f>Drivers!#REF!</f>
        <v>#REF!</v>
      </c>
      <c r="T7" s="138" t="e">
        <f>#REF!</f>
        <v>#REF!</v>
      </c>
      <c r="U7" s="138" t="e">
        <f>#REF!</f>
        <v>#REF!</v>
      </c>
      <c r="V7" s="138" t="e">
        <f>#REF!</f>
        <v>#REF!</v>
      </c>
      <c r="W7" s="139" t="e">
        <f>#REF!</f>
        <v>#REF!</v>
      </c>
      <c r="X7" s="140"/>
      <c r="Y7" s="140"/>
    </row>
    <row r="8" spans="5:25" ht="14.5">
      <c r="E8" s="141" t="e">
        <f>Academics!#REF!</f>
        <v>#REF!</v>
      </c>
      <c r="F8" s="141" t="e">
        <f>Academics!#REF!</f>
        <v>#REF!</v>
      </c>
      <c r="G8" s="142" t="e">
        <f>Academics!#REF!</f>
        <v>#REF!</v>
      </c>
      <c r="H8" s="143" t="e">
        <f>Academics!#REF!</f>
        <v>#REF!</v>
      </c>
      <c r="J8" s="141" t="e">
        <f>Admin!#REF!</f>
        <v>#REF!</v>
      </c>
      <c r="K8" s="141" t="e">
        <f>Admin!#REF!</f>
        <v>#REF!</v>
      </c>
      <c r="L8" s="142" t="e">
        <f>Admin!#REF!</f>
        <v>#REF!</v>
      </c>
      <c r="M8" s="143" t="e">
        <f>Admin!#REF!</f>
        <v>#REF!</v>
      </c>
      <c r="O8" s="141" t="e">
        <f>Drivers!#REF!</f>
        <v>#REF!</v>
      </c>
      <c r="P8" s="141" t="e">
        <f>Drivers!#REF!</f>
        <v>#REF!</v>
      </c>
      <c r="Q8" s="142" t="e">
        <f>Drivers!#REF!</f>
        <v>#REF!</v>
      </c>
      <c r="R8" s="142" t="e">
        <f>Drivers!#REF!</f>
        <v>#REF!</v>
      </c>
      <c r="T8" s="138" t="e">
        <f>#REF!</f>
        <v>#REF!</v>
      </c>
      <c r="U8" s="138" t="e">
        <f>#REF!</f>
        <v>#REF!</v>
      </c>
      <c r="V8" s="138" t="e">
        <f>#REF!</f>
        <v>#REF!</v>
      </c>
      <c r="W8" s="139" t="e">
        <f>#REF!</f>
        <v>#REF!</v>
      </c>
      <c r="X8" s="140"/>
      <c r="Y8" s="140"/>
    </row>
    <row r="9" spans="5:25" ht="14.5">
      <c r="E9" s="141" t="e">
        <f>Academics!#REF!</f>
        <v>#REF!</v>
      </c>
      <c r="F9" s="141" t="e">
        <f>Academics!#REF!</f>
        <v>#REF!</v>
      </c>
      <c r="G9" s="142" t="e">
        <f>Academics!#REF!</f>
        <v>#REF!</v>
      </c>
      <c r="H9" s="143" t="e">
        <f>Academics!#REF!</f>
        <v>#REF!</v>
      </c>
      <c r="J9" s="141" t="e">
        <f>Admin!#REF!</f>
        <v>#REF!</v>
      </c>
      <c r="K9" s="141" t="e">
        <f>Admin!#REF!</f>
        <v>#REF!</v>
      </c>
      <c r="L9" s="142" t="e">
        <f>Admin!#REF!</f>
        <v>#REF!</v>
      </c>
      <c r="M9" s="143" t="e">
        <f>Admin!#REF!</f>
        <v>#REF!</v>
      </c>
      <c r="O9" s="141" t="e">
        <f>Drivers!#REF!</f>
        <v>#REF!</v>
      </c>
      <c r="P9" s="141" t="e">
        <f>Drivers!#REF!</f>
        <v>#REF!</v>
      </c>
      <c r="Q9" s="142" t="e">
        <f>Drivers!#REF!</f>
        <v>#REF!</v>
      </c>
      <c r="R9" s="142" t="e">
        <f>Drivers!#REF!</f>
        <v>#REF!</v>
      </c>
      <c r="T9" s="138" t="e">
        <f>#REF!</f>
        <v>#REF!</v>
      </c>
      <c r="U9" s="138" t="e">
        <f>#REF!</f>
        <v>#REF!</v>
      </c>
      <c r="V9" s="138" t="e">
        <f>#REF!</f>
        <v>#REF!</v>
      </c>
      <c r="W9" s="139" t="e">
        <f>#REF!</f>
        <v>#REF!</v>
      </c>
    </row>
    <row r="10" spans="5:25" ht="14.5">
      <c r="E10" s="141" t="e">
        <f>Academics!#REF!</f>
        <v>#REF!</v>
      </c>
      <c r="F10" s="141" t="e">
        <f>Academics!#REF!</f>
        <v>#REF!</v>
      </c>
      <c r="G10" s="142" t="e">
        <f>Academics!#REF!</f>
        <v>#REF!</v>
      </c>
      <c r="H10" s="143" t="e">
        <f>Academics!#REF!</f>
        <v>#REF!</v>
      </c>
      <c r="J10" s="141" t="e">
        <f>Admin!#REF!</f>
        <v>#REF!</v>
      </c>
      <c r="K10" s="141" t="e">
        <f>Admin!#REF!</f>
        <v>#REF!</v>
      </c>
      <c r="L10" s="142" t="e">
        <f>Admin!#REF!</f>
        <v>#REF!</v>
      </c>
      <c r="M10" s="143" t="e">
        <f>Admin!#REF!</f>
        <v>#REF!</v>
      </c>
      <c r="O10" s="141" t="e">
        <f>Drivers!#REF!</f>
        <v>#REF!</v>
      </c>
      <c r="P10" s="141" t="e">
        <f>Drivers!#REF!</f>
        <v>#REF!</v>
      </c>
      <c r="Q10" s="142" t="e">
        <f>Drivers!#REF!</f>
        <v>#REF!</v>
      </c>
      <c r="R10" s="142" t="e">
        <f>Drivers!#REF!</f>
        <v>#REF!</v>
      </c>
      <c r="T10" s="138" t="e">
        <f>#REF!</f>
        <v>#REF!</v>
      </c>
      <c r="U10" s="138" t="e">
        <f>#REF!</f>
        <v>#REF!</v>
      </c>
      <c r="V10" s="138" t="e">
        <f>#REF!</f>
        <v>#REF!</v>
      </c>
      <c r="W10" s="139" t="e">
        <f>#REF!</f>
        <v>#REF!</v>
      </c>
    </row>
    <row r="11" spans="5:25" ht="14.5">
      <c r="E11" s="141" t="e">
        <f>Academics!#REF!</f>
        <v>#REF!</v>
      </c>
      <c r="F11" s="141" t="e">
        <f>Academics!#REF!</f>
        <v>#REF!</v>
      </c>
      <c r="G11" s="142" t="e">
        <f>Academics!#REF!</f>
        <v>#REF!</v>
      </c>
      <c r="H11" s="143" t="e">
        <f>Academics!#REF!</f>
        <v>#REF!</v>
      </c>
      <c r="J11" s="141" t="e">
        <f>Admin!#REF!</f>
        <v>#REF!</v>
      </c>
      <c r="K11" s="141" t="e">
        <f>Admin!#REF!</f>
        <v>#REF!</v>
      </c>
      <c r="L11" s="142" t="e">
        <f>Admin!#REF!</f>
        <v>#REF!</v>
      </c>
      <c r="M11" s="143" t="e">
        <f>Admin!#REF!</f>
        <v>#REF!</v>
      </c>
      <c r="O11" s="141" t="e">
        <f>Drivers!#REF!</f>
        <v>#REF!</v>
      </c>
      <c r="P11" s="141" t="e">
        <f>Drivers!#REF!</f>
        <v>#REF!</v>
      </c>
      <c r="Q11" s="142" t="e">
        <f>Drivers!#REF!</f>
        <v>#REF!</v>
      </c>
      <c r="R11" s="142" t="e">
        <f>Drivers!#REF!</f>
        <v>#REF!</v>
      </c>
      <c r="T11" s="138" t="e">
        <f>#REF!</f>
        <v>#REF!</v>
      </c>
      <c r="U11" s="138" t="e">
        <f>#REF!</f>
        <v>#REF!</v>
      </c>
      <c r="V11" s="138" t="e">
        <f>#REF!</f>
        <v>#REF!</v>
      </c>
      <c r="W11" s="139" t="e">
        <f>#REF!</f>
        <v>#REF!</v>
      </c>
    </row>
    <row r="12" spans="5:25" ht="14.5">
      <c r="E12" s="141" t="e">
        <f>Academics!#REF!</f>
        <v>#REF!</v>
      </c>
      <c r="F12" s="141" t="e">
        <f>Academics!#REF!</f>
        <v>#REF!</v>
      </c>
      <c r="G12" s="142" t="e">
        <f>Academics!#REF!</f>
        <v>#REF!</v>
      </c>
      <c r="H12" s="143" t="e">
        <f>Academics!#REF!</f>
        <v>#REF!</v>
      </c>
      <c r="J12" s="141" t="e">
        <f>'Relieved Admin'!#REF!</f>
        <v>#REF!</v>
      </c>
      <c r="K12" s="141" t="e">
        <f>'Relieved Admin'!#REF!</f>
        <v>#REF!</v>
      </c>
      <c r="L12" s="142" t="e">
        <f>'Relieved Admin'!#REF!</f>
        <v>#REF!</v>
      </c>
      <c r="M12" s="143" t="e">
        <f>'Relieved Admin'!#REF!</f>
        <v>#REF!</v>
      </c>
      <c r="O12" s="141" t="e">
        <f>Drivers!#REF!</f>
        <v>#REF!</v>
      </c>
      <c r="P12" s="141" t="e">
        <f>Drivers!#REF!</f>
        <v>#REF!</v>
      </c>
      <c r="Q12" s="142" t="e">
        <f>Drivers!#REF!</f>
        <v>#REF!</v>
      </c>
      <c r="R12" s="142" t="e">
        <f>Drivers!#REF!</f>
        <v>#REF!</v>
      </c>
      <c r="T12" s="138" t="e">
        <f>#REF!</f>
        <v>#REF!</v>
      </c>
      <c r="U12" s="138" t="e">
        <f>#REF!</f>
        <v>#REF!</v>
      </c>
      <c r="V12" s="138" t="e">
        <f>#REF!</f>
        <v>#REF!</v>
      </c>
      <c r="W12" s="139" t="e">
        <f>#REF!</f>
        <v>#REF!</v>
      </c>
    </row>
    <row r="13" spans="5:25" ht="14.5">
      <c r="E13" s="141" t="e">
        <f>Academics!#REF!</f>
        <v>#REF!</v>
      </c>
      <c r="F13" s="141" t="e">
        <f>Academics!#REF!</f>
        <v>#REF!</v>
      </c>
      <c r="G13" s="142" t="e">
        <f>Academics!#REF!</f>
        <v>#REF!</v>
      </c>
      <c r="H13" s="143" t="e">
        <f>Academics!#REF!</f>
        <v>#REF!</v>
      </c>
      <c r="J13" s="141" t="e">
        <f>Admin!#REF!</f>
        <v>#REF!</v>
      </c>
      <c r="K13" s="141" t="e">
        <f>Admin!#REF!</f>
        <v>#REF!</v>
      </c>
      <c r="L13" s="142" t="e">
        <f>Admin!#REF!</f>
        <v>#REF!</v>
      </c>
      <c r="M13" s="143" t="e">
        <f>Admin!#REF!</f>
        <v>#REF!</v>
      </c>
      <c r="O13" s="141" t="e">
        <f>Drivers!#REF!</f>
        <v>#REF!</v>
      </c>
      <c r="P13" s="141" t="e">
        <f>Drivers!#REF!</f>
        <v>#REF!</v>
      </c>
      <c r="Q13" s="142" t="e">
        <f>Drivers!#REF!</f>
        <v>#REF!</v>
      </c>
      <c r="R13" s="142" t="e">
        <f>Drivers!#REF!</f>
        <v>#REF!</v>
      </c>
      <c r="T13" s="138" t="e">
        <f>#REF!</f>
        <v>#REF!</v>
      </c>
      <c r="U13" s="138" t="e">
        <f>#REF!</f>
        <v>#REF!</v>
      </c>
      <c r="V13" s="138" t="e">
        <f>#REF!</f>
        <v>#REF!</v>
      </c>
      <c r="W13" s="139" t="e">
        <f>#REF!</f>
        <v>#REF!</v>
      </c>
    </row>
    <row r="14" spans="5:25" ht="14.5">
      <c r="E14" s="141" t="e">
        <f>Academics!#REF!</f>
        <v>#REF!</v>
      </c>
      <c r="F14" s="141" t="e">
        <f>Academics!#REF!</f>
        <v>#REF!</v>
      </c>
      <c r="G14" s="142" t="e">
        <f>Academics!#REF!</f>
        <v>#REF!</v>
      </c>
      <c r="H14" s="143" t="e">
        <f>Academics!#REF!</f>
        <v>#REF!</v>
      </c>
      <c r="J14" s="141">
        <f>'Relieved Admin'!A5</f>
        <v>1</v>
      </c>
      <c r="K14" s="141" t="str">
        <f>'Relieved Admin'!B5</f>
        <v>DEEPIKA KANNAN</v>
      </c>
      <c r="L14" s="142" t="str">
        <f>'Relieved Admin'!AN5</f>
        <v>1750060000000023</v>
      </c>
      <c r="M14" s="143">
        <f>'Relieved Admin'!AJ5</f>
        <v>6667</v>
      </c>
      <c r="O14" s="141" t="e">
        <f>Drivers!#REF!</f>
        <v>#REF!</v>
      </c>
      <c r="P14" s="141" t="e">
        <f>Drivers!#REF!</f>
        <v>#REF!</v>
      </c>
      <c r="Q14" s="142" t="e">
        <f>Drivers!#REF!</f>
        <v>#REF!</v>
      </c>
      <c r="R14" s="142" t="e">
        <f>Drivers!#REF!</f>
        <v>#REF!</v>
      </c>
      <c r="T14" s="138" t="e">
        <f>#REF!</f>
        <v>#REF!</v>
      </c>
      <c r="U14" s="138" t="e">
        <f>#REF!</f>
        <v>#REF!</v>
      </c>
      <c r="V14" s="145" t="e">
        <f>#REF!</f>
        <v>#REF!</v>
      </c>
      <c r="W14" s="139" t="e">
        <f>#REF!</f>
        <v>#REF!</v>
      </c>
    </row>
    <row r="15" spans="5:25" ht="14.5">
      <c r="E15" s="141" t="e">
        <f>Academics!#REF!</f>
        <v>#REF!</v>
      </c>
      <c r="F15" s="141" t="e">
        <f>Academics!#REF!</f>
        <v>#REF!</v>
      </c>
      <c r="G15" s="142" t="e">
        <f>Academics!#REF!</f>
        <v>#REF!</v>
      </c>
      <c r="H15" s="143" t="e">
        <f>Academics!#REF!</f>
        <v>#REF!</v>
      </c>
      <c r="J15" s="141" t="e">
        <f>Admin!#REF!</f>
        <v>#REF!</v>
      </c>
      <c r="K15" s="141" t="e">
        <f>Admin!#REF!</f>
        <v>#REF!</v>
      </c>
      <c r="L15" s="142" t="e">
        <f>Admin!#REF!</f>
        <v>#REF!</v>
      </c>
      <c r="M15" s="143" t="e">
        <f>Admin!#REF!</f>
        <v>#REF!</v>
      </c>
      <c r="O15" s="141" t="e">
        <f>Drivers!#REF!</f>
        <v>#REF!</v>
      </c>
      <c r="P15" s="141" t="e">
        <f>Drivers!#REF!</f>
        <v>#REF!</v>
      </c>
      <c r="Q15" s="142" t="e">
        <f>Drivers!#REF!</f>
        <v>#REF!</v>
      </c>
      <c r="R15" s="142" t="e">
        <f>Drivers!#REF!</f>
        <v>#REF!</v>
      </c>
      <c r="T15" s="138"/>
      <c r="U15" s="138"/>
      <c r="V15" s="138"/>
      <c r="W15" s="138"/>
    </row>
    <row r="16" spans="5:25" ht="14.5">
      <c r="E16" s="141" t="e">
        <f>Academics!#REF!</f>
        <v>#REF!</v>
      </c>
      <c r="F16" s="141" t="e">
        <f>Academics!#REF!</f>
        <v>#REF!</v>
      </c>
      <c r="G16" s="142" t="e">
        <f>Academics!#REF!</f>
        <v>#REF!</v>
      </c>
      <c r="H16" s="143" t="e">
        <f>Academics!#REF!</f>
        <v>#REF!</v>
      </c>
      <c r="J16" s="141" t="e">
        <f>Admin!#REF!</f>
        <v>#REF!</v>
      </c>
      <c r="K16" s="141" t="e">
        <f>Admin!#REF!</f>
        <v>#REF!</v>
      </c>
      <c r="L16" s="142" t="e">
        <f>Admin!#REF!</f>
        <v>#REF!</v>
      </c>
      <c r="M16" s="143" t="e">
        <f>Admin!#REF!</f>
        <v>#REF!</v>
      </c>
      <c r="O16" s="141" t="e">
        <f>Drivers!#REF!</f>
        <v>#REF!</v>
      </c>
      <c r="P16" s="141" t="e">
        <f>Drivers!#REF!</f>
        <v>#REF!</v>
      </c>
      <c r="Q16" s="142" t="e">
        <f>Drivers!#REF!</f>
        <v>#REF!</v>
      </c>
      <c r="R16" s="142" t="e">
        <f>Drivers!#REF!</f>
        <v>#REF!</v>
      </c>
      <c r="T16" s="138"/>
      <c r="U16" s="138"/>
      <c r="V16" s="138"/>
      <c r="W16" s="138"/>
    </row>
    <row r="17" spans="5:23" ht="14.5">
      <c r="E17" s="141" t="e">
        <f>Academics!#REF!</f>
        <v>#REF!</v>
      </c>
      <c r="F17" s="141" t="e">
        <f>Academics!#REF!</f>
        <v>#REF!</v>
      </c>
      <c r="G17" s="142" t="e">
        <f>Academics!#REF!</f>
        <v>#REF!</v>
      </c>
      <c r="H17" s="143" t="e">
        <f>Academics!#REF!</f>
        <v>#REF!</v>
      </c>
      <c r="J17" s="141" t="e">
        <f>Admin!#REF!</f>
        <v>#REF!</v>
      </c>
      <c r="K17" s="141" t="e">
        <f>Admin!#REF!</f>
        <v>#REF!</v>
      </c>
      <c r="L17" s="142" t="e">
        <f>Admin!#REF!</f>
        <v>#REF!</v>
      </c>
      <c r="M17" s="143" t="e">
        <f>Admin!#REF!</f>
        <v>#REF!</v>
      </c>
      <c r="O17" s="141" t="e">
        <f>'Relieved Admin'!#REF!</f>
        <v>#REF!</v>
      </c>
      <c r="P17" s="141" t="e">
        <f>'Relieved Admin'!#REF!</f>
        <v>#REF!</v>
      </c>
      <c r="Q17" s="142" t="e">
        <f>'Relieved Admin'!#REF!</f>
        <v>#REF!</v>
      </c>
      <c r="R17" s="142" t="e">
        <f>'Relieved Admin'!#REF!</f>
        <v>#REF!</v>
      </c>
      <c r="T17" s="138"/>
      <c r="U17" s="138"/>
      <c r="V17" s="138"/>
      <c r="W17" s="138"/>
    </row>
    <row r="18" spans="5:23" ht="14.5">
      <c r="E18" s="141" t="e">
        <f>Academics!#REF!</f>
        <v>#REF!</v>
      </c>
      <c r="F18" s="141" t="e">
        <f>Academics!#REF!</f>
        <v>#REF!</v>
      </c>
      <c r="G18" s="142" t="e">
        <f>Academics!#REF!</f>
        <v>#REF!</v>
      </c>
      <c r="H18" s="143" t="e">
        <f>Academics!#REF!</f>
        <v>#REF!</v>
      </c>
      <c r="J18" s="141" t="e">
        <f>Admin!#REF!</f>
        <v>#REF!</v>
      </c>
      <c r="K18" s="141" t="e">
        <f>Admin!#REF!</f>
        <v>#REF!</v>
      </c>
      <c r="L18" s="142" t="e">
        <f>Admin!#REF!</f>
        <v>#REF!</v>
      </c>
      <c r="M18" s="143" t="e">
        <f>Admin!#REF!</f>
        <v>#REF!</v>
      </c>
      <c r="O18" s="141" t="e">
        <f>Drivers!#REF!</f>
        <v>#REF!</v>
      </c>
      <c r="P18" s="141" t="e">
        <f>Drivers!#REF!</f>
        <v>#REF!</v>
      </c>
      <c r="Q18" s="142" t="e">
        <f>Drivers!#REF!</f>
        <v>#REF!</v>
      </c>
      <c r="R18" s="142" t="e">
        <f>Drivers!#REF!</f>
        <v>#REF!</v>
      </c>
      <c r="T18" s="138"/>
      <c r="U18" s="138"/>
      <c r="V18" s="138"/>
      <c r="W18" s="138"/>
    </row>
    <row r="19" spans="5:23" ht="14.5">
      <c r="E19" s="141" t="e">
        <f>Academics!#REF!</f>
        <v>#REF!</v>
      </c>
      <c r="F19" s="141" t="e">
        <f>Academics!#REF!</f>
        <v>#REF!</v>
      </c>
      <c r="G19" s="142" t="e">
        <f>Academics!#REF!</f>
        <v>#REF!</v>
      </c>
      <c r="H19" s="143" t="e">
        <f>Academics!#REF!</f>
        <v>#REF!</v>
      </c>
      <c r="J19" s="141" t="e">
        <f>Admin!#REF!</f>
        <v>#REF!</v>
      </c>
      <c r="K19" s="141" t="e">
        <f>Admin!#REF!</f>
        <v>#REF!</v>
      </c>
      <c r="L19" s="142" t="e">
        <f>Admin!#REF!</f>
        <v>#REF!</v>
      </c>
      <c r="M19" s="143" t="e">
        <f>Admin!#REF!</f>
        <v>#REF!</v>
      </c>
      <c r="O19" s="141" t="e">
        <f>'Relieved Admin'!#REF!</f>
        <v>#REF!</v>
      </c>
      <c r="P19" s="141" t="e">
        <f>'Relieved Admin'!#REF!</f>
        <v>#REF!</v>
      </c>
      <c r="Q19" s="142" t="e">
        <f>'Relieved Admin'!#REF!</f>
        <v>#REF!</v>
      </c>
      <c r="R19" s="142" t="e">
        <f>'Relieved Admin'!#REF!</f>
        <v>#REF!</v>
      </c>
      <c r="T19" s="138"/>
      <c r="U19" s="138"/>
      <c r="V19" s="138"/>
      <c r="W19" s="138"/>
    </row>
    <row r="20" spans="5:23" ht="14.5">
      <c r="E20" s="141" t="e">
        <f>Academics!#REF!</f>
        <v>#REF!</v>
      </c>
      <c r="F20" s="141" t="e">
        <f>Academics!#REF!</f>
        <v>#REF!</v>
      </c>
      <c r="G20" s="142" t="e">
        <f>Academics!#REF!</f>
        <v>#REF!</v>
      </c>
      <c r="H20" s="143" t="e">
        <f>Academics!#REF!</f>
        <v>#REF!</v>
      </c>
      <c r="J20" s="141" t="e">
        <f>Admin!#REF!</f>
        <v>#REF!</v>
      </c>
      <c r="K20" s="141" t="e">
        <f>Admin!#REF!</f>
        <v>#REF!</v>
      </c>
      <c r="L20" s="142" t="e">
        <f>Admin!#REF!</f>
        <v>#REF!</v>
      </c>
      <c r="M20" s="143" t="e">
        <f>Admin!#REF!</f>
        <v>#REF!</v>
      </c>
      <c r="O20" s="778" t="str">
        <f>Drivers!A7</f>
        <v>TOTAL</v>
      </c>
      <c r="P20" s="779"/>
      <c r="Q20" s="780"/>
      <c r="R20" s="142">
        <f>Drivers!AJ7</f>
        <v>41222</v>
      </c>
      <c r="T20" s="138"/>
      <c r="U20" s="138"/>
      <c r="V20" s="138"/>
      <c r="W20" s="138"/>
    </row>
    <row r="21" spans="5:23" ht="15.75" customHeight="1">
      <c r="E21" s="141" t="e">
        <f>Academics!#REF!</f>
        <v>#REF!</v>
      </c>
      <c r="F21" s="141" t="e">
        <f>Academics!#REF!</f>
        <v>#REF!</v>
      </c>
      <c r="G21" s="142" t="e">
        <f>Academics!#REF!</f>
        <v>#REF!</v>
      </c>
      <c r="H21" s="143" t="e">
        <f>Academics!#REF!</f>
        <v>#REF!</v>
      </c>
      <c r="J21" s="141" t="e">
        <f>Admin!#REF!</f>
        <v>#REF!</v>
      </c>
      <c r="K21" s="141" t="e">
        <f>Admin!#REF!</f>
        <v>#REF!</v>
      </c>
      <c r="L21" s="142" t="e">
        <f>Admin!#REF!</f>
        <v>#REF!</v>
      </c>
      <c r="M21" s="143" t="e">
        <f>Admin!#REF!</f>
        <v>#REF!</v>
      </c>
      <c r="O21" s="141"/>
      <c r="P21" s="141"/>
      <c r="Q21" s="142"/>
      <c r="R21" s="142"/>
      <c r="T21" s="138"/>
      <c r="U21" s="138"/>
      <c r="V21" s="138"/>
      <c r="W21" s="138"/>
    </row>
    <row r="22" spans="5:23" ht="15.75" customHeight="1">
      <c r="E22" s="141" t="e">
        <f>Academics!#REF!</f>
        <v>#REF!</v>
      </c>
      <c r="F22" s="141" t="e">
        <f>Academics!#REF!</f>
        <v>#REF!</v>
      </c>
      <c r="G22" s="142" t="e">
        <f>Academics!#REF!</f>
        <v>#REF!</v>
      </c>
      <c r="H22" s="143" t="e">
        <f>Academics!#REF!</f>
        <v>#REF!</v>
      </c>
      <c r="J22" s="141" t="e">
        <f>Admin!#REF!</f>
        <v>#REF!</v>
      </c>
      <c r="K22" s="141" t="e">
        <f>Admin!#REF!</f>
        <v>#REF!</v>
      </c>
      <c r="L22" s="142" t="e">
        <f>Admin!#REF!</f>
        <v>#REF!</v>
      </c>
      <c r="M22" s="143" t="e">
        <f>Admin!#REF!</f>
        <v>#REF!</v>
      </c>
      <c r="O22" s="141"/>
      <c r="P22" s="141"/>
      <c r="Q22" s="142"/>
      <c r="R22" s="142"/>
      <c r="T22" s="138"/>
      <c r="U22" s="138"/>
      <c r="V22" s="138"/>
      <c r="W22" s="138"/>
    </row>
    <row r="23" spans="5:23" ht="15.75" customHeight="1">
      <c r="E23" s="141" t="e">
        <f>Academics!#REF!</f>
        <v>#REF!</v>
      </c>
      <c r="F23" s="141" t="e">
        <f>Academics!#REF!</f>
        <v>#REF!</v>
      </c>
      <c r="G23" s="142" t="e">
        <f>Academics!#REF!</f>
        <v>#REF!</v>
      </c>
      <c r="H23" s="143" t="e">
        <f>Academics!#REF!</f>
        <v>#REF!</v>
      </c>
      <c r="J23" s="141" t="e">
        <f>Admin!#REF!</f>
        <v>#REF!</v>
      </c>
      <c r="K23" s="141" t="e">
        <f>Admin!#REF!</f>
        <v>#REF!</v>
      </c>
      <c r="L23" s="142" t="e">
        <f>Admin!#REF!</f>
        <v>#REF!</v>
      </c>
      <c r="M23" s="143" t="e">
        <f>Admin!#REF!</f>
        <v>#REF!</v>
      </c>
      <c r="O23" s="141"/>
      <c r="P23" s="141"/>
      <c r="Q23" s="142"/>
      <c r="R23" s="142"/>
      <c r="S23" s="144"/>
      <c r="T23" s="138"/>
      <c r="U23" s="138"/>
      <c r="V23" s="138"/>
      <c r="W23" s="138"/>
    </row>
    <row r="24" spans="5:23" ht="15.75" customHeight="1">
      <c r="E24" s="141" t="e">
        <f>Academics!#REF!</f>
        <v>#REF!</v>
      </c>
      <c r="F24" s="141" t="e">
        <f>Academics!#REF!</f>
        <v>#REF!</v>
      </c>
      <c r="G24" s="142" t="e">
        <f>Academics!#REF!</f>
        <v>#REF!</v>
      </c>
      <c r="H24" s="143" t="e">
        <f>Academics!#REF!</f>
        <v>#REF!</v>
      </c>
      <c r="J24" s="141" t="e">
        <f>Admin!#REF!</f>
        <v>#REF!</v>
      </c>
      <c r="K24" s="141" t="e">
        <f>Admin!#REF!</f>
        <v>#REF!</v>
      </c>
      <c r="L24" s="142" t="e">
        <f>Admin!#REF!</f>
        <v>#REF!</v>
      </c>
      <c r="M24" s="143" t="e">
        <f>Admin!#REF!</f>
        <v>#REF!</v>
      </c>
      <c r="O24" s="141"/>
      <c r="P24" s="141"/>
      <c r="Q24" s="142"/>
      <c r="R24" s="142"/>
      <c r="T24" s="138"/>
      <c r="U24" s="138"/>
      <c r="V24" s="138"/>
      <c r="W24" s="138"/>
    </row>
    <row r="25" spans="5:23" ht="15.75" customHeight="1">
      <c r="E25" s="141" t="e">
        <f>Academics!#REF!</f>
        <v>#REF!</v>
      </c>
      <c r="F25" s="141" t="e">
        <f>Academics!#REF!</f>
        <v>#REF!</v>
      </c>
      <c r="G25" s="142" t="e">
        <f>Academics!#REF!</f>
        <v>#REF!</v>
      </c>
      <c r="H25" s="143" t="e">
        <f>Academics!#REF!</f>
        <v>#REF!</v>
      </c>
      <c r="J25" s="141" t="e">
        <f>Admin!#REF!</f>
        <v>#REF!</v>
      </c>
      <c r="K25" s="141" t="e">
        <f>Admin!#REF!</f>
        <v>#REF!</v>
      </c>
      <c r="L25" s="142" t="e">
        <f>Admin!#REF!</f>
        <v>#REF!</v>
      </c>
      <c r="M25" s="143" t="e">
        <f>Admin!#REF!</f>
        <v>#REF!</v>
      </c>
    </row>
    <row r="26" spans="5:23" ht="15.75" customHeight="1">
      <c r="E26" s="141" t="e">
        <f>Academics!#REF!</f>
        <v>#REF!</v>
      </c>
      <c r="F26" s="141" t="e">
        <f>Academics!#REF!</f>
        <v>#REF!</v>
      </c>
      <c r="G26" s="142" t="e">
        <f>Academics!#REF!</f>
        <v>#REF!</v>
      </c>
      <c r="H26" s="143" t="e">
        <f>Academics!#REF!</f>
        <v>#REF!</v>
      </c>
      <c r="J26" s="141" t="e">
        <f>Admin!#REF!</f>
        <v>#REF!</v>
      </c>
      <c r="K26" s="141" t="e">
        <f>Admin!#REF!</f>
        <v>#REF!</v>
      </c>
      <c r="L26" s="142" t="e">
        <f>Admin!#REF!</f>
        <v>#REF!</v>
      </c>
      <c r="M26" s="143" t="e">
        <f>Admin!#REF!</f>
        <v>#REF!</v>
      </c>
      <c r="O26" s="782" t="s">
        <v>21</v>
      </c>
      <c r="P26" s="637"/>
      <c r="Q26" s="637"/>
      <c r="R26" s="628"/>
    </row>
    <row r="27" spans="5:23" ht="15.75" customHeight="1">
      <c r="E27" s="141" t="e">
        <f>Academics!#REF!</f>
        <v>#REF!</v>
      </c>
      <c r="F27" s="141" t="e">
        <f>Academics!#REF!</f>
        <v>#REF!</v>
      </c>
      <c r="G27" s="142" t="e">
        <f>Academics!#REF!</f>
        <v>#REF!</v>
      </c>
      <c r="H27" s="143" t="e">
        <f>Academics!#REF!</f>
        <v>#REF!</v>
      </c>
      <c r="J27" s="141" t="e">
        <f>Admin!#REF!</f>
        <v>#REF!</v>
      </c>
      <c r="K27" s="141" t="e">
        <f>Admin!#REF!</f>
        <v>#REF!</v>
      </c>
      <c r="L27" s="142" t="e">
        <f>Admin!#REF!</f>
        <v>#REF!</v>
      </c>
      <c r="M27" s="143" t="e">
        <f>Admin!#REF!</f>
        <v>#REF!</v>
      </c>
      <c r="O27" s="141">
        <f>Conductors!A5</f>
        <v>1</v>
      </c>
      <c r="P27" s="141" t="str">
        <f>Conductors!B5</f>
        <v>SUNDARI JEYARAM</v>
      </c>
      <c r="Q27" s="142" t="str">
        <f>Conductors!AN5</f>
        <v>1750059000000054</v>
      </c>
      <c r="R27" s="142">
        <f>Conductors!AJ5</f>
        <v>9400</v>
      </c>
    </row>
    <row r="28" spans="5:23" ht="15.75" customHeight="1">
      <c r="E28" s="141" t="e">
        <f>Academics!#REF!</f>
        <v>#REF!</v>
      </c>
      <c r="F28" s="141" t="e">
        <f>Academics!#REF!</f>
        <v>#REF!</v>
      </c>
      <c r="G28" s="142" t="e">
        <f>Academics!#REF!</f>
        <v>#REF!</v>
      </c>
      <c r="H28" s="143" t="e">
        <f>Academics!#REF!</f>
        <v>#REF!</v>
      </c>
      <c r="J28" s="141" t="e">
        <f>Admin!#REF!</f>
        <v>#REF!</v>
      </c>
      <c r="K28" s="141" t="e">
        <f>Admin!#REF!</f>
        <v>#REF!</v>
      </c>
      <c r="L28" s="142" t="e">
        <f>Admin!#REF!</f>
        <v>#REF!</v>
      </c>
      <c r="M28" s="143" t="e">
        <f>Admin!#REF!</f>
        <v>#REF!</v>
      </c>
      <c r="O28" s="141">
        <f>Conductors!A6</f>
        <v>2</v>
      </c>
      <c r="P28" s="141" t="str">
        <f>Conductors!B6</f>
        <v>S CHITRA</v>
      </c>
      <c r="Q28" s="142" t="str">
        <f>Conductors!AN6</f>
        <v>1750059000000281</v>
      </c>
      <c r="R28" s="142">
        <f>Conductors!AJ6</f>
        <v>12106</v>
      </c>
    </row>
    <row r="29" spans="5:23" ht="15.75" customHeight="1">
      <c r="E29" s="141" t="e">
        <f>'Relieved Academics'!#REF!</f>
        <v>#REF!</v>
      </c>
      <c r="F29" s="141" t="e">
        <f>'Relieved Academics'!#REF!</f>
        <v>#REF!</v>
      </c>
      <c r="G29" s="142" t="e">
        <f>'Relieved Academics'!#REF!</f>
        <v>#REF!</v>
      </c>
      <c r="H29" s="143" t="e">
        <f>'Relieved Academics'!#REF!</f>
        <v>#REF!</v>
      </c>
      <c r="J29" s="141" t="e">
        <f>Admin!#REF!</f>
        <v>#REF!</v>
      </c>
      <c r="K29" s="141" t="e">
        <f>Admin!#REF!</f>
        <v>#REF!</v>
      </c>
      <c r="L29" s="142" t="e">
        <f>Admin!#REF!</f>
        <v>#REF!</v>
      </c>
      <c r="M29" s="143" t="e">
        <f>Admin!#REF!</f>
        <v>#REF!</v>
      </c>
      <c r="O29" s="141" t="e">
        <f>Conductors!#REF!</f>
        <v>#REF!</v>
      </c>
      <c r="P29" s="141" t="e">
        <f>Conductors!#REF!</f>
        <v>#REF!</v>
      </c>
      <c r="Q29" s="142" t="e">
        <f>Conductors!#REF!</f>
        <v>#REF!</v>
      </c>
      <c r="R29" s="142" t="e">
        <f>Conductors!#REF!</f>
        <v>#REF!</v>
      </c>
    </row>
    <row r="30" spans="5:23" ht="15.75" customHeight="1">
      <c r="E30" s="141" t="e">
        <f>Academics!#REF!</f>
        <v>#REF!</v>
      </c>
      <c r="F30" s="141" t="e">
        <f>Academics!#REF!</f>
        <v>#REF!</v>
      </c>
      <c r="G30" s="142" t="e">
        <f>Academics!#REF!</f>
        <v>#REF!</v>
      </c>
      <c r="H30" s="143" t="e">
        <f>Academics!#REF!</f>
        <v>#REF!</v>
      </c>
      <c r="J30" s="141" t="e">
        <f>Admin!#REF!</f>
        <v>#REF!</v>
      </c>
      <c r="K30" s="141" t="e">
        <f>Admin!#REF!</f>
        <v>#REF!</v>
      </c>
      <c r="L30" s="142" t="e">
        <f>Admin!#REF!</f>
        <v>#REF!</v>
      </c>
      <c r="M30" s="143" t="e">
        <f>Admin!#REF!</f>
        <v>#REF!</v>
      </c>
      <c r="O30" s="141" t="e">
        <f>Conductors!#REF!</f>
        <v>#REF!</v>
      </c>
      <c r="P30" s="141" t="e">
        <f>Conductors!#REF!</f>
        <v>#REF!</v>
      </c>
      <c r="Q30" s="142" t="e">
        <f>Conductors!#REF!</f>
        <v>#REF!</v>
      </c>
      <c r="R30" s="142" t="e">
        <f>Conductors!#REF!</f>
        <v>#REF!</v>
      </c>
    </row>
    <row r="31" spans="5:23" ht="15.75" customHeight="1">
      <c r="E31" s="141" t="e">
        <f>Academics!#REF!</f>
        <v>#REF!</v>
      </c>
      <c r="F31" s="141" t="e">
        <f>Academics!#REF!</f>
        <v>#REF!</v>
      </c>
      <c r="G31" s="142" t="e">
        <f>Academics!#REF!</f>
        <v>#REF!</v>
      </c>
      <c r="H31" s="143" t="e">
        <f>Academics!#REF!</f>
        <v>#REF!</v>
      </c>
      <c r="J31" s="141" t="e">
        <f>Admin!#REF!</f>
        <v>#REF!</v>
      </c>
      <c r="K31" s="141" t="e">
        <f>Admin!#REF!</f>
        <v>#REF!</v>
      </c>
      <c r="L31" s="142" t="e">
        <f>Admin!#REF!</f>
        <v>#REF!</v>
      </c>
      <c r="M31" s="143" t="e">
        <f>Admin!#REF!</f>
        <v>#REF!</v>
      </c>
      <c r="O31" s="141" t="e">
        <f>Conductors!#REF!</f>
        <v>#REF!</v>
      </c>
      <c r="P31" s="141" t="e">
        <f>Conductors!#REF!</f>
        <v>#REF!</v>
      </c>
      <c r="Q31" s="142" t="e">
        <f>Conductors!#REF!</f>
        <v>#REF!</v>
      </c>
      <c r="R31" s="142" t="e">
        <f>Conductors!#REF!</f>
        <v>#REF!</v>
      </c>
    </row>
    <row r="32" spans="5:23" ht="15.75" customHeight="1">
      <c r="E32" s="141" t="e">
        <f>Academics!#REF!</f>
        <v>#REF!</v>
      </c>
      <c r="F32" s="141" t="e">
        <f>Academics!#REF!</f>
        <v>#REF!</v>
      </c>
      <c r="G32" s="142" t="e">
        <f>Academics!#REF!</f>
        <v>#REF!</v>
      </c>
      <c r="H32" s="143" t="e">
        <f>Academics!#REF!</f>
        <v>#REF!</v>
      </c>
      <c r="J32" s="141" t="e">
        <f>Admin!#REF!</f>
        <v>#REF!</v>
      </c>
      <c r="K32" s="141" t="e">
        <f>Admin!#REF!</f>
        <v>#REF!</v>
      </c>
      <c r="L32" s="142" t="e">
        <f>Admin!#REF!</f>
        <v>#REF!</v>
      </c>
      <c r="M32" s="143" t="e">
        <f>Admin!#REF!</f>
        <v>#REF!</v>
      </c>
      <c r="O32" s="141" t="e">
        <f>Conductors!#REF!</f>
        <v>#REF!</v>
      </c>
      <c r="P32" s="141" t="e">
        <f>Conductors!#REF!</f>
        <v>#REF!</v>
      </c>
      <c r="Q32" s="142" t="e">
        <f>Conductors!#REF!</f>
        <v>#REF!</v>
      </c>
      <c r="R32" s="142" t="e">
        <f>Conductors!#REF!</f>
        <v>#REF!</v>
      </c>
    </row>
    <row r="33" spans="5:18" ht="15.75" customHeight="1">
      <c r="E33" s="141" t="e">
        <f>Academics!#REF!</f>
        <v>#REF!</v>
      </c>
      <c r="F33" s="141" t="e">
        <f>Academics!#REF!</f>
        <v>#REF!</v>
      </c>
      <c r="G33" s="142" t="e">
        <f>Academics!#REF!</f>
        <v>#REF!</v>
      </c>
      <c r="H33" s="143" t="e">
        <f>Academics!#REF!</f>
        <v>#REF!</v>
      </c>
      <c r="J33" s="141" t="e">
        <f>Admin!#REF!</f>
        <v>#REF!</v>
      </c>
      <c r="K33" s="141" t="e">
        <f>Admin!#REF!</f>
        <v>#REF!</v>
      </c>
      <c r="L33" s="142" t="e">
        <f>Admin!#REF!</f>
        <v>#REF!</v>
      </c>
      <c r="M33" s="143" t="e">
        <f>Admin!#REF!</f>
        <v>#REF!</v>
      </c>
      <c r="O33" s="141" t="e">
        <f>Conductors!#REF!</f>
        <v>#REF!</v>
      </c>
      <c r="P33" s="141" t="e">
        <f>Conductors!#REF!</f>
        <v>#REF!</v>
      </c>
      <c r="Q33" s="142" t="e">
        <f>Conductors!#REF!</f>
        <v>#REF!</v>
      </c>
      <c r="R33" s="142" t="e">
        <f>Conductors!#REF!</f>
        <v>#REF!</v>
      </c>
    </row>
    <row r="34" spans="5:18" ht="15.75" customHeight="1">
      <c r="E34" s="141" t="e">
        <f>Academics!#REF!</f>
        <v>#REF!</v>
      </c>
      <c r="F34" s="141" t="e">
        <f>Academics!#REF!</f>
        <v>#REF!</v>
      </c>
      <c r="G34" s="142" t="e">
        <f>Academics!#REF!</f>
        <v>#REF!</v>
      </c>
      <c r="H34" s="143" t="e">
        <f>Academics!#REF!</f>
        <v>#REF!</v>
      </c>
      <c r="J34" s="141" t="e">
        <f>Admin!#REF!</f>
        <v>#REF!</v>
      </c>
      <c r="K34" s="141" t="e">
        <f>Admin!#REF!</f>
        <v>#REF!</v>
      </c>
      <c r="L34" s="142" t="e">
        <f>Admin!#REF!</f>
        <v>#REF!</v>
      </c>
      <c r="M34" s="143" t="e">
        <f>Admin!#REF!</f>
        <v>#REF!</v>
      </c>
      <c r="O34" s="141" t="e">
        <f>Conductors!#REF!</f>
        <v>#REF!</v>
      </c>
      <c r="P34" s="141" t="e">
        <f>Conductors!#REF!</f>
        <v>#REF!</v>
      </c>
      <c r="Q34" s="142" t="e">
        <f>Conductors!#REF!</f>
        <v>#REF!</v>
      </c>
      <c r="R34" s="142" t="e">
        <f>Conductors!#REF!</f>
        <v>#REF!</v>
      </c>
    </row>
    <row r="35" spans="5:18" ht="15.75" customHeight="1">
      <c r="E35" s="141" t="e">
        <f>'Relieved Academics'!#REF!</f>
        <v>#REF!</v>
      </c>
      <c r="F35" s="141" t="e">
        <f>'Relieved Academics'!#REF!</f>
        <v>#REF!</v>
      </c>
      <c r="G35" s="142" t="e">
        <f>'Relieved Academics'!#REF!</f>
        <v>#REF!</v>
      </c>
      <c r="H35" s="143" t="e">
        <f>'Relieved Academics'!#REF!</f>
        <v>#REF!</v>
      </c>
      <c r="J35" s="141" t="e">
        <f>Admin!#REF!</f>
        <v>#REF!</v>
      </c>
      <c r="K35" s="141" t="e">
        <f>Admin!#REF!</f>
        <v>#REF!</v>
      </c>
      <c r="L35" s="142" t="e">
        <f>Admin!#REF!</f>
        <v>#REF!</v>
      </c>
      <c r="M35" s="143" t="e">
        <f>Admin!#REF!</f>
        <v>#REF!</v>
      </c>
      <c r="O35" s="141" t="e">
        <f>Conductors!#REF!</f>
        <v>#REF!</v>
      </c>
      <c r="P35" s="141" t="e">
        <f>Conductors!#REF!</f>
        <v>#REF!</v>
      </c>
      <c r="Q35" s="142" t="e">
        <f>Conductors!#REF!</f>
        <v>#REF!</v>
      </c>
      <c r="R35" s="142" t="e">
        <f>Conductors!#REF!</f>
        <v>#REF!</v>
      </c>
    </row>
    <row r="36" spans="5:18" ht="15.75" customHeight="1">
      <c r="E36" s="141" t="e">
        <f>Academics!#REF!</f>
        <v>#REF!</v>
      </c>
      <c r="F36" s="141" t="e">
        <f>Academics!#REF!</f>
        <v>#REF!</v>
      </c>
      <c r="G36" s="142" t="e">
        <f>Academics!#REF!</f>
        <v>#REF!</v>
      </c>
      <c r="H36" s="143" t="e">
        <f>Academics!#REF!</f>
        <v>#REF!</v>
      </c>
      <c r="J36" s="141" t="e">
        <f>Admin!#REF!</f>
        <v>#REF!</v>
      </c>
      <c r="K36" s="141" t="e">
        <f>Admin!#REF!</f>
        <v>#REF!</v>
      </c>
      <c r="L36" s="142" t="e">
        <f>Admin!#REF!</f>
        <v>#REF!</v>
      </c>
      <c r="M36" s="143" t="e">
        <f>Admin!#REF!</f>
        <v>#REF!</v>
      </c>
      <c r="O36" s="141" t="e">
        <f>Conductors!#REF!</f>
        <v>#REF!</v>
      </c>
      <c r="P36" s="141" t="e">
        <f>Conductors!#REF!</f>
        <v>#REF!</v>
      </c>
      <c r="Q36" s="142" t="e">
        <f>Conductors!#REF!</f>
        <v>#REF!</v>
      </c>
      <c r="R36" s="142" t="e">
        <f>Conductors!#REF!</f>
        <v>#REF!</v>
      </c>
    </row>
    <row r="37" spans="5:18" ht="15.75" customHeight="1">
      <c r="E37" s="141" t="e">
        <f>Academics!#REF!</f>
        <v>#REF!</v>
      </c>
      <c r="F37" s="141" t="e">
        <f>Academics!#REF!</f>
        <v>#REF!</v>
      </c>
      <c r="G37" s="142" t="e">
        <f>Academics!#REF!</f>
        <v>#REF!</v>
      </c>
      <c r="H37" s="143" t="e">
        <f>Academics!#REF!</f>
        <v>#REF!</v>
      </c>
      <c r="J37" s="141" t="e">
        <f>Admin!#REF!</f>
        <v>#REF!</v>
      </c>
      <c r="K37" s="141" t="e">
        <f>Admin!#REF!</f>
        <v>#REF!</v>
      </c>
      <c r="L37" s="142" t="e">
        <f>Admin!#REF!</f>
        <v>#REF!</v>
      </c>
      <c r="M37" s="143" t="e">
        <f>Admin!#REF!</f>
        <v>#REF!</v>
      </c>
      <c r="O37" s="141" t="e">
        <f>Conductors!#REF!</f>
        <v>#REF!</v>
      </c>
      <c r="P37" s="141" t="e">
        <f>Conductors!#REF!</f>
        <v>#REF!</v>
      </c>
      <c r="Q37" s="142" t="e">
        <f>Conductors!#REF!</f>
        <v>#REF!</v>
      </c>
      <c r="R37" s="142" t="e">
        <f>Conductors!#REF!</f>
        <v>#REF!</v>
      </c>
    </row>
    <row r="38" spans="5:18" ht="15.75" customHeight="1">
      <c r="E38" s="141" t="e">
        <f>Academics!#REF!</f>
        <v>#REF!</v>
      </c>
      <c r="F38" s="141" t="e">
        <f>Academics!#REF!</f>
        <v>#REF!</v>
      </c>
      <c r="G38" s="142" t="e">
        <f>Academics!#REF!</f>
        <v>#REF!</v>
      </c>
      <c r="H38" s="143" t="e">
        <f>Academics!#REF!</f>
        <v>#REF!</v>
      </c>
      <c r="J38" s="141" t="e">
        <f>Admin!#REF!</f>
        <v>#REF!</v>
      </c>
      <c r="K38" s="141" t="e">
        <f>Admin!#REF!</f>
        <v>#REF!</v>
      </c>
      <c r="L38" s="142" t="e">
        <f>Admin!#REF!</f>
        <v>#REF!</v>
      </c>
      <c r="M38" s="143" t="e">
        <f>Admin!#REF!</f>
        <v>#REF!</v>
      </c>
      <c r="O38" s="781" t="str">
        <f>Conductors!A7</f>
        <v>TOTAL</v>
      </c>
      <c r="P38" s="637"/>
      <c r="Q38" s="628"/>
      <c r="R38" s="142">
        <f>Conductors!AJ7</f>
        <v>21506</v>
      </c>
    </row>
    <row r="39" spans="5:18" ht="15.75" customHeight="1">
      <c r="E39" s="141" t="e">
        <f>Academics!#REF!</f>
        <v>#REF!</v>
      </c>
      <c r="F39" s="141" t="e">
        <f>Academics!#REF!</f>
        <v>#REF!</v>
      </c>
      <c r="G39" s="142" t="e">
        <f>Academics!#REF!</f>
        <v>#REF!</v>
      </c>
      <c r="H39" s="143" t="e">
        <f>Academics!#REF!</f>
        <v>#REF!</v>
      </c>
      <c r="J39" s="141" t="e">
        <f>'Relieved Admin'!#REF!</f>
        <v>#REF!</v>
      </c>
      <c r="K39" s="141" t="e">
        <f>'Relieved Admin'!#REF!</f>
        <v>#REF!</v>
      </c>
      <c r="L39" s="142" t="e">
        <f>'Relieved Admin'!#REF!</f>
        <v>#REF!</v>
      </c>
      <c r="M39" s="143" t="e">
        <f>'Relieved Admin'!#REF!</f>
        <v>#REF!</v>
      </c>
      <c r="O39" s="141"/>
      <c r="P39" s="141"/>
      <c r="Q39" s="142"/>
      <c r="R39" s="142"/>
    </row>
    <row r="40" spans="5:18" ht="15.75" customHeight="1">
      <c r="E40" s="141" t="e">
        <f>Academics!#REF!</f>
        <v>#REF!</v>
      </c>
      <c r="F40" s="141" t="e">
        <f>Academics!#REF!</f>
        <v>#REF!</v>
      </c>
      <c r="G40" s="142" t="e">
        <f>Academics!#REF!</f>
        <v>#REF!</v>
      </c>
      <c r="H40" s="143" t="e">
        <f>Academics!#REF!</f>
        <v>#REF!</v>
      </c>
      <c r="J40" s="141" t="e">
        <f>Admin!#REF!</f>
        <v>#REF!</v>
      </c>
      <c r="K40" s="141" t="e">
        <f>Admin!#REF!</f>
        <v>#REF!</v>
      </c>
      <c r="L40" s="142" t="e">
        <f>Admin!#REF!</f>
        <v>#REF!</v>
      </c>
      <c r="M40" s="143" t="e">
        <f>Admin!#REF!</f>
        <v>#REF!</v>
      </c>
      <c r="O40" s="141"/>
      <c r="P40" s="141"/>
      <c r="Q40" s="142"/>
      <c r="R40" s="142"/>
    </row>
    <row r="41" spans="5:18" ht="15.75" customHeight="1">
      <c r="E41" s="141" t="e">
        <f>Academics!#REF!</f>
        <v>#REF!</v>
      </c>
      <c r="F41" s="141" t="e">
        <f>Academics!#REF!</f>
        <v>#REF!</v>
      </c>
      <c r="G41" s="142" t="e">
        <f>Academics!#REF!</f>
        <v>#REF!</v>
      </c>
      <c r="H41" s="143" t="e">
        <f>Academics!#REF!</f>
        <v>#REF!</v>
      </c>
      <c r="J41" s="141" t="e">
        <f>Admin!#REF!</f>
        <v>#REF!</v>
      </c>
      <c r="K41" s="141" t="e">
        <f>Admin!#REF!</f>
        <v>#REF!</v>
      </c>
      <c r="L41" s="142" t="e">
        <f>Admin!#REF!</f>
        <v>#REF!</v>
      </c>
      <c r="M41" s="143" t="e">
        <f>Admin!#REF!</f>
        <v>#REF!</v>
      </c>
    </row>
    <row r="42" spans="5:18" ht="15.75" customHeight="1">
      <c r="E42" s="141" t="e">
        <f>Academics!#REF!</f>
        <v>#REF!</v>
      </c>
      <c r="F42" s="141" t="e">
        <f>Academics!#REF!</f>
        <v>#REF!</v>
      </c>
      <c r="G42" s="142" t="e">
        <f>Academics!#REF!</f>
        <v>#REF!</v>
      </c>
      <c r="H42" s="143" t="e">
        <f>Academics!#REF!</f>
        <v>#REF!</v>
      </c>
      <c r="J42" s="141" t="e">
        <f>Admin!#REF!</f>
        <v>#REF!</v>
      </c>
      <c r="K42" s="141" t="e">
        <f>Admin!#REF!</f>
        <v>#REF!</v>
      </c>
      <c r="L42" s="142" t="e">
        <f>Admin!#REF!</f>
        <v>#REF!</v>
      </c>
      <c r="M42" s="143" t="e">
        <f>Admin!#REF!</f>
        <v>#REF!</v>
      </c>
    </row>
    <row r="43" spans="5:18" ht="15.75" customHeight="1">
      <c r="E43" s="141" t="e">
        <f>Academics!#REF!</f>
        <v>#REF!</v>
      </c>
      <c r="F43" s="141" t="e">
        <f>Academics!#REF!</f>
        <v>#REF!</v>
      </c>
      <c r="G43" s="142" t="e">
        <f>Academics!#REF!</f>
        <v>#REF!</v>
      </c>
      <c r="H43" s="143" t="e">
        <f>Academics!#REF!</f>
        <v>#REF!</v>
      </c>
      <c r="J43" s="141" t="e">
        <f>Admin!#REF!</f>
        <v>#REF!</v>
      </c>
      <c r="K43" s="141" t="e">
        <f>Admin!#REF!</f>
        <v>#REF!</v>
      </c>
      <c r="L43" s="142" t="e">
        <f>Admin!#REF!</f>
        <v>#REF!</v>
      </c>
      <c r="M43" s="143" t="e">
        <f>Admin!#REF!</f>
        <v>#REF!</v>
      </c>
      <c r="O43" s="782" t="s">
        <v>207</v>
      </c>
      <c r="P43" s="637"/>
      <c r="Q43" s="637"/>
      <c r="R43" s="628"/>
    </row>
    <row r="44" spans="5:18" ht="15.75" customHeight="1">
      <c r="E44" s="141" t="e">
        <f>Academics!#REF!</f>
        <v>#REF!</v>
      </c>
      <c r="F44" s="141" t="e">
        <f>Academics!#REF!</f>
        <v>#REF!</v>
      </c>
      <c r="G44" s="142" t="e">
        <f>Academics!#REF!</f>
        <v>#REF!</v>
      </c>
      <c r="H44" s="143" t="e">
        <f>Academics!#REF!</f>
        <v>#REF!</v>
      </c>
      <c r="J44" s="141" t="e">
        <f>Admin!#REF!</f>
        <v>#REF!</v>
      </c>
      <c r="K44" s="141" t="e">
        <f>Admin!#REF!</f>
        <v>#REF!</v>
      </c>
      <c r="L44" s="142" t="e">
        <f>Admin!#REF!</f>
        <v>#REF!</v>
      </c>
      <c r="M44" s="143" t="e">
        <f>Admin!#REF!</f>
        <v>#REF!</v>
      </c>
      <c r="O44" s="141">
        <f>Securities!A5</f>
        <v>1</v>
      </c>
      <c r="P44" s="141" t="str">
        <f>Securities!B5</f>
        <v>VAIRAMANI S/O BOSE</v>
      </c>
      <c r="Q44" s="142" t="str">
        <f>Securities!AN5</f>
        <v>1750059000000196</v>
      </c>
      <c r="R44" s="142">
        <f>Securities!AJ5</f>
        <v>14583</v>
      </c>
    </row>
    <row r="45" spans="5:18" ht="15.75" customHeight="1">
      <c r="E45" s="141" t="e">
        <f>Academics!#REF!</f>
        <v>#REF!</v>
      </c>
      <c r="F45" s="141" t="e">
        <f>Academics!#REF!</f>
        <v>#REF!</v>
      </c>
      <c r="G45" s="142" t="e">
        <f>Academics!#REF!</f>
        <v>#REF!</v>
      </c>
      <c r="H45" s="143" t="e">
        <f>Academics!#REF!</f>
        <v>#REF!</v>
      </c>
      <c r="J45" s="141">
        <f>'Relieved Admin'!A6</f>
        <v>2</v>
      </c>
      <c r="K45" s="141" t="str">
        <f>'Relieved Admin'!B6</f>
        <v>G B Hemavathy</v>
      </c>
      <c r="L45" s="142" t="str">
        <f>'Relieved Admin'!AN6</f>
        <v>1750061000000572</v>
      </c>
      <c r="M45" s="143">
        <f>'Relieved Admin'!AJ6</f>
        <v>2800</v>
      </c>
      <c r="O45" s="141">
        <f>Securities!A6</f>
        <v>2</v>
      </c>
      <c r="P45" s="141" t="str">
        <f>Securities!B6</f>
        <v>MOHAMED ALI JINNA A</v>
      </c>
      <c r="Q45" s="142" t="str">
        <f>Securities!AN6</f>
        <v>1750060000000380</v>
      </c>
      <c r="R45" s="142">
        <f>Securities!AJ6</f>
        <v>19300</v>
      </c>
    </row>
    <row r="46" spans="5:18" ht="15.75" customHeight="1">
      <c r="E46" s="141" t="e">
        <f>Academics!#REF!</f>
        <v>#REF!</v>
      </c>
      <c r="F46" s="141" t="e">
        <f>Academics!#REF!</f>
        <v>#REF!</v>
      </c>
      <c r="G46" s="142" t="e">
        <f>Academics!#REF!</f>
        <v>#REF!</v>
      </c>
      <c r="H46" s="143" t="e">
        <f>Academics!#REF!</f>
        <v>#REF!</v>
      </c>
      <c r="J46" s="141" t="e">
        <f>Admin!#REF!</f>
        <v>#REF!</v>
      </c>
      <c r="K46" s="141" t="e">
        <f>Admin!#REF!</f>
        <v>#REF!</v>
      </c>
      <c r="L46" s="142" t="e">
        <f>Admin!#REF!</f>
        <v>#REF!</v>
      </c>
      <c r="M46" s="143" t="e">
        <f>Admin!#REF!</f>
        <v>#REF!</v>
      </c>
      <c r="O46" s="141" t="e">
        <f>Securities!#REF!</f>
        <v>#REF!</v>
      </c>
      <c r="P46" s="141" t="e">
        <f>Securities!#REF!</f>
        <v>#REF!</v>
      </c>
      <c r="Q46" s="142" t="e">
        <f>Securities!#REF!</f>
        <v>#REF!</v>
      </c>
      <c r="R46" s="142" t="e">
        <f>Securities!#REF!</f>
        <v>#REF!</v>
      </c>
    </row>
    <row r="47" spans="5:18" ht="15.75" customHeight="1">
      <c r="E47" s="141" t="e">
        <f>Academics!#REF!</f>
        <v>#REF!</v>
      </c>
      <c r="F47" s="141" t="e">
        <f>Academics!#REF!</f>
        <v>#REF!</v>
      </c>
      <c r="G47" s="142" t="e">
        <f>Academics!#REF!</f>
        <v>#REF!</v>
      </c>
      <c r="H47" s="143" t="e">
        <f>Academics!#REF!</f>
        <v>#REF!</v>
      </c>
      <c r="J47" s="141" t="e">
        <f>Admin!#REF!</f>
        <v>#REF!</v>
      </c>
      <c r="K47" s="141" t="e">
        <f>Admin!#REF!</f>
        <v>#REF!</v>
      </c>
      <c r="L47" s="142" t="e">
        <f>Admin!#REF!</f>
        <v>#REF!</v>
      </c>
      <c r="M47" s="143" t="e">
        <f>Admin!#REF!</f>
        <v>#REF!</v>
      </c>
      <c r="O47" s="141" t="e">
        <f>Securities!#REF!</f>
        <v>#REF!</v>
      </c>
      <c r="P47" s="141" t="e">
        <f>Securities!#REF!</f>
        <v>#REF!</v>
      </c>
      <c r="Q47" s="142" t="e">
        <f>Securities!#REF!</f>
        <v>#REF!</v>
      </c>
      <c r="R47" s="142" t="e">
        <f>Securities!#REF!</f>
        <v>#REF!</v>
      </c>
    </row>
    <row r="48" spans="5:18" ht="15.75" customHeight="1">
      <c r="E48" s="141" t="e">
        <f>Academics!#REF!</f>
        <v>#REF!</v>
      </c>
      <c r="F48" s="141" t="e">
        <f>Academics!#REF!</f>
        <v>#REF!</v>
      </c>
      <c r="G48" s="142" t="e">
        <f>Academics!#REF!</f>
        <v>#REF!</v>
      </c>
      <c r="H48" s="143" t="e">
        <f>Academics!#REF!</f>
        <v>#REF!</v>
      </c>
      <c r="J48" s="141" t="e">
        <f>Admin!#REF!</f>
        <v>#REF!</v>
      </c>
      <c r="K48" s="141" t="e">
        <f>Admin!#REF!</f>
        <v>#REF!</v>
      </c>
      <c r="L48" s="142" t="e">
        <f>Admin!#REF!</f>
        <v>#REF!</v>
      </c>
      <c r="M48" s="143" t="e">
        <f>Admin!#REF!</f>
        <v>#REF!</v>
      </c>
      <c r="O48" s="141" t="e">
        <f>Securities!#REF!</f>
        <v>#REF!</v>
      </c>
      <c r="P48" s="141" t="e">
        <f>Securities!#REF!</f>
        <v>#REF!</v>
      </c>
      <c r="Q48" s="142" t="e">
        <f>Securities!#REF!</f>
        <v>#REF!</v>
      </c>
      <c r="R48" s="142" t="e">
        <f>Securities!#REF!</f>
        <v>#REF!</v>
      </c>
    </row>
    <row r="49" spans="5:18" ht="15.75" customHeight="1">
      <c r="E49" s="141" t="e">
        <f>Academics!#REF!</f>
        <v>#REF!</v>
      </c>
      <c r="F49" s="141" t="e">
        <f>Academics!#REF!</f>
        <v>#REF!</v>
      </c>
      <c r="G49" s="142" t="e">
        <f>Academics!#REF!</f>
        <v>#REF!</v>
      </c>
      <c r="H49" s="143" t="e">
        <f>Academics!#REF!</f>
        <v>#REF!</v>
      </c>
      <c r="J49" s="784" t="s">
        <v>123</v>
      </c>
      <c r="K49" s="779"/>
      <c r="L49" s="780"/>
      <c r="M49" s="143">
        <f>Admin!AJ7</f>
        <v>92200</v>
      </c>
      <c r="O49" s="141" t="e">
        <f>Securities!#REF!</f>
        <v>#REF!</v>
      </c>
      <c r="P49" s="141" t="e">
        <f>Securities!#REF!</f>
        <v>#REF!</v>
      </c>
      <c r="Q49" s="142" t="e">
        <f>Securities!#REF!</f>
        <v>#REF!</v>
      </c>
      <c r="R49" s="142" t="e">
        <f>Securities!#REF!</f>
        <v>#REF!</v>
      </c>
    </row>
    <row r="50" spans="5:18" ht="15.75" customHeight="1">
      <c r="E50" s="141" t="e">
        <f>Academics!#REF!</f>
        <v>#REF!</v>
      </c>
      <c r="F50" s="141" t="e">
        <f>Academics!#REF!</f>
        <v>#REF!</v>
      </c>
      <c r="G50" s="142" t="e">
        <f>Academics!#REF!</f>
        <v>#REF!</v>
      </c>
      <c r="H50" s="143" t="e">
        <f>Academics!#REF!</f>
        <v>#REF!</v>
      </c>
      <c r="J50" s="141"/>
      <c r="K50" s="141"/>
      <c r="L50" s="142"/>
      <c r="M50" s="143"/>
      <c r="O50" s="778" t="str">
        <f>Securities!A7</f>
        <v>TOTAL</v>
      </c>
      <c r="P50" s="779"/>
      <c r="Q50" s="780"/>
      <c r="R50" s="142">
        <f>Securities!AJ7</f>
        <v>33883</v>
      </c>
    </row>
    <row r="51" spans="5:18" ht="15.75" customHeight="1">
      <c r="E51" s="141" t="e">
        <f>'Relieved Academics'!#REF!</f>
        <v>#REF!</v>
      </c>
      <c r="F51" s="141" t="e">
        <f>'Relieved Academics'!#REF!</f>
        <v>#REF!</v>
      </c>
      <c r="G51" s="142" t="e">
        <f>'Relieved Academics'!#REF!</f>
        <v>#REF!</v>
      </c>
      <c r="H51" s="143" t="e">
        <f>'Relieved Academics'!#REF!</f>
        <v>#REF!</v>
      </c>
      <c r="O51" s="141"/>
      <c r="P51" s="141"/>
      <c r="Q51" s="142"/>
      <c r="R51" s="142"/>
    </row>
    <row r="52" spans="5:18" ht="15.75" customHeight="1">
      <c r="E52" s="141" t="e">
        <f>Academics!#REF!</f>
        <v>#REF!</v>
      </c>
      <c r="F52" s="141" t="e">
        <f>Academics!#REF!</f>
        <v>#REF!</v>
      </c>
      <c r="G52" s="142" t="e">
        <f>Academics!#REF!</f>
        <v>#REF!</v>
      </c>
      <c r="H52" s="143" t="e">
        <f>Academics!#REF!</f>
        <v>#REF!</v>
      </c>
      <c r="O52" s="141"/>
      <c r="P52" s="141"/>
      <c r="Q52" s="142"/>
      <c r="R52" s="142"/>
    </row>
    <row r="53" spans="5:18" ht="15.75" customHeight="1">
      <c r="E53" s="141" t="e">
        <f>Academics!#REF!</f>
        <v>#REF!</v>
      </c>
      <c r="F53" s="141" t="e">
        <f>Academics!#REF!</f>
        <v>#REF!</v>
      </c>
      <c r="G53" s="142" t="e">
        <f>Academics!#REF!</f>
        <v>#REF!</v>
      </c>
      <c r="H53" s="143" t="e">
        <f>Academics!#REF!</f>
        <v>#REF!</v>
      </c>
      <c r="J53" s="775" t="s">
        <v>208</v>
      </c>
      <c r="K53" s="776"/>
      <c r="L53" s="776"/>
      <c r="M53" s="777"/>
      <c r="O53" s="141"/>
      <c r="P53" s="141"/>
      <c r="Q53" s="142"/>
      <c r="R53" s="142"/>
    </row>
    <row r="54" spans="5:18" ht="15.75" customHeight="1">
      <c r="E54" s="141" t="e">
        <f>Academics!#REF!</f>
        <v>#REF!</v>
      </c>
      <c r="F54" s="141" t="e">
        <f>Academics!#REF!</f>
        <v>#REF!</v>
      </c>
      <c r="G54" s="142" t="e">
        <f>Academics!#REF!</f>
        <v>#REF!</v>
      </c>
      <c r="H54" s="143" t="e">
        <f>Academics!#REF!</f>
        <v>#REF!</v>
      </c>
      <c r="J54" s="146"/>
      <c r="K54" s="146"/>
      <c r="L54" s="146"/>
      <c r="M54" s="146"/>
      <c r="O54" s="141"/>
      <c r="P54" s="141"/>
      <c r="Q54" s="142"/>
      <c r="R54" s="142"/>
    </row>
    <row r="55" spans="5:18" ht="15.75" customHeight="1">
      <c r="E55" s="141" t="e">
        <f>Academics!#REF!</f>
        <v>#REF!</v>
      </c>
      <c r="F55" s="141" t="e">
        <f>Academics!#REF!</f>
        <v>#REF!</v>
      </c>
      <c r="G55" s="142" t="e">
        <f>Academics!#REF!</f>
        <v>#REF!</v>
      </c>
      <c r="H55" s="143" t="e">
        <f>Academics!#REF!</f>
        <v>#REF!</v>
      </c>
      <c r="J55" s="146">
        <f>'Theni - Upparpatti'!A5</f>
        <v>1</v>
      </c>
      <c r="K55" s="146" t="str">
        <f>'Theni - Upparpatti'!B5</f>
        <v>SUJATHA D/O SUBBURAM</v>
      </c>
      <c r="L55" s="146" t="str">
        <f>'Theni - Upparpatti'!AN5</f>
        <v>1750063000000016</v>
      </c>
      <c r="M55" s="146">
        <f>'Theni - Upparpatti'!AJ5</f>
        <v>10000</v>
      </c>
      <c r="R55" s="144"/>
    </row>
    <row r="56" spans="5:18" ht="15.75" customHeight="1">
      <c r="E56" s="141" t="e">
        <f>'Relieved Academics'!#REF!</f>
        <v>#REF!</v>
      </c>
      <c r="F56" s="141" t="e">
        <f>'Relieved Academics'!#REF!</f>
        <v>#REF!</v>
      </c>
      <c r="G56" s="142" t="e">
        <f>'Relieved Academics'!#REF!</f>
        <v>#REF!</v>
      </c>
      <c r="H56" s="143" t="e">
        <f>'Relieved Academics'!#REF!</f>
        <v>#REF!</v>
      </c>
      <c r="J56" s="146">
        <f>'Theni - Upparpatti'!A6</f>
        <v>2</v>
      </c>
      <c r="K56" s="146" t="str">
        <f>'Theni - Upparpatti'!B6</f>
        <v>JOSEPHINE ANNE SHEEBHA ARULDASS</v>
      </c>
      <c r="L56" s="146" t="str">
        <f>'Theni - Upparpatti'!AN6</f>
        <v>1750060000002726</v>
      </c>
      <c r="M56" s="146">
        <f>'Theni - Upparpatti'!AJ6</f>
        <v>10000</v>
      </c>
      <c r="R56" s="144"/>
    </row>
    <row r="57" spans="5:18" ht="15.75" customHeight="1">
      <c r="E57" s="141" t="e">
        <f>Academics!#REF!</f>
        <v>#REF!</v>
      </c>
      <c r="F57" s="141" t="e">
        <f>Academics!#REF!</f>
        <v>#REF!</v>
      </c>
      <c r="G57" s="142" t="e">
        <f>Academics!#REF!</f>
        <v>#REF!</v>
      </c>
      <c r="H57" s="143" t="e">
        <f>Academics!#REF!</f>
        <v>#REF!</v>
      </c>
      <c r="J57" s="146" t="e">
        <f>'Theni - Upparpatti'!#REF!</f>
        <v>#REF!</v>
      </c>
      <c r="K57" s="146" t="e">
        <f>'Theni - Upparpatti'!#REF!</f>
        <v>#REF!</v>
      </c>
      <c r="L57" s="146" t="e">
        <f>'Theni - Upparpatti'!#REF!</f>
        <v>#REF!</v>
      </c>
      <c r="M57" s="146" t="e">
        <f>'Theni - Upparpatti'!#REF!</f>
        <v>#REF!</v>
      </c>
      <c r="R57" s="144"/>
    </row>
    <row r="58" spans="5:18" ht="15.75" customHeight="1">
      <c r="E58" s="141" t="e">
        <f>Academics!#REF!</f>
        <v>#REF!</v>
      </c>
      <c r="F58" s="141" t="e">
        <f>Academics!#REF!</f>
        <v>#REF!</v>
      </c>
      <c r="G58" s="142" t="e">
        <f>Academics!#REF!</f>
        <v>#REF!</v>
      </c>
      <c r="H58" s="143" t="e">
        <f>Academics!#REF!</f>
        <v>#REF!</v>
      </c>
      <c r="J58" s="146" t="e">
        <f>'Theni - Upparpatti'!#REF!</f>
        <v>#REF!</v>
      </c>
      <c r="K58" s="146" t="e">
        <f>'Theni - Upparpatti'!#REF!</f>
        <v>#REF!</v>
      </c>
      <c r="L58" s="146" t="e">
        <f>'Theni - Upparpatti'!#REF!</f>
        <v>#REF!</v>
      </c>
      <c r="M58" s="146" t="e">
        <f>'Theni - Upparpatti'!#REF!</f>
        <v>#REF!</v>
      </c>
    </row>
    <row r="59" spans="5:18" ht="15.75" customHeight="1">
      <c r="E59" s="141" t="e">
        <f>Academics!#REF!</f>
        <v>#REF!</v>
      </c>
      <c r="F59" s="141" t="e">
        <f>Academics!#REF!</f>
        <v>#REF!</v>
      </c>
      <c r="G59" s="142" t="e">
        <f>Academics!#REF!</f>
        <v>#REF!</v>
      </c>
      <c r="H59" s="143" t="e">
        <f>Academics!#REF!</f>
        <v>#REF!</v>
      </c>
      <c r="J59" s="781" t="str">
        <f>'Theni - Upparpatti'!A7</f>
        <v>TOTAL</v>
      </c>
      <c r="K59" s="785"/>
      <c r="L59" s="786"/>
      <c r="M59" s="146">
        <f>'Theni - Upparpatti'!AJ7</f>
        <v>20000</v>
      </c>
      <c r="O59" s="782" t="s">
        <v>210</v>
      </c>
      <c r="P59" s="637"/>
      <c r="Q59" s="637"/>
      <c r="R59" s="628"/>
    </row>
    <row r="60" spans="5:18" ht="15.75" customHeight="1">
      <c r="E60" s="141" t="e">
        <f>Academics!#REF!</f>
        <v>#REF!</v>
      </c>
      <c r="F60" s="141" t="e">
        <f>Academics!#REF!</f>
        <v>#REF!</v>
      </c>
      <c r="G60" s="142" t="e">
        <f>Academics!#REF!</f>
        <v>#REF!</v>
      </c>
      <c r="H60" s="143" t="e">
        <f>Academics!#REF!</f>
        <v>#REF!</v>
      </c>
      <c r="J60" s="146"/>
      <c r="K60" s="146"/>
      <c r="L60" s="146"/>
      <c r="M60" s="146"/>
      <c r="O60" s="141">
        <f>'House Keeping'!A5</f>
        <v>1</v>
      </c>
      <c r="P60" s="141" t="str">
        <f>'House Keeping'!B5</f>
        <v>AMARAVALLI W/O RAJANGAM</v>
      </c>
      <c r="Q60" s="142" t="str">
        <f>'House Keeping'!AN5</f>
        <v>1750060000000886</v>
      </c>
      <c r="R60" s="142">
        <f>'House Keeping'!AJ5</f>
        <v>13419</v>
      </c>
    </row>
    <row r="61" spans="5:18" ht="15.75" customHeight="1">
      <c r="E61" s="141" t="e">
        <f>Academics!#REF!</f>
        <v>#REF!</v>
      </c>
      <c r="F61" s="141" t="e">
        <f>Academics!#REF!</f>
        <v>#REF!</v>
      </c>
      <c r="G61" s="142" t="e">
        <f>Academics!#REF!</f>
        <v>#REF!</v>
      </c>
      <c r="H61" s="143" t="e">
        <f>Academics!#REF!</f>
        <v>#REF!</v>
      </c>
      <c r="L61" s="144"/>
      <c r="O61" s="141">
        <f>'House Keeping'!A6</f>
        <v>2</v>
      </c>
      <c r="P61" s="141" t="str">
        <f>'House Keeping'!B6</f>
        <v>PARVATHI W/O MUTHAIAH</v>
      </c>
      <c r="Q61" s="142" t="str">
        <f>'House Keeping'!AN6</f>
        <v>1750059000000231</v>
      </c>
      <c r="R61" s="142">
        <f>'House Keeping'!AJ6</f>
        <v>10669</v>
      </c>
    </row>
    <row r="62" spans="5:18" ht="15.75" customHeight="1">
      <c r="E62" s="141" t="e">
        <f>Academics!#REF!</f>
        <v>#REF!</v>
      </c>
      <c r="F62" s="141" t="e">
        <f>Academics!#REF!</f>
        <v>#REF!</v>
      </c>
      <c r="G62" s="142" t="e">
        <f>Academics!#REF!</f>
        <v>#REF!</v>
      </c>
      <c r="H62" s="143" t="e">
        <f>Academics!#REF!</f>
        <v>#REF!</v>
      </c>
      <c r="J62" s="787" t="s">
        <v>526</v>
      </c>
      <c r="K62" s="775"/>
      <c r="L62" s="775"/>
      <c r="M62" s="775"/>
      <c r="O62" s="141" t="e">
        <f>'House Keeping'!#REF!</f>
        <v>#REF!</v>
      </c>
      <c r="P62" s="141" t="e">
        <f>'House Keeping'!#REF!</f>
        <v>#REF!</v>
      </c>
      <c r="Q62" s="142" t="e">
        <f>'House Keeping'!#REF!</f>
        <v>#REF!</v>
      </c>
      <c r="R62" s="142" t="e">
        <f>'House Keeping'!#REF!</f>
        <v>#REF!</v>
      </c>
    </row>
    <row r="63" spans="5:18" ht="15.75" customHeight="1">
      <c r="E63" s="141" t="e">
        <f>Academics!#REF!</f>
        <v>#REF!</v>
      </c>
      <c r="F63" s="141" t="e">
        <f>Academics!#REF!</f>
        <v>#REF!</v>
      </c>
      <c r="G63" s="142" t="e">
        <f>Academics!#REF!</f>
        <v>#REF!</v>
      </c>
      <c r="H63" s="143" t="e">
        <f>Academics!#REF!</f>
        <v>#REF!</v>
      </c>
      <c r="O63" s="141" t="e">
        <f>'House Keeping'!#REF!</f>
        <v>#REF!</v>
      </c>
      <c r="P63" s="141" t="e">
        <f>'House Keeping'!#REF!</f>
        <v>#REF!</v>
      </c>
      <c r="Q63" s="142" t="e">
        <f>'House Keeping'!#REF!</f>
        <v>#REF!</v>
      </c>
      <c r="R63" s="142" t="e">
        <f>'House Keeping'!#REF!</f>
        <v>#REF!</v>
      </c>
    </row>
    <row r="64" spans="5:18" ht="15.75" customHeight="1">
      <c r="E64" s="141" t="e">
        <f>Academics!#REF!</f>
        <v>#REF!</v>
      </c>
      <c r="F64" s="141" t="e">
        <f>Academics!#REF!</f>
        <v>#REF!</v>
      </c>
      <c r="G64" s="142" t="e">
        <f>Academics!#REF!</f>
        <v>#REF!</v>
      </c>
      <c r="H64" s="143" t="e">
        <f>Academics!#REF!</f>
        <v>#REF!</v>
      </c>
      <c r="J64" s="140">
        <f>'ECA '!A5</f>
        <v>1</v>
      </c>
      <c r="K64" s="140" t="str">
        <f>'ECA '!B5</f>
        <v>R BALACHANDER</v>
      </c>
      <c r="L64" s="146" t="str">
        <f>'ECA '!O5</f>
        <v>1750060000000106</v>
      </c>
      <c r="M64" s="147">
        <f>'ECA '!M5</f>
        <v>17500</v>
      </c>
      <c r="O64" s="141" t="e">
        <f>'House Keeping'!#REF!</f>
        <v>#REF!</v>
      </c>
      <c r="P64" s="141" t="e">
        <f>'House Keeping'!#REF!</f>
        <v>#REF!</v>
      </c>
      <c r="Q64" s="142" t="e">
        <f>'House Keeping'!#REF!</f>
        <v>#REF!</v>
      </c>
      <c r="R64" s="142" t="e">
        <f>'House Keeping'!#REF!</f>
        <v>#REF!</v>
      </c>
    </row>
    <row r="65" spans="5:18" ht="15.75" customHeight="1">
      <c r="E65" s="141" t="e">
        <f>Academics!#REF!</f>
        <v>#REF!</v>
      </c>
      <c r="F65" s="141" t="e">
        <f>Academics!#REF!</f>
        <v>#REF!</v>
      </c>
      <c r="G65" s="142" t="e">
        <f>Academics!#REF!</f>
        <v>#REF!</v>
      </c>
      <c r="H65" s="143" t="e">
        <f>Academics!#REF!</f>
        <v>#REF!</v>
      </c>
      <c r="J65" s="140">
        <f>'ECA '!A6</f>
        <v>2</v>
      </c>
      <c r="K65" s="140" t="str">
        <f>'ECA '!B6</f>
        <v>ARAVINDHU PASHWAN VELAYUTHAM</v>
      </c>
      <c r="L65" s="146" t="str">
        <f>'ECA '!O6</f>
        <v>1750061000000241</v>
      </c>
      <c r="M65" s="147">
        <f>'ECA '!M6</f>
        <v>10938</v>
      </c>
      <c r="O65" s="141" t="e">
        <f>'House Keeping'!#REF!</f>
        <v>#REF!</v>
      </c>
      <c r="P65" s="141" t="e">
        <f>'House Keeping'!#REF!</f>
        <v>#REF!</v>
      </c>
      <c r="Q65" s="142" t="e">
        <f>'House Keeping'!#REF!</f>
        <v>#REF!</v>
      </c>
      <c r="R65" s="142" t="e">
        <f>'House Keeping'!#REF!</f>
        <v>#REF!</v>
      </c>
    </row>
    <row r="66" spans="5:18" ht="15.75" customHeight="1">
      <c r="E66" s="141" t="e">
        <f>Academics!#REF!</f>
        <v>#REF!</v>
      </c>
      <c r="F66" s="141" t="e">
        <f>Academics!#REF!</f>
        <v>#REF!</v>
      </c>
      <c r="G66" s="142" t="e">
        <f>Academics!#REF!</f>
        <v>#REF!</v>
      </c>
      <c r="H66" s="143" t="e">
        <f>Academics!#REF!</f>
        <v>#REF!</v>
      </c>
      <c r="J66" s="140">
        <f>'ECA '!A7</f>
        <v>3</v>
      </c>
      <c r="K66" s="140" t="str">
        <f>'ECA '!B7</f>
        <v>J RAJA  / Chandra</v>
      </c>
      <c r="L66" s="146" t="str">
        <f>'ECA '!O7</f>
        <v>1750060000001298</v>
      </c>
      <c r="M66" s="147">
        <f>'ECA '!M7</f>
        <v>13000</v>
      </c>
      <c r="O66" s="141" t="e">
        <f>'House Keeping'!#REF!</f>
        <v>#REF!</v>
      </c>
      <c r="P66" s="141" t="e">
        <f>'House Keeping'!#REF!</f>
        <v>#REF!</v>
      </c>
      <c r="Q66" s="142" t="e">
        <f>'House Keeping'!#REF!</f>
        <v>#REF!</v>
      </c>
      <c r="R66" s="142" t="e">
        <f>'House Keeping'!#REF!</f>
        <v>#REF!</v>
      </c>
    </row>
    <row r="67" spans="5:18" ht="15.75" customHeight="1">
      <c r="E67" s="141">
        <f>'Relieved Academics'!A5</f>
        <v>1</v>
      </c>
      <c r="F67" s="141" t="str">
        <f>'Relieved Academics'!B5</f>
        <v>Rajasekar</v>
      </c>
      <c r="G67" s="142" t="str">
        <f>'Relieved Academics'!AN5</f>
        <v>1750060000003764</v>
      </c>
      <c r="H67" s="143">
        <f>'Relieved Academics'!AJ5</f>
        <v>21000</v>
      </c>
      <c r="J67" s="140">
        <f>'ECA '!A8</f>
        <v>4</v>
      </c>
      <c r="K67" s="140" t="str">
        <f>'ECA '!B8</f>
        <v>J RAJA / Amutheswaran</v>
      </c>
      <c r="L67" s="146" t="str">
        <f>'ECA '!O8</f>
        <v>1750060000001298</v>
      </c>
      <c r="M67" s="147">
        <f>'ECA '!M8</f>
        <v>12000</v>
      </c>
      <c r="O67" s="141" t="e">
        <f>'House Keeping'!#REF!</f>
        <v>#REF!</v>
      </c>
      <c r="P67" s="141" t="e">
        <f>'House Keeping'!#REF!</f>
        <v>#REF!</v>
      </c>
      <c r="Q67" s="142" t="e">
        <f>'House Keeping'!#REF!</f>
        <v>#REF!</v>
      </c>
      <c r="R67" s="142" t="e">
        <f>'House Keeping'!#REF!</f>
        <v>#REF!</v>
      </c>
    </row>
    <row r="68" spans="5:18" ht="15.75" customHeight="1">
      <c r="E68" s="141">
        <f>'Relieved Academics'!A6</f>
        <v>2</v>
      </c>
      <c r="F68" s="141" t="str">
        <f>'Relieved Academics'!B6</f>
        <v>R Veerachinna Krishnan</v>
      </c>
      <c r="G68" s="142" t="str">
        <f>'Relieved Academics'!AN6</f>
        <v>1750060000003788</v>
      </c>
      <c r="H68" s="143">
        <f>'Relieved Academics'!AJ6</f>
        <v>25828</v>
      </c>
      <c r="J68" s="140">
        <f>'ECA '!A9</f>
        <v>5</v>
      </c>
      <c r="K68" s="140" t="str">
        <f>'ECA '!B9</f>
        <v>PRAKASHKUMAR BALAJI</v>
      </c>
      <c r="L68" s="146" t="str">
        <f>'ECA '!O9</f>
        <v>1750061000000135</v>
      </c>
      <c r="M68" s="147">
        <f>'ECA '!M9</f>
        <v>13000</v>
      </c>
      <c r="O68" s="141" t="e">
        <f>'House Keeping'!#REF!</f>
        <v>#REF!</v>
      </c>
      <c r="P68" s="141" t="e">
        <f>'House Keeping'!#REF!</f>
        <v>#REF!</v>
      </c>
      <c r="Q68" s="142" t="e">
        <f>'House Keeping'!#REF!</f>
        <v>#REF!</v>
      </c>
      <c r="R68" s="142" t="e">
        <f>'House Keeping'!#REF!</f>
        <v>#REF!</v>
      </c>
    </row>
    <row r="69" spans="5:18" ht="15.75" customHeight="1">
      <c r="E69" s="141" t="e">
        <f>Academics!#REF!</f>
        <v>#REF!</v>
      </c>
      <c r="F69" s="141" t="e">
        <f>Academics!#REF!</f>
        <v>#REF!</v>
      </c>
      <c r="G69" s="142" t="e">
        <f>Academics!#REF!</f>
        <v>#REF!</v>
      </c>
      <c r="H69" s="143" t="e">
        <f>Academics!#REF!</f>
        <v>#REF!</v>
      </c>
      <c r="J69" s="140">
        <f>'ECA '!A10</f>
        <v>6</v>
      </c>
      <c r="K69" s="140" t="str">
        <f>'ECA '!B10</f>
        <v>PRAKASHKUMAR BALAJI</v>
      </c>
      <c r="L69" s="146" t="str">
        <f>'ECA '!O10</f>
        <v>1750061000000135</v>
      </c>
      <c r="M69" s="147">
        <f>'ECA '!M10</f>
        <v>11000</v>
      </c>
      <c r="O69" s="141" t="e">
        <f>'House Keeping'!#REF!</f>
        <v>#REF!</v>
      </c>
      <c r="P69" s="141" t="e">
        <f>'House Keeping'!#REF!</f>
        <v>#REF!</v>
      </c>
      <c r="Q69" s="142" t="e">
        <f>'House Keeping'!#REF!</f>
        <v>#REF!</v>
      </c>
      <c r="R69" s="142" t="e">
        <f>'House Keeping'!#REF!</f>
        <v>#REF!</v>
      </c>
    </row>
    <row r="70" spans="5:18" ht="15.75" customHeight="1">
      <c r="E70" s="141" t="e">
        <f>Academics!#REF!</f>
        <v>#REF!</v>
      </c>
      <c r="F70" s="141" t="e">
        <f>Academics!#REF!</f>
        <v>#REF!</v>
      </c>
      <c r="G70" s="142" t="e">
        <f>Academics!#REF!</f>
        <v>#REF!</v>
      </c>
      <c r="H70" s="143" t="e">
        <f>Academics!#REF!</f>
        <v>#REF!</v>
      </c>
      <c r="J70" s="140">
        <f>'ECA '!A11</f>
        <v>7</v>
      </c>
      <c r="K70" s="140" t="str">
        <f>'ECA '!B11</f>
        <v>PRABAKARAN PANDI</v>
      </c>
      <c r="L70" s="146" t="str">
        <f>'ECA '!O11</f>
        <v>1750060000000132</v>
      </c>
      <c r="M70" s="147">
        <f>'ECA '!M11</f>
        <v>14000</v>
      </c>
      <c r="O70" s="141" t="e">
        <f>'Relieved Admin'!#REF!</f>
        <v>#REF!</v>
      </c>
      <c r="P70" s="141" t="e">
        <f>'Relieved Admin'!#REF!</f>
        <v>#REF!</v>
      </c>
      <c r="Q70" s="142" t="e">
        <f>'Relieved Admin'!#REF!</f>
        <v>#REF!</v>
      </c>
      <c r="R70" s="142" t="e">
        <f>'Relieved Admin'!#REF!</f>
        <v>#REF!</v>
      </c>
    </row>
    <row r="71" spans="5:18" ht="15.75" customHeight="1">
      <c r="E71" s="141" t="e">
        <f>Academics!#REF!</f>
        <v>#REF!</v>
      </c>
      <c r="F71" s="141" t="e">
        <f>Academics!#REF!</f>
        <v>#REF!</v>
      </c>
      <c r="G71" s="142" t="e">
        <f>Academics!#REF!</f>
        <v>#REF!</v>
      </c>
      <c r="H71" s="143" t="e">
        <f>Academics!#REF!</f>
        <v>#REF!</v>
      </c>
      <c r="J71" s="140">
        <f>'ECA '!A12</f>
        <v>8</v>
      </c>
      <c r="K71" s="140" t="str">
        <f>'ECA '!B12</f>
        <v>HARIPRASATH JAYAKUMAR</v>
      </c>
      <c r="L71" s="146" t="str">
        <f>'ECA '!O12</f>
        <v>1750061000000265</v>
      </c>
      <c r="M71" s="147">
        <f>'ECA '!M12</f>
        <v>12000</v>
      </c>
      <c r="O71" s="141" t="e">
        <f>'House Keeping'!#REF!</f>
        <v>#REF!</v>
      </c>
      <c r="P71" s="141" t="e">
        <f>'House Keeping'!#REF!</f>
        <v>#REF!</v>
      </c>
      <c r="Q71" s="142" t="e">
        <f>'House Keeping'!#REF!</f>
        <v>#REF!</v>
      </c>
      <c r="R71" s="142" t="e">
        <f>'House Keeping'!#REF!</f>
        <v>#REF!</v>
      </c>
    </row>
    <row r="72" spans="5:18" ht="15.75" customHeight="1">
      <c r="E72" s="141" t="e">
        <f>Academics!#REF!</f>
        <v>#REF!</v>
      </c>
      <c r="F72" s="141" t="e">
        <f>Academics!#REF!</f>
        <v>#REF!</v>
      </c>
      <c r="G72" s="142" t="e">
        <f>Academics!#REF!</f>
        <v>#REF!</v>
      </c>
      <c r="H72" s="143" t="e">
        <f>Academics!#REF!</f>
        <v>#REF!</v>
      </c>
      <c r="J72" s="140">
        <f>'ECA '!A13</f>
        <v>9</v>
      </c>
      <c r="K72" s="140" t="str">
        <f>'ECA '!B13</f>
        <v>RAJA CHINNASAMI</v>
      </c>
      <c r="L72" s="146" t="str">
        <f>'ECA '!O13</f>
        <v>1750061000000232</v>
      </c>
      <c r="M72" s="147">
        <f>'ECA '!M13</f>
        <v>17000</v>
      </c>
      <c r="O72" s="141" t="e">
        <f>'House Keeping'!#REF!</f>
        <v>#REF!</v>
      </c>
      <c r="P72" s="141" t="e">
        <f>'House Keeping'!#REF!</f>
        <v>#REF!</v>
      </c>
      <c r="Q72" s="142" t="e">
        <f>'House Keeping'!#REF!</f>
        <v>#REF!</v>
      </c>
      <c r="R72" s="142" t="e">
        <f>'House Keeping'!#REF!</f>
        <v>#REF!</v>
      </c>
    </row>
    <row r="73" spans="5:18" ht="15.75" customHeight="1">
      <c r="E73" s="141" t="e">
        <f>Academics!#REF!</f>
        <v>#REF!</v>
      </c>
      <c r="F73" s="141" t="e">
        <f>Academics!#REF!</f>
        <v>#REF!</v>
      </c>
      <c r="G73" s="142" t="e">
        <f>Academics!#REF!</f>
        <v>#REF!</v>
      </c>
      <c r="H73" s="143" t="e">
        <f>Academics!#REF!</f>
        <v>#REF!</v>
      </c>
      <c r="J73" s="140">
        <f>'ECA '!A14</f>
        <v>10</v>
      </c>
      <c r="K73" s="140" t="str">
        <f>'ECA '!B14</f>
        <v>JEYA SHREE R</v>
      </c>
      <c r="L73" s="146" t="str">
        <f>'ECA '!O14</f>
        <v>1750060000000850</v>
      </c>
      <c r="M73" s="147">
        <f>'ECA '!M14</f>
        <v>20500</v>
      </c>
      <c r="O73" s="141" t="e">
        <f>'Relieved Admin'!#REF!</f>
        <v>#REF!</v>
      </c>
      <c r="P73" s="141" t="e">
        <f>'Relieved Admin'!#REF!</f>
        <v>#REF!</v>
      </c>
      <c r="Q73" s="142" t="e">
        <f>'Relieved Admin'!#REF!</f>
        <v>#REF!</v>
      </c>
      <c r="R73" s="142" t="e">
        <f>'Relieved Admin'!#REF!</f>
        <v>#REF!</v>
      </c>
    </row>
    <row r="74" spans="5:18" ht="15.75" customHeight="1">
      <c r="E74" s="141" t="e">
        <f>Academics!#REF!</f>
        <v>#REF!</v>
      </c>
      <c r="F74" s="141" t="e">
        <f>Academics!#REF!</f>
        <v>#REF!</v>
      </c>
      <c r="G74" s="142" t="e">
        <f>Academics!#REF!</f>
        <v>#REF!</v>
      </c>
      <c r="H74" s="143" t="e">
        <f>Academics!#REF!</f>
        <v>#REF!</v>
      </c>
      <c r="J74" s="140">
        <f>'ECA '!A15</f>
        <v>11</v>
      </c>
      <c r="K74" s="140" t="str">
        <f>'ECA '!B15</f>
        <v>SUBAHARI</v>
      </c>
      <c r="L74" s="146" t="str">
        <f>'ECA '!O15</f>
        <v>1750061000000253</v>
      </c>
      <c r="M74" s="147">
        <f>'ECA '!M15</f>
        <v>18000</v>
      </c>
      <c r="O74" s="141" t="e">
        <f>'House Keeping'!#REF!</f>
        <v>#REF!</v>
      </c>
      <c r="P74" s="141" t="e">
        <f>'House Keeping'!#REF!</f>
        <v>#REF!</v>
      </c>
      <c r="Q74" s="142" t="e">
        <f>'House Keeping'!#REF!</f>
        <v>#REF!</v>
      </c>
      <c r="R74" s="142" t="e">
        <f>'House Keeping'!#REF!</f>
        <v>#REF!</v>
      </c>
    </row>
    <row r="75" spans="5:18" ht="15.75" customHeight="1">
      <c r="E75" s="141" t="e">
        <f>Academics!#REF!</f>
        <v>#REF!</v>
      </c>
      <c r="F75" s="141" t="e">
        <f>Academics!#REF!</f>
        <v>#REF!</v>
      </c>
      <c r="G75" s="142" t="e">
        <f>Academics!#REF!</f>
        <v>#REF!</v>
      </c>
      <c r="H75" s="143" t="e">
        <f>Academics!#REF!</f>
        <v>#REF!</v>
      </c>
      <c r="J75" s="140">
        <f>'ECA '!A16</f>
        <v>12</v>
      </c>
      <c r="K75" s="140" t="str">
        <f>'ECA '!B16</f>
        <v>DANIEL MERWIN SELVARAJ</v>
      </c>
      <c r="L75" s="146" t="str">
        <f>'ECA '!O16</f>
        <v>1750061000000289</v>
      </c>
      <c r="M75" s="147">
        <f>'ECA '!M16</f>
        <v>26000</v>
      </c>
      <c r="O75" s="141" t="e">
        <f>'House Keeping'!#REF!</f>
        <v>#REF!</v>
      </c>
      <c r="P75" s="141" t="e">
        <f>'House Keeping'!#REF!</f>
        <v>#REF!</v>
      </c>
      <c r="Q75" s="142" t="e">
        <f>'House Keeping'!#REF!</f>
        <v>#REF!</v>
      </c>
      <c r="R75" s="142" t="e">
        <f>'House Keeping'!#REF!</f>
        <v>#REF!</v>
      </c>
    </row>
    <row r="76" spans="5:18" ht="15.75" customHeight="1">
      <c r="E76" s="141" t="e">
        <f>Academics!#REF!</f>
        <v>#REF!</v>
      </c>
      <c r="F76" s="141" t="e">
        <f>Academics!#REF!</f>
        <v>#REF!</v>
      </c>
      <c r="G76" s="142" t="e">
        <f>Academics!#REF!</f>
        <v>#REF!</v>
      </c>
      <c r="H76" s="143" t="e">
        <f>Academics!#REF!</f>
        <v>#REF!</v>
      </c>
      <c r="J76" s="140">
        <f>'ECA '!A17</f>
        <v>13</v>
      </c>
      <c r="K76" s="140" t="str">
        <f>'ECA '!B17</f>
        <v>K KEERTHIGA</v>
      </c>
      <c r="L76" s="146" t="str">
        <f>'ECA '!O17</f>
        <v>'1750060000001300</v>
      </c>
      <c r="M76" s="147">
        <f>'ECA '!M17</f>
        <v>11613</v>
      </c>
      <c r="O76" s="778" t="str">
        <f>'House Keeping'!A7</f>
        <v>TOTAL</v>
      </c>
      <c r="P76" s="779"/>
      <c r="Q76" s="780"/>
      <c r="R76" s="142">
        <f>'House Keeping'!AJ7</f>
        <v>24088</v>
      </c>
    </row>
    <row r="77" spans="5:18" ht="15.75" customHeight="1">
      <c r="E77" s="784" t="s">
        <v>123</v>
      </c>
      <c r="F77" s="779"/>
      <c r="G77" s="780"/>
      <c r="H77" s="143">
        <f>Academics!AJ7</f>
        <v>102700</v>
      </c>
      <c r="J77" s="140">
        <f>'ECA '!A18</f>
        <v>14</v>
      </c>
      <c r="K77" s="140" t="str">
        <f>'ECA '!B18</f>
        <v>ARUNKANTH MURUGAN</v>
      </c>
      <c r="L77" s="146" t="str">
        <f>'ECA '!O18</f>
        <v>1750061000000348</v>
      </c>
      <c r="M77" s="147">
        <f>'ECA '!M18</f>
        <v>20000</v>
      </c>
      <c r="O77" s="141"/>
      <c r="P77" s="141"/>
      <c r="Q77" s="142"/>
      <c r="R77" s="142"/>
    </row>
    <row r="78" spans="5:18" ht="15.75" customHeight="1">
      <c r="E78" s="141"/>
      <c r="F78" s="141"/>
      <c r="G78" s="142"/>
      <c r="H78" s="143"/>
      <c r="J78" s="778" t="str">
        <f>'ECA '!A19</f>
        <v>Total</v>
      </c>
      <c r="K78" s="779"/>
      <c r="L78" s="780"/>
      <c r="M78" s="147">
        <f>'ECA '!M19</f>
        <v>216551</v>
      </c>
      <c r="O78" s="141"/>
      <c r="P78" s="141"/>
      <c r="Q78" s="142"/>
      <c r="R78" s="142"/>
    </row>
    <row r="79" spans="5:18" ht="15.75" customHeight="1">
      <c r="E79" s="141"/>
      <c r="F79" s="141"/>
      <c r="G79" s="142"/>
      <c r="H79" s="143"/>
      <c r="J79" s="140"/>
      <c r="K79" s="140"/>
      <c r="L79" s="146"/>
      <c r="M79" s="147"/>
      <c r="O79" s="141"/>
      <c r="P79" s="141"/>
      <c r="Q79" s="142"/>
      <c r="R79" s="142"/>
    </row>
    <row r="80" spans="5:18" ht="15.75" customHeight="1">
      <c r="E80" s="141"/>
      <c r="F80" s="141"/>
      <c r="G80" s="142"/>
      <c r="H80" s="143"/>
      <c r="J80" s="140"/>
      <c r="K80" s="140"/>
      <c r="L80" s="146"/>
      <c r="M80" s="147"/>
      <c r="O80" s="141"/>
      <c r="P80" s="141"/>
      <c r="Q80" s="142"/>
      <c r="R80" s="142"/>
    </row>
    <row r="81" spans="5:18" ht="15.75" customHeight="1">
      <c r="E81" s="141"/>
      <c r="F81" s="141"/>
      <c r="G81" s="142"/>
      <c r="H81" s="143"/>
      <c r="J81" s="140"/>
      <c r="K81" s="140"/>
      <c r="L81" s="146"/>
      <c r="M81" s="147"/>
      <c r="O81" s="141"/>
      <c r="P81" s="141"/>
      <c r="Q81" s="142"/>
      <c r="R81" s="142"/>
    </row>
    <row r="82" spans="5:18" ht="15.75" customHeight="1">
      <c r="E82" s="141"/>
      <c r="F82" s="141"/>
      <c r="G82" s="142"/>
      <c r="H82" s="143"/>
      <c r="O82" s="141"/>
      <c r="P82" s="141"/>
      <c r="Q82" s="142"/>
      <c r="R82" s="142"/>
    </row>
    <row r="83" spans="5:18" ht="15.75" customHeight="1">
      <c r="E83" s="141"/>
      <c r="F83" s="141"/>
      <c r="G83" s="142"/>
      <c r="H83" s="143"/>
      <c r="O83" s="141"/>
      <c r="P83" s="141"/>
      <c r="Q83" s="142"/>
      <c r="R83" s="142"/>
    </row>
    <row r="84" spans="5:18" ht="15.75" customHeight="1">
      <c r="E84" s="141"/>
      <c r="F84" s="141"/>
      <c r="G84" s="142"/>
      <c r="H84" s="143"/>
      <c r="O84" s="141"/>
      <c r="P84" s="141"/>
      <c r="Q84" s="142"/>
      <c r="R84" s="142"/>
    </row>
    <row r="85" spans="5:18" ht="15.75" customHeight="1">
      <c r="E85" s="141"/>
      <c r="F85" s="141"/>
      <c r="G85" s="142"/>
      <c r="H85" s="143"/>
    </row>
    <row r="86" spans="5:18" ht="15.75" customHeight="1">
      <c r="E86" s="141"/>
      <c r="F86" s="141"/>
      <c r="G86" s="142"/>
      <c r="H86" s="143"/>
      <c r="J86" s="782" t="s">
        <v>24</v>
      </c>
      <c r="K86" s="788"/>
      <c r="L86" s="788"/>
      <c r="M86" s="789"/>
      <c r="O86" s="775" t="s">
        <v>212</v>
      </c>
      <c r="P86" s="776"/>
      <c r="Q86" s="776"/>
      <c r="R86" s="777"/>
    </row>
    <row r="87" spans="5:18" ht="15.75" customHeight="1">
      <c r="E87" s="141"/>
      <c r="F87" s="141"/>
      <c r="G87" s="142"/>
      <c r="H87" s="143"/>
      <c r="J87" s="140">
        <f>Hostel!A5</f>
        <v>1</v>
      </c>
      <c r="K87" s="140" t="str">
        <f>Hostel!B5</f>
        <v>Pangajam</v>
      </c>
      <c r="L87" s="146" t="str">
        <f>Hostel!AN5</f>
        <v>1750060000001345</v>
      </c>
      <c r="M87" s="147">
        <f>Hostel!AJ5</f>
        <v>26000</v>
      </c>
      <c r="O87" s="149" t="str">
        <f>AEP!A3</f>
        <v>S.No</v>
      </c>
      <c r="P87" s="150" t="str">
        <f>AEP!B3</f>
        <v>Name</v>
      </c>
      <c r="Q87" s="150">
        <f>AEP!K3</f>
        <v>0</v>
      </c>
      <c r="R87" s="150" t="str">
        <f>AEP!I3</f>
        <v>Net Salary</v>
      </c>
    </row>
    <row r="88" spans="5:18" ht="15.75" customHeight="1">
      <c r="E88" s="141"/>
      <c r="F88" s="141"/>
      <c r="G88" s="142"/>
      <c r="H88" s="143"/>
      <c r="J88" s="140">
        <f>Hostel!A6</f>
        <v>2</v>
      </c>
      <c r="K88" s="140" t="str">
        <f>Hostel!B6</f>
        <v>Meena</v>
      </c>
      <c r="L88" s="146" t="str">
        <f>Hostel!AN6</f>
        <v>1750060000002123</v>
      </c>
      <c r="M88" s="147">
        <f>Hostel!AJ6</f>
        <v>7000</v>
      </c>
      <c r="O88" s="150">
        <f>AEP!A4</f>
        <v>1</v>
      </c>
      <c r="P88" s="150" t="str">
        <f>AEP!B4</f>
        <v>Sudha</v>
      </c>
      <c r="Q88" s="150" t="str">
        <f>AEP!K4</f>
        <v>1750061000000383</v>
      </c>
      <c r="R88" s="151">
        <f>AEP!I4</f>
        <v>0</v>
      </c>
    </row>
    <row r="89" spans="5:18" ht="15.75" customHeight="1">
      <c r="E89" s="141"/>
      <c r="F89" s="141"/>
      <c r="G89" s="142"/>
      <c r="H89" s="143"/>
      <c r="J89" s="140">
        <f>Hostel!A7</f>
        <v>3</v>
      </c>
      <c r="K89" s="140" t="str">
        <f>Hostel!B7</f>
        <v>AARTHY SELVAM</v>
      </c>
      <c r="L89" s="146" t="str">
        <f>Hostel!AN7</f>
        <v>1750060000001274</v>
      </c>
      <c r="M89" s="147">
        <f>Hostel!AJ7</f>
        <v>7500</v>
      </c>
      <c r="O89" s="150">
        <f>AEP!A5</f>
        <v>2</v>
      </c>
      <c r="P89" s="150" t="str">
        <f>AEP!B5</f>
        <v>Thiribuvan</v>
      </c>
      <c r="Q89" s="150" t="str">
        <f>AEP!K5</f>
        <v>1750061000000419</v>
      </c>
      <c r="R89" s="151">
        <f>AEP!I5</f>
        <v>0</v>
      </c>
    </row>
    <row r="90" spans="5:18" ht="15.75" customHeight="1">
      <c r="E90" s="141"/>
      <c r="F90" s="141"/>
      <c r="G90" s="142"/>
      <c r="H90" s="143"/>
      <c r="J90" s="301" t="str">
        <f>Hostel!A8</f>
        <v>TOTAL</v>
      </c>
      <c r="K90" s="353"/>
      <c r="L90" s="354"/>
      <c r="M90" s="147">
        <f>Hostel!AJ8</f>
        <v>40500</v>
      </c>
      <c r="O90" s="150" t="e">
        <f>AEP!#REF!</f>
        <v>#REF!</v>
      </c>
      <c r="P90" s="150" t="e">
        <f>AEP!#REF!</f>
        <v>#REF!</v>
      </c>
      <c r="Q90" s="150" t="e">
        <f>AEP!#REF!</f>
        <v>#REF!</v>
      </c>
      <c r="R90" s="151" t="e">
        <f>AEP!#REF!</f>
        <v>#REF!</v>
      </c>
    </row>
    <row r="91" spans="5:18" ht="15.75" customHeight="1">
      <c r="E91" s="141"/>
      <c r="F91" s="141"/>
      <c r="G91" s="142"/>
      <c r="H91" s="143"/>
      <c r="O91" s="150" t="e">
        <f>AEP!#REF!</f>
        <v>#REF!</v>
      </c>
      <c r="P91" s="150" t="e">
        <f>AEP!#REF!</f>
        <v>#REF!</v>
      </c>
      <c r="Q91" s="150" t="e">
        <f>AEP!#REF!</f>
        <v>#REF!</v>
      </c>
      <c r="R91" s="151" t="e">
        <f>AEP!#REF!</f>
        <v>#REF!</v>
      </c>
    </row>
    <row r="92" spans="5:18" ht="15.75" customHeight="1">
      <c r="E92" s="141"/>
      <c r="F92" s="141"/>
      <c r="G92" s="142"/>
      <c r="H92" s="143"/>
      <c r="J92" s="775" t="s">
        <v>211</v>
      </c>
      <c r="K92" s="775"/>
      <c r="L92" s="775"/>
      <c r="M92" s="775"/>
      <c r="O92" s="150" t="e">
        <f>AEP!#REF!</f>
        <v>#REF!</v>
      </c>
      <c r="P92" s="150" t="e">
        <f>AEP!#REF!</f>
        <v>#REF!</v>
      </c>
      <c r="Q92" s="150" t="e">
        <f>AEP!#REF!</f>
        <v>#REF!</v>
      </c>
      <c r="R92" s="151" t="e">
        <f>AEP!#REF!</f>
        <v>#REF!</v>
      </c>
    </row>
    <row r="93" spans="5:18" ht="15.75" customHeight="1">
      <c r="E93" s="141"/>
      <c r="F93" s="141"/>
      <c r="G93" s="142"/>
      <c r="H93" s="143"/>
      <c r="J93" s="148">
        <f>'Part time academic'!A4</f>
        <v>1</v>
      </c>
      <c r="K93" s="148" t="str">
        <f>'Part time academic'!B4</f>
        <v>Chandrashekaran</v>
      </c>
      <c r="L93" s="148" t="str">
        <f>'Part time academic'!L4</f>
        <v>Cash</v>
      </c>
      <c r="M93" s="63">
        <f>'Part time academic'!J4</f>
        <v>57600</v>
      </c>
      <c r="O93" s="150" t="e">
        <f>AEP!#REF!</f>
        <v>#REF!</v>
      </c>
      <c r="P93" s="150" t="e">
        <f>AEP!#REF!</f>
        <v>#REF!</v>
      </c>
      <c r="Q93" s="150" t="e">
        <f>AEP!#REF!</f>
        <v>#REF!</v>
      </c>
      <c r="R93" s="151" t="e">
        <f>AEP!#REF!</f>
        <v>#REF!</v>
      </c>
    </row>
    <row r="94" spans="5:18" ht="15.75" customHeight="1">
      <c r="E94" s="141"/>
      <c r="F94" s="141"/>
      <c r="G94" s="142"/>
      <c r="H94" s="143"/>
      <c r="J94" s="148" t="e">
        <f>'Part time academic'!#REF!</f>
        <v>#REF!</v>
      </c>
      <c r="K94" s="148" t="e">
        <f>'Part time academic'!#REF!</f>
        <v>#REF!</v>
      </c>
      <c r="L94" s="148" t="e">
        <f>'Part time academic'!#REF!</f>
        <v>#REF!</v>
      </c>
      <c r="M94" s="63" t="e">
        <f>'Part time academic'!#REF!</f>
        <v>#REF!</v>
      </c>
      <c r="O94" s="790" t="str">
        <f>AEP!A6</f>
        <v>Total</v>
      </c>
      <c r="P94" s="791"/>
      <c r="Q94" s="791"/>
      <c r="R94" s="151">
        <f>AEP!I6</f>
        <v>0</v>
      </c>
    </row>
    <row r="95" spans="5:18" ht="15.75" customHeight="1">
      <c r="E95" s="141"/>
      <c r="F95" s="141"/>
      <c r="G95" s="142"/>
      <c r="H95" s="143"/>
      <c r="J95" s="148">
        <f>'Part time academic'!A5</f>
        <v>3</v>
      </c>
      <c r="K95" s="148" t="str">
        <f>'Part time academic'!B5</f>
        <v>Thirubuvan</v>
      </c>
      <c r="L95" s="148" t="str">
        <f>'Part time academic'!L5</f>
        <v>1750061000000419</v>
      </c>
      <c r="M95" s="63">
        <f>'Part time academic'!J5</f>
        <v>44592</v>
      </c>
    </row>
    <row r="96" spans="5:18" ht="15.75" customHeight="1">
      <c r="E96" s="141"/>
      <c r="F96" s="141"/>
      <c r="G96" s="142"/>
      <c r="H96" s="143"/>
      <c r="J96" s="148">
        <f>'Part time academic'!A6</f>
        <v>4</v>
      </c>
      <c r="K96" s="148" t="str">
        <f>'Part time academic'!B6</f>
        <v>Naveen Kumar</v>
      </c>
      <c r="L96" s="148" t="str">
        <f>'Part time academic'!L6</f>
        <v>1750060000001215</v>
      </c>
      <c r="M96" s="63">
        <f>'Part time academic'!J6</f>
        <v>19333</v>
      </c>
    </row>
    <row r="97" spans="5:13" ht="15.75" customHeight="1">
      <c r="E97" s="141"/>
      <c r="F97" s="141"/>
      <c r="G97" s="142"/>
      <c r="H97" s="143"/>
      <c r="J97" s="148">
        <f>'Part time academic'!A7</f>
        <v>5</v>
      </c>
      <c r="K97" s="148" t="str">
        <f>'Part time academic'!B7</f>
        <v>KALPANA KARTHIK S</v>
      </c>
      <c r="L97" s="148" t="str">
        <f>'Part time academic'!L7</f>
        <v>1750062000000034</v>
      </c>
      <c r="M97" s="63">
        <f>'Part time academic'!J7</f>
        <v>36000</v>
      </c>
    </row>
    <row r="98" spans="5:13" ht="15.75" customHeight="1">
      <c r="E98" s="141"/>
      <c r="F98" s="141"/>
      <c r="G98" s="142"/>
      <c r="H98" s="143"/>
      <c r="J98" s="148" t="e">
        <f>'Part time academic'!#REF!</f>
        <v>#REF!</v>
      </c>
      <c r="K98" s="148" t="e">
        <f>'Part time academic'!#REF!</f>
        <v>#REF!</v>
      </c>
      <c r="L98" s="148" t="e">
        <f>'Part time academic'!#REF!</f>
        <v>#REF!</v>
      </c>
      <c r="M98" s="63" t="e">
        <f>'Part time academic'!#REF!</f>
        <v>#REF!</v>
      </c>
    </row>
    <row r="99" spans="5:13" ht="15.75" customHeight="1">
      <c r="E99" s="141"/>
      <c r="F99" s="141"/>
      <c r="G99" s="142"/>
      <c r="H99" s="143"/>
      <c r="J99" s="148">
        <f>'Part time academic'!A8</f>
        <v>6</v>
      </c>
      <c r="K99" s="148" t="str">
        <f>'Part time academic'!B8</f>
        <v>MATCHIPIRAI MALIKA KATHEROLI</v>
      </c>
      <c r="L99" s="148" t="str">
        <f>'Part time academic'!L8</f>
        <v>1750061000000312</v>
      </c>
      <c r="M99" s="63">
        <f>'Part time academic'!J8</f>
        <v>44000</v>
      </c>
    </row>
    <row r="100" spans="5:13" ht="15.75" customHeight="1">
      <c r="E100" s="141"/>
      <c r="F100" s="141"/>
      <c r="G100" s="142"/>
      <c r="H100" s="143"/>
      <c r="J100" s="148">
        <f>'Part time academic'!A9</f>
        <v>7</v>
      </c>
      <c r="K100" s="148" t="str">
        <f>'Part time academic'!B9</f>
        <v>I PRADEEP CHRISTOPHER</v>
      </c>
      <c r="L100" s="148" t="str">
        <f>'Part time academic'!L9</f>
        <v>1750061000000362</v>
      </c>
      <c r="M100" s="63">
        <f>'Part time academic'!J9</f>
        <v>29000</v>
      </c>
    </row>
    <row r="101" spans="5:13" ht="15.75" customHeight="1">
      <c r="E101" s="141"/>
      <c r="F101" s="141"/>
      <c r="G101" s="142"/>
      <c r="H101" s="143"/>
      <c r="J101" s="148">
        <f>'Part time academic'!A10</f>
        <v>8</v>
      </c>
      <c r="K101" s="148" t="str">
        <f>'Part time academic'!B10</f>
        <v>DHARANI W/O SRINIVAS</v>
      </c>
      <c r="L101" s="148" t="str">
        <f>'Part time academic'!L10</f>
        <v>1750061000000220</v>
      </c>
      <c r="M101" s="63">
        <f>'Part time academic'!J10</f>
        <v>46000</v>
      </c>
    </row>
    <row r="102" spans="5:13" ht="15" customHeight="1">
      <c r="J102" s="148" t="e">
        <f>'Part time academic'!#REF!</f>
        <v>#REF!</v>
      </c>
      <c r="K102" s="148" t="e">
        <f>'Part time academic'!#REF!</f>
        <v>#REF!</v>
      </c>
      <c r="L102" s="148" t="e">
        <f>'Part time academic'!#REF!</f>
        <v>#REF!</v>
      </c>
      <c r="M102" s="63" t="e">
        <f>'Part time academic'!#REF!</f>
        <v>#REF!</v>
      </c>
    </row>
    <row r="103" spans="5:13" ht="15" customHeight="1">
      <c r="J103" s="148">
        <f>'Part time academic'!A11</f>
        <v>9</v>
      </c>
      <c r="K103" s="148" t="str">
        <f>'Part time academic'!B11</f>
        <v>Jeyabal J</v>
      </c>
      <c r="L103" s="148" t="str">
        <f>'Part time academic'!L11</f>
        <v>1105155000093166</v>
      </c>
      <c r="M103" s="63">
        <f>'Part time academic'!J11</f>
        <v>2700</v>
      </c>
    </row>
    <row r="104" spans="5:13" ht="15" customHeight="1">
      <c r="J104" s="148">
        <f>'Part time academic'!A12</f>
        <v>11</v>
      </c>
      <c r="K104" s="148" t="str">
        <f>'Part time academic'!B12</f>
        <v>Niveth Oliviya</v>
      </c>
      <c r="L104" s="148" t="str">
        <f>'Part time academic'!L12</f>
        <v>1750060000001203</v>
      </c>
      <c r="M104" s="63">
        <f>'Part time academic'!J12</f>
        <v>0</v>
      </c>
    </row>
    <row r="105" spans="5:13" ht="15" customHeight="1">
      <c r="J105" s="792" t="str">
        <f>'Part time academic'!A14</f>
        <v>Total</v>
      </c>
      <c r="K105" s="792"/>
      <c r="L105" s="792"/>
      <c r="M105" s="63">
        <f>'Part time academic'!J14</f>
        <v>279225</v>
      </c>
    </row>
    <row r="108" spans="5:13" ht="15" customHeight="1">
      <c r="J108" s="775" t="s">
        <v>211</v>
      </c>
      <c r="K108" s="775"/>
      <c r="L108" s="775"/>
      <c r="M108" s="775"/>
    </row>
    <row r="109" spans="5:13" ht="15" customHeight="1">
      <c r="J109">
        <f>AEP!A4</f>
        <v>1</v>
      </c>
      <c r="K109" t="str">
        <f>AEP!B4</f>
        <v>Sudha</v>
      </c>
      <c r="L109" t="str">
        <f>AEP!K4</f>
        <v>1750061000000383</v>
      </c>
      <c r="M109">
        <f>AEP!I4</f>
        <v>0</v>
      </c>
    </row>
    <row r="110" spans="5:13" ht="15" customHeight="1">
      <c r="J110">
        <f>AEP!A5</f>
        <v>2</v>
      </c>
      <c r="K110" t="str">
        <f>AEP!B5</f>
        <v>Thiribuvan</v>
      </c>
      <c r="L110" t="str">
        <f>AEP!K5</f>
        <v>1750061000000419</v>
      </c>
      <c r="M110">
        <f>AEP!I5</f>
        <v>0</v>
      </c>
    </row>
    <row r="111" spans="5:13" ht="15" customHeight="1">
      <c r="J111" t="e">
        <f>AEP!#REF!</f>
        <v>#REF!</v>
      </c>
      <c r="K111" t="e">
        <f>AEP!#REF!</f>
        <v>#REF!</v>
      </c>
      <c r="L111" t="e">
        <f>AEP!#REF!</f>
        <v>#REF!</v>
      </c>
      <c r="M111" t="e">
        <f>AEP!#REF!</f>
        <v>#REF!</v>
      </c>
    </row>
    <row r="112" spans="5:13" ht="15" customHeight="1">
      <c r="J112" t="e">
        <f>AEP!#REF!</f>
        <v>#REF!</v>
      </c>
      <c r="K112" t="e">
        <f>AEP!#REF!</f>
        <v>#REF!</v>
      </c>
      <c r="L112" t="e">
        <f>AEP!#REF!</f>
        <v>#REF!</v>
      </c>
      <c r="M112" t="e">
        <f>AEP!#REF!</f>
        <v>#REF!</v>
      </c>
    </row>
    <row r="113" spans="10:13" ht="15" customHeight="1">
      <c r="J113" t="e">
        <f>AEP!#REF!</f>
        <v>#REF!</v>
      </c>
      <c r="K113" t="e">
        <f>AEP!#REF!</f>
        <v>#REF!</v>
      </c>
      <c r="L113" t="e">
        <f>AEP!#REF!</f>
        <v>#REF!</v>
      </c>
      <c r="M113" t="e">
        <f>AEP!#REF!</f>
        <v>#REF!</v>
      </c>
    </row>
    <row r="114" spans="10:13" ht="15" customHeight="1">
      <c r="J114" t="e">
        <f>AEP!#REF!</f>
        <v>#REF!</v>
      </c>
      <c r="K114" t="e">
        <f>AEP!#REF!</f>
        <v>#REF!</v>
      </c>
      <c r="L114" t="e">
        <f>AEP!#REF!</f>
        <v>#REF!</v>
      </c>
      <c r="M114" t="e">
        <f>AEP!#REF!</f>
        <v>#REF!</v>
      </c>
    </row>
    <row r="115" spans="10:13" ht="15" customHeight="1">
      <c r="J115" s="793" t="str">
        <f>AEP!A6</f>
        <v>Total</v>
      </c>
      <c r="K115" s="793"/>
      <c r="L115" s="793"/>
      <c r="M115">
        <f>AEP!I6</f>
        <v>0</v>
      </c>
    </row>
    <row r="121" spans="10:13" ht="15" customHeight="1">
      <c r="J121" s="148"/>
      <c r="K121" s="148"/>
      <c r="L121" s="148"/>
      <c r="M121" s="63"/>
    </row>
    <row r="122" spans="10:13" ht="15" customHeight="1">
      <c r="J122" s="148"/>
      <c r="K122" s="148"/>
      <c r="L122" s="148"/>
      <c r="M122" s="63"/>
    </row>
    <row r="123" spans="10:13" ht="15" customHeight="1">
      <c r="J123" s="148"/>
      <c r="K123" s="148"/>
      <c r="L123" s="148"/>
      <c r="M123" s="63"/>
    </row>
    <row r="124" spans="10:13" ht="15" customHeight="1">
      <c r="J124" s="148"/>
      <c r="K124" s="148"/>
      <c r="L124" s="148"/>
      <c r="M124" s="63"/>
    </row>
    <row r="125" spans="10:13" ht="15" customHeight="1">
      <c r="J125" s="148"/>
      <c r="K125" s="148"/>
      <c r="L125" s="148"/>
      <c r="M125" s="63"/>
    </row>
    <row r="126" spans="10:13" ht="15" customHeight="1">
      <c r="J126" s="148"/>
      <c r="K126" s="148"/>
      <c r="L126" s="148"/>
      <c r="M126" s="63"/>
    </row>
    <row r="127" spans="10:13" ht="15" customHeight="1">
      <c r="J127" s="148"/>
      <c r="K127" s="148"/>
      <c r="L127" s="148"/>
      <c r="M127" s="63"/>
    </row>
    <row r="128" spans="10:13" ht="15" customHeight="1">
      <c r="J128" s="148"/>
      <c r="K128" s="148"/>
      <c r="L128" s="148"/>
      <c r="M128" s="63"/>
    </row>
    <row r="129" spans="10:13" ht="15" customHeight="1">
      <c r="J129" s="148"/>
      <c r="K129" s="148"/>
      <c r="L129" s="148"/>
      <c r="M129" s="63"/>
    </row>
    <row r="130" spans="10:13" ht="15" customHeight="1">
      <c r="J130" s="148"/>
      <c r="K130" s="148"/>
      <c r="L130" s="148"/>
      <c r="M130" s="63"/>
    </row>
    <row r="131" spans="10:13" ht="15" customHeight="1">
      <c r="J131" s="302"/>
      <c r="M131" s="152"/>
    </row>
  </sheetData>
  <mergeCells count="24">
    <mergeCell ref="O94:Q94"/>
    <mergeCell ref="J105:L105"/>
    <mergeCell ref="J108:M108"/>
    <mergeCell ref="J115:L115"/>
    <mergeCell ref="O76:Q76"/>
    <mergeCell ref="O86:R86"/>
    <mergeCell ref="J62:M62"/>
    <mergeCell ref="J92:M92"/>
    <mergeCell ref="E77:G77"/>
    <mergeCell ref="J86:M86"/>
    <mergeCell ref="J78:L78"/>
    <mergeCell ref="O43:R43"/>
    <mergeCell ref="O59:R59"/>
    <mergeCell ref="T1:Y1"/>
    <mergeCell ref="J49:L49"/>
    <mergeCell ref="O50:Q50"/>
    <mergeCell ref="J59:L59"/>
    <mergeCell ref="J53:M53"/>
    <mergeCell ref="E1:H1"/>
    <mergeCell ref="J1:M1"/>
    <mergeCell ref="O1:R1"/>
    <mergeCell ref="O20:Q20"/>
    <mergeCell ref="O38:Q38"/>
    <mergeCell ref="O26:R26"/>
  </mergeCells>
  <pageMargins left="0.7" right="0.7" top="0.75" bottom="0.75"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85623"/>
    <pageSetUpPr fitToPage="1"/>
  </sheetPr>
  <dimension ref="A1:AN100"/>
  <sheetViews>
    <sheetView zoomScale="55" zoomScaleNormal="55" workbookViewId="0">
      <selection activeCell="A7" sqref="A7"/>
    </sheetView>
  </sheetViews>
  <sheetFormatPr defaultColWidth="16.81640625" defaultRowHeight="15" customHeight="1"/>
  <cols>
    <col min="1" max="1" width="5.1796875" customWidth="1"/>
    <col min="2" max="2" width="25" customWidth="1"/>
    <col min="3" max="3" width="18" customWidth="1"/>
    <col min="4" max="7" width="6" customWidth="1"/>
    <col min="8" max="8" width="3.453125" customWidth="1"/>
    <col min="9" max="9" width="8.1796875" hidden="1" customWidth="1"/>
    <col min="10" max="10" width="6" hidden="1" customWidth="1"/>
    <col min="11" max="11" width="8.1796875" hidden="1" customWidth="1"/>
    <col min="12" max="12" width="6" customWidth="1"/>
    <col min="13" max="13" width="12.1796875" customWidth="1"/>
    <col min="14" max="16" width="6" customWidth="1"/>
    <col min="17" max="17" width="7.453125" customWidth="1"/>
    <col min="18" max="19" width="12.81640625" hidden="1" customWidth="1"/>
    <col min="20" max="20" width="10.7265625" hidden="1" customWidth="1"/>
    <col min="21" max="21" width="12.1796875" hidden="1" customWidth="1"/>
    <col min="22" max="22" width="13.7265625" customWidth="1"/>
    <col min="23" max="23" width="14.453125" customWidth="1"/>
    <col min="24" max="24" width="19.1796875" hidden="1" customWidth="1"/>
    <col min="25" max="25" width="14.81640625" customWidth="1"/>
    <col min="26" max="26" width="13.26953125" customWidth="1"/>
    <col min="27" max="27" width="14.26953125" customWidth="1"/>
    <col min="28" max="28" width="12.453125" hidden="1" customWidth="1"/>
    <col min="29" max="31" width="10.7265625" hidden="1" customWidth="1"/>
    <col min="32" max="32" width="10.81640625" hidden="1" customWidth="1"/>
    <col min="33" max="34" width="10.7265625" hidden="1" customWidth="1"/>
    <col min="35" max="35" width="13.81640625" hidden="1" customWidth="1"/>
    <col min="36" max="36" width="15.7265625" customWidth="1"/>
    <col min="37" max="38" width="10.7265625" customWidth="1"/>
    <col min="39" max="39" width="25" customWidth="1"/>
    <col min="40" max="40" width="23.26953125" customWidth="1"/>
  </cols>
  <sheetData>
    <row r="1" spans="1:40" ht="20.25" customHeight="1">
      <c r="A1" s="802" t="s">
        <v>0</v>
      </c>
      <c r="B1" s="634"/>
      <c r="C1" s="634"/>
      <c r="D1" s="634"/>
      <c r="E1" s="634"/>
      <c r="F1" s="634"/>
      <c r="G1" s="634"/>
      <c r="H1" s="634"/>
      <c r="I1" s="634"/>
      <c r="J1" s="634"/>
      <c r="K1" s="634"/>
      <c r="L1" s="634"/>
      <c r="M1" s="634"/>
      <c r="N1" s="634"/>
      <c r="O1" s="634"/>
      <c r="P1" s="634"/>
      <c r="Q1" s="634"/>
      <c r="R1" s="634"/>
      <c r="S1" s="634"/>
      <c r="T1" s="634"/>
      <c r="U1" s="634"/>
      <c r="V1" s="634"/>
      <c r="W1" s="634"/>
      <c r="X1" s="634"/>
      <c r="Y1" s="634"/>
      <c r="Z1" s="634"/>
      <c r="AA1" s="634"/>
      <c r="AB1" s="634"/>
      <c r="AC1" s="634"/>
      <c r="AD1" s="634"/>
      <c r="AE1" s="634"/>
      <c r="AF1" s="634"/>
      <c r="AG1" s="634"/>
      <c r="AH1" s="634"/>
      <c r="AI1" s="634"/>
      <c r="AJ1" s="634"/>
      <c r="AK1" s="634"/>
      <c r="AL1" s="634"/>
      <c r="AM1" s="635"/>
      <c r="AN1" s="78"/>
    </row>
    <row r="2" spans="1:40" ht="20.25" customHeight="1">
      <c r="A2" s="726" t="s">
        <v>577</v>
      </c>
      <c r="B2" s="637"/>
      <c r="C2" s="637"/>
      <c r="D2" s="637"/>
      <c r="E2" s="637"/>
      <c r="F2" s="637"/>
      <c r="G2" s="637"/>
      <c r="H2" s="637"/>
      <c r="I2" s="637"/>
      <c r="J2" s="637"/>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8"/>
      <c r="AN2" s="78"/>
    </row>
    <row r="3" spans="1:40" ht="20.25" customHeight="1">
      <c r="A3" s="797" t="s">
        <v>39</v>
      </c>
      <c r="B3" s="798" t="s">
        <v>40</v>
      </c>
      <c r="C3" s="798" t="s">
        <v>41</v>
      </c>
      <c r="D3" s="800" t="s">
        <v>42</v>
      </c>
      <c r="E3" s="637"/>
      <c r="F3" s="637"/>
      <c r="G3" s="637"/>
      <c r="H3" s="637"/>
      <c r="I3" s="637"/>
      <c r="J3" s="637"/>
      <c r="K3" s="637"/>
      <c r="L3" s="637"/>
      <c r="M3" s="637"/>
      <c r="N3" s="637"/>
      <c r="O3" s="637"/>
      <c r="P3" s="637"/>
      <c r="Q3" s="628"/>
      <c r="R3" s="800" t="s">
        <v>43</v>
      </c>
      <c r="S3" s="637"/>
      <c r="T3" s="637"/>
      <c r="U3" s="628"/>
      <c r="V3" s="798" t="s">
        <v>44</v>
      </c>
      <c r="W3" s="801" t="s">
        <v>45</v>
      </c>
      <c r="X3" s="798" t="s">
        <v>46</v>
      </c>
      <c r="Y3" s="803" t="s">
        <v>47</v>
      </c>
      <c r="Z3" s="803" t="s">
        <v>48</v>
      </c>
      <c r="AA3" s="804" t="s">
        <v>49</v>
      </c>
      <c r="AB3" s="800" t="s">
        <v>6</v>
      </c>
      <c r="AC3" s="637"/>
      <c r="AD3" s="637"/>
      <c r="AE3" s="637"/>
      <c r="AF3" s="637"/>
      <c r="AG3" s="637"/>
      <c r="AH3" s="637"/>
      <c r="AI3" s="628"/>
      <c r="AJ3" s="804" t="s">
        <v>50</v>
      </c>
      <c r="AK3" s="800" t="s">
        <v>51</v>
      </c>
      <c r="AL3" s="628"/>
      <c r="AM3" s="799" t="s">
        <v>52</v>
      </c>
      <c r="AN3" s="81"/>
    </row>
    <row r="4" spans="1:40" ht="189" customHeight="1">
      <c r="A4" s="620"/>
      <c r="B4" s="622"/>
      <c r="C4" s="622"/>
      <c r="D4" s="153" t="s">
        <v>53</v>
      </c>
      <c r="E4" s="153" t="s">
        <v>54</v>
      </c>
      <c r="F4" s="154" t="s">
        <v>55</v>
      </c>
      <c r="G4" s="154" t="s">
        <v>56</v>
      </c>
      <c r="H4" s="153" t="s">
        <v>57</v>
      </c>
      <c r="I4" s="154" t="s">
        <v>58</v>
      </c>
      <c r="J4" s="154" t="s">
        <v>59</v>
      </c>
      <c r="K4" s="153" t="s">
        <v>60</v>
      </c>
      <c r="L4" s="153" t="s">
        <v>116</v>
      </c>
      <c r="M4" s="153" t="s">
        <v>62</v>
      </c>
      <c r="N4" s="153" t="s">
        <v>63</v>
      </c>
      <c r="O4" s="153" t="s">
        <v>64</v>
      </c>
      <c r="P4" s="154" t="s">
        <v>65</v>
      </c>
      <c r="Q4" s="155" t="s">
        <v>66</v>
      </c>
      <c r="R4" s="156" t="s">
        <v>67</v>
      </c>
      <c r="S4" s="156" t="s">
        <v>68</v>
      </c>
      <c r="T4" s="157" t="s">
        <v>69</v>
      </c>
      <c r="U4" s="158" t="s">
        <v>70</v>
      </c>
      <c r="V4" s="622"/>
      <c r="W4" s="622"/>
      <c r="X4" s="622"/>
      <c r="Y4" s="622"/>
      <c r="Z4" s="622"/>
      <c r="AA4" s="622"/>
      <c r="AB4" s="159" t="s">
        <v>71</v>
      </c>
      <c r="AC4" s="160" t="s">
        <v>72</v>
      </c>
      <c r="AD4" s="159" t="s">
        <v>11</v>
      </c>
      <c r="AE4" s="159" t="s">
        <v>12</v>
      </c>
      <c r="AF4" s="110" t="s">
        <v>13</v>
      </c>
      <c r="AG4" s="159" t="s">
        <v>74</v>
      </c>
      <c r="AH4" s="159" t="s">
        <v>75</v>
      </c>
      <c r="AI4" s="161" t="s">
        <v>32</v>
      </c>
      <c r="AJ4" s="622"/>
      <c r="AK4" s="159" t="s">
        <v>76</v>
      </c>
      <c r="AL4" s="159" t="s">
        <v>77</v>
      </c>
      <c r="AM4" s="630"/>
      <c r="AN4" s="84"/>
    </row>
    <row r="5" spans="1:40" ht="48.75" customHeight="1">
      <c r="A5" s="162">
        <v>1</v>
      </c>
      <c r="B5" s="163" t="s">
        <v>213</v>
      </c>
      <c r="C5" s="164" t="s">
        <v>214</v>
      </c>
      <c r="D5" s="164">
        <v>30</v>
      </c>
      <c r="E5" s="453">
        <v>0</v>
      </c>
      <c r="F5" s="163">
        <f t="shared" ref="F5:F7" si="0">IF((E5/3)&gt;=1,TRUNC(E5/3,0),0)</f>
        <v>0</v>
      </c>
      <c r="G5" s="163">
        <f t="shared" ref="G5:G7" si="1">E5-F5*3</f>
        <v>0</v>
      </c>
      <c r="H5" s="453">
        <v>0</v>
      </c>
      <c r="I5" s="163">
        <f t="shared" ref="I5:I6" si="2">IF(H5&lt;2,H5,H5-2)</f>
        <v>0</v>
      </c>
      <c r="J5" s="163">
        <f t="shared" ref="J5:J7" si="3">H5-I5</f>
        <v>0</v>
      </c>
      <c r="K5" s="163">
        <v>0</v>
      </c>
      <c r="L5" s="453">
        <v>0</v>
      </c>
      <c r="M5" s="163">
        <v>0</v>
      </c>
      <c r="N5" s="163">
        <v>0</v>
      </c>
      <c r="O5" s="163">
        <v>0</v>
      </c>
      <c r="P5" s="165">
        <f t="shared" ref="P5:P7" si="4">L5+M5+N5+O5</f>
        <v>0</v>
      </c>
      <c r="Q5" s="166">
        <f t="shared" ref="Q5:Q6" si="5">(F5*0.5)+(I5*0.5)+L5+(N5*2)+M5</f>
        <v>0</v>
      </c>
      <c r="R5" s="167"/>
      <c r="S5" s="167"/>
      <c r="T5" s="167">
        <v>0</v>
      </c>
      <c r="U5" s="167">
        <f t="shared" ref="U5:U7" si="6">R5-(S5+T5)</f>
        <v>0</v>
      </c>
      <c r="V5" s="167">
        <v>26000</v>
      </c>
      <c r="W5" s="167">
        <f t="shared" ref="W5:W7" si="7">V5</f>
        <v>26000</v>
      </c>
      <c r="X5" s="167">
        <v>0</v>
      </c>
      <c r="Y5" s="167">
        <f>V5-AB5</f>
        <v>26000</v>
      </c>
      <c r="Z5" s="167">
        <f>(V5+X5)/31</f>
        <v>838.70967741935488</v>
      </c>
      <c r="AA5" s="167">
        <f>V5*45%</f>
        <v>11700</v>
      </c>
      <c r="AB5" s="168">
        <f t="shared" ref="AB5:AB7" si="8">Q5*Z5</f>
        <v>0</v>
      </c>
      <c r="AC5" s="168"/>
      <c r="AD5" s="168">
        <f t="shared" ref="AD5:AD7" si="9">(AC5)*Z5</f>
        <v>0</v>
      </c>
      <c r="AE5" s="167">
        <f t="shared" ref="AE5:AE7" si="10">T5</f>
        <v>0</v>
      </c>
      <c r="AF5" s="167"/>
      <c r="AG5" s="168">
        <v>0</v>
      </c>
      <c r="AH5" s="168">
        <v>0</v>
      </c>
      <c r="AI5" s="168">
        <f t="shared" ref="AI5:AI7" si="11">SUM(AB5,AD5:AH5)</f>
        <v>0</v>
      </c>
      <c r="AJ5" s="168">
        <f>ROUND(SUM(W5:X5)-AI5,0)</f>
        <v>26000</v>
      </c>
      <c r="AK5" s="168">
        <v>0</v>
      </c>
      <c r="AL5" s="168">
        <v>0</v>
      </c>
      <c r="AM5" s="169"/>
      <c r="AN5" s="92" t="s">
        <v>215</v>
      </c>
    </row>
    <row r="6" spans="1:40" ht="48.75" customHeight="1">
      <c r="A6" s="162">
        <v>2</v>
      </c>
      <c r="B6" s="163" t="s">
        <v>148</v>
      </c>
      <c r="C6" s="164" t="s">
        <v>214</v>
      </c>
      <c r="D6" s="164">
        <v>30</v>
      </c>
      <c r="E6" s="453">
        <v>0</v>
      </c>
      <c r="F6" s="163">
        <f t="shared" si="0"/>
        <v>0</v>
      </c>
      <c r="G6" s="163">
        <f t="shared" si="1"/>
        <v>0</v>
      </c>
      <c r="H6" s="453">
        <v>0</v>
      </c>
      <c r="I6" s="163">
        <f t="shared" si="2"/>
        <v>0</v>
      </c>
      <c r="J6" s="163">
        <f t="shared" si="3"/>
        <v>0</v>
      </c>
      <c r="K6" s="163">
        <v>0</v>
      </c>
      <c r="L6" s="453">
        <v>0</v>
      </c>
      <c r="M6" s="163">
        <v>0</v>
      </c>
      <c r="N6" s="163">
        <v>0</v>
      </c>
      <c r="O6" s="163">
        <v>0</v>
      </c>
      <c r="P6" s="165">
        <f t="shared" si="4"/>
        <v>0</v>
      </c>
      <c r="Q6" s="166">
        <f t="shared" si="5"/>
        <v>0</v>
      </c>
      <c r="R6" s="167"/>
      <c r="S6" s="167"/>
      <c r="T6" s="167">
        <v>0</v>
      </c>
      <c r="U6" s="167">
        <f t="shared" si="6"/>
        <v>0</v>
      </c>
      <c r="V6" s="167">
        <v>7000</v>
      </c>
      <c r="W6" s="167">
        <f t="shared" si="7"/>
        <v>7000</v>
      </c>
      <c r="X6" s="167">
        <v>0</v>
      </c>
      <c r="Y6" s="167">
        <f t="shared" ref="Y6:Y7" si="12">V6-AB6</f>
        <v>7000</v>
      </c>
      <c r="Z6" s="167">
        <f>(V6+X6)/31</f>
        <v>225.80645161290323</v>
      </c>
      <c r="AA6" s="167">
        <f t="shared" ref="AA6:AA7" si="13">V6*45%</f>
        <v>3150</v>
      </c>
      <c r="AB6" s="168">
        <f t="shared" si="8"/>
        <v>0</v>
      </c>
      <c r="AC6" s="168"/>
      <c r="AD6" s="168">
        <f t="shared" si="9"/>
        <v>0</v>
      </c>
      <c r="AE6" s="167">
        <f t="shared" si="10"/>
        <v>0</v>
      </c>
      <c r="AF6" s="167"/>
      <c r="AG6" s="168">
        <v>0</v>
      </c>
      <c r="AH6" s="168">
        <v>0</v>
      </c>
      <c r="AI6" s="168">
        <f t="shared" si="11"/>
        <v>0</v>
      </c>
      <c r="AJ6" s="168">
        <f t="shared" ref="AJ6:AJ7" si="14">ROUND(SUM(W6:X6)-AI6,0)</f>
        <v>7000</v>
      </c>
      <c r="AK6" s="168">
        <v>0</v>
      </c>
      <c r="AL6" s="168">
        <v>0</v>
      </c>
      <c r="AM6" s="170"/>
      <c r="AN6" s="92" t="s">
        <v>216</v>
      </c>
    </row>
    <row r="7" spans="1:40" ht="48.75" customHeight="1">
      <c r="A7" s="162">
        <v>3</v>
      </c>
      <c r="B7" s="164" t="s">
        <v>141</v>
      </c>
      <c r="C7" s="164" t="s">
        <v>142</v>
      </c>
      <c r="D7" s="164">
        <v>30</v>
      </c>
      <c r="E7" s="454">
        <v>0</v>
      </c>
      <c r="F7" s="164">
        <f t="shared" si="0"/>
        <v>0</v>
      </c>
      <c r="G7" s="164">
        <f t="shared" si="1"/>
        <v>0</v>
      </c>
      <c r="H7" s="454">
        <v>0</v>
      </c>
      <c r="I7" s="164">
        <f>IF(H7&lt;1,H7,H7-1)</f>
        <v>0</v>
      </c>
      <c r="J7" s="164">
        <f t="shared" si="3"/>
        <v>0</v>
      </c>
      <c r="K7" s="163">
        <v>0</v>
      </c>
      <c r="L7" s="453">
        <v>0</v>
      </c>
      <c r="M7" s="164">
        <v>0</v>
      </c>
      <c r="N7" s="164">
        <v>0</v>
      </c>
      <c r="O7" s="164">
        <v>0</v>
      </c>
      <c r="P7" s="171">
        <f t="shared" si="4"/>
        <v>0</v>
      </c>
      <c r="Q7" s="172">
        <f>(F7*0.5)+(I7*0.5)+M7+(N7*2)</f>
        <v>0</v>
      </c>
      <c r="R7" s="166"/>
      <c r="S7" s="166"/>
      <c r="T7" s="166"/>
      <c r="U7" s="166">
        <f t="shared" si="6"/>
        <v>0</v>
      </c>
      <c r="V7" s="167">
        <v>7500</v>
      </c>
      <c r="W7" s="167">
        <f t="shared" si="7"/>
        <v>7500</v>
      </c>
      <c r="X7" s="167">
        <v>0</v>
      </c>
      <c r="Y7" s="167">
        <f t="shared" si="12"/>
        <v>7500</v>
      </c>
      <c r="Z7" s="167">
        <f>(V7+X7)/31</f>
        <v>241.93548387096774</v>
      </c>
      <c r="AA7" s="167">
        <f t="shared" si="13"/>
        <v>3375</v>
      </c>
      <c r="AB7" s="168">
        <f t="shared" si="8"/>
        <v>0</v>
      </c>
      <c r="AC7" s="168"/>
      <c r="AD7" s="168">
        <f t="shared" si="9"/>
        <v>0</v>
      </c>
      <c r="AE7" s="167">
        <f t="shared" si="10"/>
        <v>0</v>
      </c>
      <c r="AF7" s="167">
        <v>0</v>
      </c>
      <c r="AG7" s="168">
        <v>0</v>
      </c>
      <c r="AH7" s="168">
        <v>0</v>
      </c>
      <c r="AI7" s="168">
        <f t="shared" si="11"/>
        <v>0</v>
      </c>
      <c r="AJ7" s="168">
        <f t="shared" si="14"/>
        <v>7500</v>
      </c>
      <c r="AK7" s="168">
        <v>0</v>
      </c>
      <c r="AL7" s="168">
        <v>0</v>
      </c>
      <c r="AM7" s="173"/>
      <c r="AN7" s="88" t="s">
        <v>143</v>
      </c>
    </row>
    <row r="8" spans="1:40" ht="51" customHeight="1">
      <c r="A8" s="794" t="s">
        <v>123</v>
      </c>
      <c r="B8" s="637"/>
      <c r="C8" s="637"/>
      <c r="D8" s="637"/>
      <c r="E8" s="637"/>
      <c r="F8" s="637"/>
      <c r="G8" s="637"/>
      <c r="H8" s="637"/>
      <c r="I8" s="637"/>
      <c r="J8" s="637"/>
      <c r="K8" s="637"/>
      <c r="L8" s="637"/>
      <c r="M8" s="637"/>
      <c r="N8" s="637"/>
      <c r="O8" s="637"/>
      <c r="P8" s="637"/>
      <c r="Q8" s="628"/>
      <c r="R8" s="174">
        <f t="shared" ref="R8:AL8" si="15">SUM(R5:R7)</f>
        <v>0</v>
      </c>
      <c r="S8" s="174">
        <f t="shared" si="15"/>
        <v>0</v>
      </c>
      <c r="T8" s="174">
        <f t="shared" si="15"/>
        <v>0</v>
      </c>
      <c r="U8" s="174">
        <f t="shared" si="15"/>
        <v>0</v>
      </c>
      <c r="V8" s="174">
        <f t="shared" si="15"/>
        <v>40500</v>
      </c>
      <c r="W8" s="174">
        <f t="shared" si="15"/>
        <v>40500</v>
      </c>
      <c r="X8" s="174">
        <f t="shared" si="15"/>
        <v>0</v>
      </c>
      <c r="Y8" s="174">
        <f t="shared" si="15"/>
        <v>40500</v>
      </c>
      <c r="Z8" s="174">
        <f t="shared" si="15"/>
        <v>1306.4516129032259</v>
      </c>
      <c r="AA8" s="174">
        <f t="shared" si="15"/>
        <v>18225</v>
      </c>
      <c r="AB8" s="174">
        <f t="shared" si="15"/>
        <v>0</v>
      </c>
      <c r="AC8" s="174">
        <f t="shared" si="15"/>
        <v>0</v>
      </c>
      <c r="AD8" s="174">
        <f t="shared" si="15"/>
        <v>0</v>
      </c>
      <c r="AE8" s="174">
        <f t="shared" si="15"/>
        <v>0</v>
      </c>
      <c r="AF8" s="174">
        <f t="shared" si="15"/>
        <v>0</v>
      </c>
      <c r="AG8" s="174">
        <f t="shared" si="15"/>
        <v>0</v>
      </c>
      <c r="AH8" s="174">
        <f t="shared" si="15"/>
        <v>0</v>
      </c>
      <c r="AI8" s="174">
        <f t="shared" si="15"/>
        <v>0</v>
      </c>
      <c r="AJ8" s="174">
        <f t="shared" si="15"/>
        <v>40500</v>
      </c>
      <c r="AK8" s="174">
        <f t="shared" si="15"/>
        <v>0</v>
      </c>
      <c r="AL8" s="174">
        <f t="shared" si="15"/>
        <v>0</v>
      </c>
      <c r="AM8" s="175"/>
      <c r="AN8" s="78"/>
    </row>
    <row r="9" spans="1:40" ht="87.75" customHeight="1">
      <c r="A9" s="795" t="s">
        <v>34</v>
      </c>
      <c r="B9" s="770"/>
      <c r="C9" s="176"/>
      <c r="D9" s="176"/>
      <c r="E9" s="176"/>
      <c r="F9" s="176"/>
      <c r="G9" s="176"/>
      <c r="H9" s="176"/>
      <c r="I9" s="176"/>
      <c r="J9" s="176"/>
      <c r="K9" s="176"/>
      <c r="L9" s="176"/>
      <c r="M9" s="176"/>
      <c r="N9" s="176"/>
      <c r="O9" s="176"/>
      <c r="P9" s="176"/>
      <c r="Q9" s="176"/>
      <c r="R9" s="176"/>
      <c r="S9" s="176"/>
      <c r="T9" s="176"/>
      <c r="U9" s="176"/>
      <c r="V9" s="176" t="s">
        <v>35</v>
      </c>
      <c r="W9" s="176"/>
      <c r="X9" s="176"/>
      <c r="Y9" s="176"/>
      <c r="Z9" s="176"/>
      <c r="AA9" s="176"/>
      <c r="AB9" s="176"/>
      <c r="AC9" s="176"/>
      <c r="AD9" s="176"/>
      <c r="AE9" s="176"/>
      <c r="AF9" s="176"/>
      <c r="AG9" s="176"/>
      <c r="AH9" s="176"/>
      <c r="AI9" s="176"/>
      <c r="AJ9" s="176"/>
      <c r="AK9" s="176"/>
      <c r="AL9" s="796" t="s">
        <v>37</v>
      </c>
      <c r="AM9" s="772"/>
      <c r="AN9" s="177"/>
    </row>
    <row r="10" spans="1:40" ht="20.25" customHeight="1">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0"/>
      <c r="AB10" s="78"/>
      <c r="AC10" s="78"/>
      <c r="AD10" s="78"/>
      <c r="AE10" s="78"/>
      <c r="AF10" s="78"/>
      <c r="AG10" s="78"/>
      <c r="AH10" s="78"/>
      <c r="AI10" s="70"/>
      <c r="AJ10" s="78"/>
      <c r="AK10" s="78"/>
      <c r="AL10" s="78"/>
      <c r="AM10" s="78"/>
      <c r="AN10" s="78"/>
    </row>
    <row r="11" spans="1:40" ht="20.25" customHeight="1">
      <c r="A11" s="78"/>
      <c r="B11" s="78"/>
      <c r="C11" s="78"/>
      <c r="D11" s="178"/>
      <c r="E11" s="179"/>
      <c r="F11" s="179"/>
      <c r="G11" s="179"/>
      <c r="H11" s="179"/>
      <c r="I11" s="179"/>
      <c r="J11" s="179"/>
      <c r="K11" s="179"/>
      <c r="L11" s="179"/>
      <c r="M11" s="179"/>
      <c r="N11" s="179"/>
      <c r="O11" s="179"/>
      <c r="P11" s="180"/>
      <c r="Q11" s="181"/>
      <c r="R11" s="78"/>
      <c r="S11" s="78"/>
      <c r="T11" s="78"/>
      <c r="U11" s="78"/>
      <c r="V11" s="78"/>
      <c r="W11" s="78"/>
      <c r="X11" s="78"/>
      <c r="Y11" s="78"/>
      <c r="Z11" s="78"/>
      <c r="AA11" s="78"/>
      <c r="AB11" s="78"/>
      <c r="AC11" s="78"/>
      <c r="AD11" s="78"/>
      <c r="AE11" s="78"/>
      <c r="AF11" s="78"/>
      <c r="AG11" s="78"/>
      <c r="AH11" s="78"/>
      <c r="AI11" s="78"/>
      <c r="AJ11" s="78"/>
      <c r="AK11" s="70"/>
      <c r="AL11" s="78"/>
      <c r="AM11" s="78"/>
      <c r="AN11" s="78"/>
    </row>
    <row r="12" spans="1:40" ht="20.25" customHeight="1">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0"/>
      <c r="AL12" s="78"/>
      <c r="AM12" s="78"/>
      <c r="AN12" s="102"/>
    </row>
    <row r="13" spans="1:40" ht="20.25" customHeight="1">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78"/>
    </row>
    <row r="14" spans="1:40" ht="20.25" customHeight="1">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0"/>
      <c r="AK14" s="78"/>
      <c r="AL14" s="78"/>
      <c r="AM14" s="78"/>
      <c r="AN14" s="78"/>
    </row>
    <row r="15" spans="1:40" ht="20.25" customHeight="1">
      <c r="A15" s="78"/>
      <c r="B15" s="78"/>
      <c r="C15" s="78"/>
      <c r="D15" s="78"/>
      <c r="E15" s="182"/>
      <c r="F15" s="182"/>
      <c r="G15" s="182"/>
      <c r="H15" s="182"/>
      <c r="I15" s="182"/>
      <c r="J15" s="182"/>
      <c r="K15" s="182"/>
      <c r="L15" s="182"/>
      <c r="M15" s="182"/>
      <c r="N15" s="182"/>
      <c r="O15" s="182"/>
      <c r="P15" s="182"/>
      <c r="Q15" s="183"/>
      <c r="R15" s="184">
        <f>(G15*0.5)+(J15*0.5)+N15+(O15*2)</f>
        <v>0</v>
      </c>
      <c r="S15" s="78"/>
      <c r="T15" s="78"/>
      <c r="U15" s="78"/>
      <c r="V15" s="70"/>
      <c r="W15" s="70"/>
      <c r="X15" s="70"/>
      <c r="Y15" s="78"/>
      <c r="Z15" s="78"/>
      <c r="AA15" s="78"/>
      <c r="AB15" s="78"/>
      <c r="AC15" s="78"/>
      <c r="AD15" s="78"/>
      <c r="AE15" s="78"/>
      <c r="AF15" s="78"/>
      <c r="AG15" s="78"/>
      <c r="AH15" s="78"/>
      <c r="AI15" s="78"/>
      <c r="AJ15" s="78"/>
      <c r="AK15" s="78"/>
      <c r="AL15" s="78"/>
      <c r="AM15" s="78"/>
      <c r="AN15" s="78"/>
    </row>
    <row r="16" spans="1:40" ht="20.25" customHeight="1">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row>
    <row r="17" spans="1:40" ht="20.25" customHeight="1">
      <c r="A17" s="78"/>
      <c r="B17" s="78"/>
      <c r="C17" s="78"/>
      <c r="D17" s="78"/>
      <c r="E17" s="78"/>
      <c r="F17" s="78"/>
      <c r="G17" s="78"/>
      <c r="H17" s="78"/>
      <c r="I17" s="78"/>
      <c r="J17" s="78"/>
      <c r="K17" s="78"/>
      <c r="L17" s="78"/>
      <c r="M17" s="78"/>
      <c r="N17" s="78"/>
      <c r="O17" s="78"/>
      <c r="P17" s="78"/>
      <c r="Q17" s="78"/>
      <c r="R17" s="78"/>
      <c r="S17" s="78"/>
      <c r="T17" s="78"/>
      <c r="U17" s="78"/>
      <c r="V17" s="70"/>
      <c r="W17" s="70"/>
      <c r="X17" s="70"/>
      <c r="Y17" s="78"/>
      <c r="Z17" s="78"/>
      <c r="AA17" s="78"/>
      <c r="AB17" s="78"/>
      <c r="AC17" s="78"/>
      <c r="AD17" s="78"/>
      <c r="AE17" s="78"/>
      <c r="AF17" s="78"/>
      <c r="AG17" s="78"/>
      <c r="AH17" s="78"/>
      <c r="AI17" s="78"/>
      <c r="AJ17" s="70"/>
      <c r="AK17" s="78"/>
      <c r="AL17" s="78"/>
      <c r="AM17" s="78"/>
      <c r="AN17" s="102"/>
    </row>
    <row r="18" spans="1:40" ht="20.25" customHeight="1">
      <c r="A18" s="102"/>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row>
    <row r="19" spans="1:40" ht="20.25" customHeight="1">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78"/>
    </row>
    <row r="20" spans="1:40" ht="20.25" customHeight="1">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row>
    <row r="21" spans="1:40" ht="13.5" customHeight="1">
      <c r="A21" s="78"/>
      <c r="B21" s="78"/>
      <c r="C21" s="81"/>
      <c r="D21" s="78"/>
      <c r="E21" s="78"/>
      <c r="F21" s="78"/>
      <c r="G21" s="78"/>
      <c r="H21" s="78"/>
      <c r="I21" s="78"/>
      <c r="J21" s="78"/>
      <c r="K21" s="78"/>
      <c r="L21" s="78"/>
      <c r="M21" s="78"/>
      <c r="N21" s="78"/>
      <c r="O21" s="78"/>
      <c r="P21" s="78"/>
      <c r="Q21" s="103"/>
      <c r="R21" s="103"/>
      <c r="S21" s="103"/>
      <c r="T21" s="103"/>
      <c r="U21" s="103"/>
      <c r="V21" s="78"/>
      <c r="W21" s="78"/>
      <c r="X21" s="78"/>
      <c r="Y21" s="79"/>
      <c r="Z21" s="79"/>
      <c r="AA21" s="78"/>
      <c r="AB21" s="78"/>
      <c r="AC21" s="78"/>
      <c r="AD21" s="78"/>
      <c r="AE21" s="78"/>
      <c r="AF21" s="78"/>
      <c r="AG21" s="78"/>
      <c r="AH21" s="78"/>
      <c r="AI21" s="78"/>
      <c r="AJ21" s="78"/>
      <c r="AK21" s="78"/>
      <c r="AL21" s="78"/>
      <c r="AM21" s="81"/>
      <c r="AN21" s="78"/>
    </row>
    <row r="22" spans="1:40" ht="13.5" customHeight="1">
      <c r="A22" s="78"/>
      <c r="B22" s="78"/>
      <c r="C22" s="81"/>
      <c r="D22" s="78"/>
      <c r="E22" s="78"/>
      <c r="F22" s="78"/>
      <c r="G22" s="78"/>
      <c r="H22" s="78"/>
      <c r="I22" s="78"/>
      <c r="J22" s="78"/>
      <c r="K22" s="78"/>
      <c r="L22" s="78"/>
      <c r="M22" s="78"/>
      <c r="N22" s="78"/>
      <c r="O22" s="78"/>
      <c r="P22" s="78"/>
      <c r="Q22" s="103"/>
      <c r="R22" s="103"/>
      <c r="S22" s="103"/>
      <c r="T22" s="103"/>
      <c r="U22" s="103"/>
      <c r="V22" s="78"/>
      <c r="W22" s="78"/>
      <c r="X22" s="78"/>
      <c r="Y22" s="79"/>
      <c r="Z22" s="79"/>
      <c r="AA22" s="78"/>
      <c r="AB22" s="78"/>
      <c r="AC22" s="78"/>
      <c r="AD22" s="78"/>
      <c r="AE22" s="78"/>
      <c r="AF22" s="78"/>
      <c r="AG22" s="78"/>
      <c r="AH22" s="78"/>
      <c r="AI22" s="78"/>
      <c r="AJ22" s="78"/>
      <c r="AK22" s="78"/>
      <c r="AL22" s="78"/>
      <c r="AM22" s="81"/>
      <c r="AN22" s="78"/>
    </row>
    <row r="23" spans="1:40" ht="13.5" customHeight="1">
      <c r="A23" s="78"/>
      <c r="B23" s="78"/>
      <c r="C23" s="81"/>
      <c r="D23" s="78"/>
      <c r="E23" s="78"/>
      <c r="F23" s="78"/>
      <c r="G23" s="78"/>
      <c r="H23" s="78"/>
      <c r="I23" s="78"/>
      <c r="J23" s="78"/>
      <c r="K23" s="78"/>
      <c r="L23" s="78"/>
      <c r="M23" s="78"/>
      <c r="N23" s="78"/>
      <c r="O23" s="78"/>
      <c r="P23" s="78"/>
      <c r="Q23" s="103"/>
      <c r="R23" s="103"/>
      <c r="S23" s="103"/>
      <c r="T23" s="103"/>
      <c r="U23" s="103"/>
      <c r="V23" s="78"/>
      <c r="W23" s="78"/>
      <c r="X23" s="78"/>
      <c r="Y23" s="79"/>
      <c r="Z23" s="79"/>
      <c r="AA23" s="78"/>
      <c r="AB23" s="78"/>
      <c r="AC23" s="78"/>
      <c r="AD23" s="78"/>
      <c r="AE23" s="78"/>
      <c r="AF23" s="78"/>
      <c r="AG23" s="78"/>
      <c r="AH23" s="78"/>
      <c r="AI23" s="78"/>
      <c r="AJ23" s="78"/>
      <c r="AK23" s="78"/>
      <c r="AL23" s="78"/>
      <c r="AM23" s="81"/>
      <c r="AN23" s="78"/>
    </row>
    <row r="24" spans="1:40" ht="13.5" customHeight="1">
      <c r="A24" s="78"/>
      <c r="B24" s="78"/>
      <c r="C24" s="81"/>
      <c r="D24" s="78"/>
      <c r="E24" s="78"/>
      <c r="F24" s="78"/>
      <c r="G24" s="78"/>
      <c r="H24" s="78"/>
      <c r="I24" s="78"/>
      <c r="J24" s="78"/>
      <c r="K24" s="78"/>
      <c r="L24" s="78"/>
      <c r="M24" s="78"/>
      <c r="N24" s="78"/>
      <c r="O24" s="78"/>
      <c r="P24" s="78"/>
      <c r="Q24" s="103"/>
      <c r="R24" s="103"/>
      <c r="S24" s="103"/>
      <c r="T24" s="103"/>
      <c r="U24" s="103"/>
      <c r="V24" s="78"/>
      <c r="W24" s="78"/>
      <c r="X24" s="78"/>
      <c r="Y24" s="79"/>
      <c r="Z24" s="79"/>
      <c r="AA24" s="78"/>
      <c r="AB24" s="78"/>
      <c r="AC24" s="78"/>
      <c r="AD24" s="78"/>
      <c r="AE24" s="78"/>
      <c r="AF24" s="78"/>
      <c r="AG24" s="78"/>
      <c r="AH24" s="78"/>
      <c r="AI24" s="78"/>
      <c r="AJ24" s="78"/>
      <c r="AK24" s="78"/>
      <c r="AL24" s="78"/>
      <c r="AM24" s="81"/>
      <c r="AN24" s="78"/>
    </row>
    <row r="25" spans="1:40" ht="13.5" customHeight="1">
      <c r="A25" s="78"/>
      <c r="B25" s="78"/>
      <c r="C25" s="81"/>
      <c r="D25" s="78"/>
      <c r="E25" s="78"/>
      <c r="F25" s="78"/>
      <c r="G25" s="78"/>
      <c r="H25" s="78"/>
      <c r="I25" s="78"/>
      <c r="J25" s="78"/>
      <c r="K25" s="78"/>
      <c r="L25" s="78"/>
      <c r="M25" s="78"/>
      <c r="N25" s="78"/>
      <c r="O25" s="78"/>
      <c r="P25" s="78"/>
      <c r="Q25" s="103"/>
      <c r="R25" s="103"/>
      <c r="S25" s="103"/>
      <c r="T25" s="103"/>
      <c r="U25" s="103"/>
      <c r="V25" s="78"/>
      <c r="W25" s="78"/>
      <c r="X25" s="78"/>
      <c r="Y25" s="79"/>
      <c r="Z25" s="79"/>
      <c r="AA25" s="78"/>
      <c r="AB25" s="78"/>
      <c r="AC25" s="78"/>
      <c r="AD25" s="78"/>
      <c r="AE25" s="78"/>
      <c r="AF25" s="78"/>
      <c r="AG25" s="78"/>
      <c r="AH25" s="78"/>
      <c r="AI25" s="78"/>
      <c r="AJ25" s="78"/>
      <c r="AK25" s="78"/>
      <c r="AL25" s="78"/>
      <c r="AM25" s="81"/>
      <c r="AN25" s="78"/>
    </row>
    <row r="26" spans="1:40" ht="13.5" customHeight="1">
      <c r="A26" s="78"/>
      <c r="B26" s="78"/>
      <c r="C26" s="81"/>
      <c r="D26" s="78"/>
      <c r="E26" s="78"/>
      <c r="F26" s="78"/>
      <c r="G26" s="78"/>
      <c r="H26" s="78"/>
      <c r="I26" s="78"/>
      <c r="J26" s="78"/>
      <c r="K26" s="78"/>
      <c r="L26" s="78"/>
      <c r="M26" s="78"/>
      <c r="N26" s="78"/>
      <c r="O26" s="78"/>
      <c r="P26" s="78"/>
      <c r="Q26" s="103"/>
      <c r="R26" s="103"/>
      <c r="S26" s="103"/>
      <c r="T26" s="103"/>
      <c r="U26" s="103"/>
      <c r="V26" s="78"/>
      <c r="W26" s="78"/>
      <c r="X26" s="78"/>
      <c r="Y26" s="79"/>
      <c r="Z26" s="79"/>
      <c r="AA26" s="78"/>
      <c r="AB26" s="78"/>
      <c r="AC26" s="78"/>
      <c r="AD26" s="78"/>
      <c r="AE26" s="78"/>
      <c r="AF26" s="78"/>
      <c r="AG26" s="78"/>
      <c r="AH26" s="78"/>
      <c r="AI26" s="78"/>
      <c r="AJ26" s="78"/>
      <c r="AK26" s="78"/>
      <c r="AL26" s="78"/>
      <c r="AM26" s="81"/>
      <c r="AN26" s="78"/>
    </row>
    <row r="27" spans="1:40" ht="13.5" customHeight="1">
      <c r="A27" s="78"/>
      <c r="B27" s="78"/>
      <c r="C27" s="81"/>
      <c r="D27" s="78"/>
      <c r="E27" s="78"/>
      <c r="F27" s="78"/>
      <c r="G27" s="78"/>
      <c r="H27" s="78"/>
      <c r="I27" s="78"/>
      <c r="J27" s="78"/>
      <c r="K27" s="78"/>
      <c r="L27" s="78"/>
      <c r="M27" s="78"/>
      <c r="N27" s="78"/>
      <c r="O27" s="78"/>
      <c r="P27" s="78"/>
      <c r="Q27" s="103"/>
      <c r="R27" s="103"/>
      <c r="S27" s="103"/>
      <c r="T27" s="103"/>
      <c r="U27" s="103"/>
      <c r="V27" s="78"/>
      <c r="W27" s="78"/>
      <c r="X27" s="78"/>
      <c r="Y27" s="79"/>
      <c r="Z27" s="79"/>
      <c r="AA27" s="78"/>
      <c r="AB27" s="78"/>
      <c r="AC27" s="78"/>
      <c r="AD27" s="78"/>
      <c r="AE27" s="78"/>
      <c r="AF27" s="78"/>
      <c r="AG27" s="78"/>
      <c r="AH27" s="78"/>
      <c r="AI27" s="78"/>
      <c r="AJ27" s="78"/>
      <c r="AK27" s="78"/>
      <c r="AL27" s="78"/>
      <c r="AM27" s="81"/>
      <c r="AN27" s="78"/>
    </row>
    <row r="28" spans="1:40" ht="13.5" customHeight="1">
      <c r="A28" s="78"/>
      <c r="B28" s="78"/>
      <c r="C28" s="81"/>
      <c r="D28" s="78"/>
      <c r="E28" s="78"/>
      <c r="F28" s="78"/>
      <c r="G28" s="78"/>
      <c r="H28" s="78"/>
      <c r="I28" s="78"/>
      <c r="J28" s="78"/>
      <c r="K28" s="78"/>
      <c r="L28" s="78"/>
      <c r="M28" s="78"/>
      <c r="N28" s="78"/>
      <c r="O28" s="78"/>
      <c r="P28" s="78"/>
      <c r="Q28" s="103"/>
      <c r="R28" s="103"/>
      <c r="S28" s="103"/>
      <c r="T28" s="103"/>
      <c r="U28" s="103"/>
      <c r="V28" s="78"/>
      <c r="W28" s="78"/>
      <c r="X28" s="78"/>
      <c r="Y28" s="79"/>
      <c r="Z28" s="79"/>
      <c r="AA28" s="78"/>
      <c r="AB28" s="78"/>
      <c r="AC28" s="78"/>
      <c r="AD28" s="78"/>
      <c r="AE28" s="78"/>
      <c r="AF28" s="78"/>
      <c r="AG28" s="78"/>
      <c r="AH28" s="78"/>
      <c r="AI28" s="78"/>
      <c r="AJ28" s="78"/>
      <c r="AK28" s="78"/>
      <c r="AL28" s="78"/>
      <c r="AM28" s="81"/>
      <c r="AN28" s="78"/>
    </row>
    <row r="29" spans="1:40" ht="13.5" customHeight="1">
      <c r="A29" s="78"/>
      <c r="B29" s="78"/>
      <c r="C29" s="81"/>
      <c r="D29" s="78"/>
      <c r="E29" s="78"/>
      <c r="F29" s="78"/>
      <c r="G29" s="78"/>
      <c r="H29" s="78"/>
      <c r="I29" s="78"/>
      <c r="J29" s="78"/>
      <c r="K29" s="78"/>
      <c r="L29" s="78"/>
      <c r="M29" s="78"/>
      <c r="N29" s="78"/>
      <c r="O29" s="78"/>
      <c r="P29" s="78"/>
      <c r="Q29" s="103"/>
      <c r="R29" s="103"/>
      <c r="S29" s="103"/>
      <c r="T29" s="103"/>
      <c r="U29" s="103"/>
      <c r="V29" s="78"/>
      <c r="W29" s="78"/>
      <c r="X29" s="78"/>
      <c r="Y29" s="79"/>
      <c r="Z29" s="79"/>
      <c r="AA29" s="78"/>
      <c r="AB29" s="78"/>
      <c r="AC29" s="78"/>
      <c r="AD29" s="78"/>
      <c r="AE29" s="78"/>
      <c r="AF29" s="78"/>
      <c r="AG29" s="78"/>
      <c r="AH29" s="78"/>
      <c r="AI29" s="78"/>
      <c r="AJ29" s="78"/>
      <c r="AK29" s="78"/>
      <c r="AL29" s="78"/>
      <c r="AM29" s="81"/>
      <c r="AN29" s="78"/>
    </row>
    <row r="30" spans="1:40" ht="13.5" customHeight="1">
      <c r="A30" s="78"/>
      <c r="B30" s="78"/>
      <c r="C30" s="81"/>
      <c r="D30" s="78"/>
      <c r="E30" s="78"/>
      <c r="F30" s="78"/>
      <c r="G30" s="78"/>
      <c r="H30" s="78"/>
      <c r="I30" s="78"/>
      <c r="J30" s="78"/>
      <c r="K30" s="78"/>
      <c r="L30" s="78"/>
      <c r="M30" s="78"/>
      <c r="N30" s="78"/>
      <c r="O30" s="78"/>
      <c r="P30" s="78"/>
      <c r="Q30" s="103"/>
      <c r="R30" s="103"/>
      <c r="S30" s="103"/>
      <c r="T30" s="103"/>
      <c r="U30" s="103"/>
      <c r="V30" s="78"/>
      <c r="W30" s="78"/>
      <c r="X30" s="78"/>
      <c r="Y30" s="79"/>
      <c r="Z30" s="79"/>
      <c r="AA30" s="78"/>
      <c r="AB30" s="78"/>
      <c r="AC30" s="78"/>
      <c r="AD30" s="78"/>
      <c r="AE30" s="78"/>
      <c r="AF30" s="78"/>
      <c r="AG30" s="78"/>
      <c r="AH30" s="78"/>
      <c r="AI30" s="78"/>
      <c r="AJ30" s="78"/>
      <c r="AK30" s="78"/>
      <c r="AL30" s="78"/>
      <c r="AM30" s="81"/>
      <c r="AN30" s="78"/>
    </row>
    <row r="31" spans="1:40" ht="13.5" customHeight="1">
      <c r="A31" s="78"/>
      <c r="B31" s="78"/>
      <c r="C31" s="81"/>
      <c r="D31" s="78"/>
      <c r="E31" s="78"/>
      <c r="F31" s="78"/>
      <c r="G31" s="78"/>
      <c r="H31" s="78"/>
      <c r="I31" s="78"/>
      <c r="J31" s="78"/>
      <c r="K31" s="78"/>
      <c r="L31" s="78"/>
      <c r="M31" s="78"/>
      <c r="N31" s="78"/>
      <c r="O31" s="78"/>
      <c r="P31" s="78"/>
      <c r="Q31" s="103"/>
      <c r="R31" s="103"/>
      <c r="S31" s="103"/>
      <c r="T31" s="103"/>
      <c r="U31" s="103"/>
      <c r="V31" s="78"/>
      <c r="W31" s="78"/>
      <c r="X31" s="78"/>
      <c r="Y31" s="79"/>
      <c r="Z31" s="79"/>
      <c r="AA31" s="78"/>
      <c r="AB31" s="78"/>
      <c r="AC31" s="78"/>
      <c r="AD31" s="78"/>
      <c r="AE31" s="78"/>
      <c r="AF31" s="78"/>
      <c r="AG31" s="78"/>
      <c r="AH31" s="78"/>
      <c r="AI31" s="78"/>
      <c r="AJ31" s="78"/>
      <c r="AK31" s="78"/>
      <c r="AL31" s="78"/>
      <c r="AM31" s="81"/>
      <c r="AN31" s="78"/>
    </row>
    <row r="32" spans="1:40" ht="13.5" customHeight="1">
      <c r="A32" s="78"/>
      <c r="B32" s="78"/>
      <c r="C32" s="81"/>
      <c r="D32" s="78"/>
      <c r="E32" s="78"/>
      <c r="F32" s="78"/>
      <c r="G32" s="78"/>
      <c r="H32" s="78"/>
      <c r="I32" s="78"/>
      <c r="J32" s="78"/>
      <c r="K32" s="78"/>
      <c r="L32" s="78"/>
      <c r="M32" s="78"/>
      <c r="N32" s="78"/>
      <c r="O32" s="78"/>
      <c r="P32" s="78"/>
      <c r="Q32" s="103"/>
      <c r="R32" s="103"/>
      <c r="S32" s="103"/>
      <c r="T32" s="103"/>
      <c r="U32" s="103"/>
      <c r="V32" s="78"/>
      <c r="W32" s="78"/>
      <c r="X32" s="78"/>
      <c r="Y32" s="79"/>
      <c r="Z32" s="79"/>
      <c r="AA32" s="78"/>
      <c r="AB32" s="78"/>
      <c r="AC32" s="78"/>
      <c r="AD32" s="78"/>
      <c r="AE32" s="78"/>
      <c r="AF32" s="78"/>
      <c r="AG32" s="78"/>
      <c r="AH32" s="78"/>
      <c r="AI32" s="78"/>
      <c r="AJ32" s="78"/>
      <c r="AK32" s="78"/>
      <c r="AL32" s="78"/>
      <c r="AM32" s="81"/>
      <c r="AN32" s="78"/>
    </row>
    <row r="33" spans="1:40" ht="13.5" customHeight="1">
      <c r="A33" s="78"/>
      <c r="B33" s="78"/>
      <c r="C33" s="81"/>
      <c r="D33" s="78"/>
      <c r="E33" s="78"/>
      <c r="F33" s="78"/>
      <c r="G33" s="78"/>
      <c r="H33" s="78"/>
      <c r="I33" s="78"/>
      <c r="J33" s="78"/>
      <c r="K33" s="78"/>
      <c r="L33" s="78"/>
      <c r="M33" s="78"/>
      <c r="N33" s="78"/>
      <c r="O33" s="78"/>
      <c r="P33" s="78"/>
      <c r="Q33" s="103"/>
      <c r="R33" s="103"/>
      <c r="S33" s="103"/>
      <c r="T33" s="103"/>
      <c r="U33" s="103"/>
      <c r="V33" s="78"/>
      <c r="W33" s="78"/>
      <c r="X33" s="78"/>
      <c r="Y33" s="79"/>
      <c r="Z33" s="79"/>
      <c r="AA33" s="78"/>
      <c r="AB33" s="78"/>
      <c r="AC33" s="78"/>
      <c r="AD33" s="78"/>
      <c r="AE33" s="78"/>
      <c r="AF33" s="78"/>
      <c r="AG33" s="78"/>
      <c r="AH33" s="78"/>
      <c r="AI33" s="78"/>
      <c r="AJ33" s="78"/>
      <c r="AK33" s="78"/>
      <c r="AL33" s="78"/>
      <c r="AM33" s="81"/>
      <c r="AN33" s="78"/>
    </row>
    <row r="34" spans="1:40" ht="13.5" customHeight="1">
      <c r="A34" s="78"/>
      <c r="B34" s="78"/>
      <c r="C34" s="81"/>
      <c r="D34" s="78"/>
      <c r="E34" s="78"/>
      <c r="F34" s="78"/>
      <c r="G34" s="78"/>
      <c r="H34" s="78"/>
      <c r="I34" s="78"/>
      <c r="J34" s="78"/>
      <c r="K34" s="78"/>
      <c r="L34" s="78"/>
      <c r="M34" s="78"/>
      <c r="N34" s="78"/>
      <c r="O34" s="78"/>
      <c r="P34" s="78"/>
      <c r="Q34" s="103"/>
      <c r="R34" s="103"/>
      <c r="S34" s="103"/>
      <c r="T34" s="103"/>
      <c r="U34" s="103"/>
      <c r="V34" s="78"/>
      <c r="W34" s="78"/>
      <c r="X34" s="78"/>
      <c r="Y34" s="79"/>
      <c r="Z34" s="79"/>
      <c r="AA34" s="78"/>
      <c r="AB34" s="78"/>
      <c r="AC34" s="78"/>
      <c r="AD34" s="78"/>
      <c r="AE34" s="78"/>
      <c r="AF34" s="78"/>
      <c r="AG34" s="78"/>
      <c r="AH34" s="78"/>
      <c r="AI34" s="78"/>
      <c r="AJ34" s="78"/>
      <c r="AK34" s="78"/>
      <c r="AL34" s="78"/>
      <c r="AM34" s="81"/>
      <c r="AN34" s="78"/>
    </row>
    <row r="35" spans="1:40" ht="13.5" customHeight="1">
      <c r="A35" s="78"/>
      <c r="B35" s="78"/>
      <c r="C35" s="81"/>
      <c r="D35" s="78"/>
      <c r="E35" s="78"/>
      <c r="F35" s="78"/>
      <c r="G35" s="78"/>
      <c r="H35" s="78"/>
      <c r="I35" s="78"/>
      <c r="J35" s="78"/>
      <c r="K35" s="78"/>
      <c r="L35" s="78"/>
      <c r="M35" s="78"/>
      <c r="N35" s="78"/>
      <c r="O35" s="78"/>
      <c r="P35" s="78"/>
      <c r="Q35" s="103"/>
      <c r="R35" s="103"/>
      <c r="S35" s="103"/>
      <c r="T35" s="103"/>
      <c r="U35" s="103"/>
      <c r="V35" s="78"/>
      <c r="W35" s="78"/>
      <c r="X35" s="78"/>
      <c r="Y35" s="79"/>
      <c r="Z35" s="79"/>
      <c r="AA35" s="78"/>
      <c r="AB35" s="78"/>
      <c r="AC35" s="78"/>
      <c r="AD35" s="78"/>
      <c r="AE35" s="78"/>
      <c r="AF35" s="78"/>
      <c r="AG35" s="78"/>
      <c r="AH35" s="78"/>
      <c r="AI35" s="78"/>
      <c r="AJ35" s="78"/>
      <c r="AK35" s="78"/>
      <c r="AL35" s="78"/>
      <c r="AM35" s="81"/>
      <c r="AN35" s="78"/>
    </row>
    <row r="36" spans="1:40" ht="13.5" customHeight="1">
      <c r="A36" s="78"/>
      <c r="B36" s="78"/>
      <c r="C36" s="81"/>
      <c r="D36" s="78"/>
      <c r="E36" s="78"/>
      <c r="F36" s="78"/>
      <c r="G36" s="78"/>
      <c r="H36" s="78"/>
      <c r="I36" s="78"/>
      <c r="J36" s="78"/>
      <c r="K36" s="78"/>
      <c r="L36" s="78"/>
      <c r="M36" s="78"/>
      <c r="N36" s="78"/>
      <c r="O36" s="78"/>
      <c r="P36" s="78"/>
      <c r="Q36" s="103"/>
      <c r="R36" s="103"/>
      <c r="S36" s="103"/>
      <c r="T36" s="103"/>
      <c r="U36" s="103"/>
      <c r="V36" s="78"/>
      <c r="W36" s="78"/>
      <c r="X36" s="78"/>
      <c r="Y36" s="79"/>
      <c r="Z36" s="79"/>
      <c r="AA36" s="78"/>
      <c r="AB36" s="78"/>
      <c r="AC36" s="78"/>
      <c r="AD36" s="78"/>
      <c r="AE36" s="78"/>
      <c r="AF36" s="78"/>
      <c r="AG36" s="78"/>
      <c r="AH36" s="78"/>
      <c r="AI36" s="78"/>
      <c r="AJ36" s="78"/>
      <c r="AK36" s="78"/>
      <c r="AL36" s="78"/>
      <c r="AM36" s="81"/>
      <c r="AN36" s="78"/>
    </row>
    <row r="37" spans="1:40" ht="13.5" customHeight="1">
      <c r="A37" s="78"/>
      <c r="B37" s="78"/>
      <c r="C37" s="81"/>
      <c r="D37" s="78"/>
      <c r="E37" s="78"/>
      <c r="F37" s="78"/>
      <c r="G37" s="78"/>
      <c r="H37" s="78"/>
      <c r="I37" s="78"/>
      <c r="J37" s="78"/>
      <c r="K37" s="78"/>
      <c r="L37" s="78"/>
      <c r="M37" s="78"/>
      <c r="N37" s="78"/>
      <c r="O37" s="78"/>
      <c r="P37" s="78"/>
      <c r="Q37" s="103"/>
      <c r="R37" s="103"/>
      <c r="S37" s="103"/>
      <c r="T37" s="103"/>
      <c r="U37" s="103"/>
      <c r="V37" s="78"/>
      <c r="W37" s="78"/>
      <c r="X37" s="78"/>
      <c r="Y37" s="79"/>
      <c r="Z37" s="79"/>
      <c r="AA37" s="78"/>
      <c r="AB37" s="78"/>
      <c r="AC37" s="78"/>
      <c r="AD37" s="78"/>
      <c r="AE37" s="78"/>
      <c r="AF37" s="78"/>
      <c r="AG37" s="78"/>
      <c r="AH37" s="78"/>
      <c r="AI37" s="78"/>
      <c r="AJ37" s="78"/>
      <c r="AK37" s="78"/>
      <c r="AL37" s="78"/>
      <c r="AM37" s="81"/>
      <c r="AN37" s="78"/>
    </row>
    <row r="38" spans="1:40" ht="13.5" customHeight="1">
      <c r="A38" s="78"/>
      <c r="B38" s="78"/>
      <c r="C38" s="81"/>
      <c r="D38" s="78"/>
      <c r="E38" s="78"/>
      <c r="F38" s="78"/>
      <c r="G38" s="78"/>
      <c r="H38" s="78"/>
      <c r="I38" s="78"/>
      <c r="J38" s="78"/>
      <c r="K38" s="78"/>
      <c r="L38" s="78"/>
      <c r="M38" s="78"/>
      <c r="N38" s="78"/>
      <c r="O38" s="78"/>
      <c r="P38" s="78"/>
      <c r="Q38" s="103"/>
      <c r="R38" s="103"/>
      <c r="S38" s="103"/>
      <c r="T38" s="103"/>
      <c r="U38" s="103"/>
      <c r="V38" s="78"/>
      <c r="W38" s="78"/>
      <c r="X38" s="78"/>
      <c r="Y38" s="79"/>
      <c r="Z38" s="79"/>
      <c r="AA38" s="78"/>
      <c r="AB38" s="78"/>
      <c r="AC38" s="78"/>
      <c r="AD38" s="78"/>
      <c r="AE38" s="78"/>
      <c r="AF38" s="78"/>
      <c r="AG38" s="78"/>
      <c r="AH38" s="78"/>
      <c r="AI38" s="78"/>
      <c r="AJ38" s="78"/>
      <c r="AK38" s="78"/>
      <c r="AL38" s="78"/>
      <c r="AM38" s="81"/>
      <c r="AN38" s="78"/>
    </row>
    <row r="39" spans="1:40" ht="13.5" customHeight="1">
      <c r="A39" s="78"/>
      <c r="B39" s="78"/>
      <c r="C39" s="81"/>
      <c r="D39" s="78"/>
      <c r="E39" s="78"/>
      <c r="F39" s="78"/>
      <c r="G39" s="78"/>
      <c r="H39" s="78"/>
      <c r="I39" s="78"/>
      <c r="J39" s="78"/>
      <c r="K39" s="78"/>
      <c r="L39" s="78"/>
      <c r="M39" s="78"/>
      <c r="N39" s="78"/>
      <c r="O39" s="78"/>
      <c r="P39" s="78"/>
      <c r="Q39" s="103"/>
      <c r="R39" s="103"/>
      <c r="S39" s="103"/>
      <c r="T39" s="103"/>
      <c r="U39" s="103"/>
      <c r="V39" s="78"/>
      <c r="W39" s="78"/>
      <c r="X39" s="78"/>
      <c r="Y39" s="79"/>
      <c r="Z39" s="79"/>
      <c r="AA39" s="78"/>
      <c r="AB39" s="78"/>
      <c r="AC39" s="78"/>
      <c r="AD39" s="78"/>
      <c r="AE39" s="78"/>
      <c r="AF39" s="78"/>
      <c r="AG39" s="78"/>
      <c r="AH39" s="78"/>
      <c r="AI39" s="78"/>
      <c r="AJ39" s="78"/>
      <c r="AK39" s="78"/>
      <c r="AL39" s="78"/>
      <c r="AM39" s="81"/>
      <c r="AN39" s="78"/>
    </row>
    <row r="40" spans="1:40" ht="13.5" customHeight="1">
      <c r="A40" s="78"/>
      <c r="B40" s="78"/>
      <c r="C40" s="81"/>
      <c r="D40" s="78"/>
      <c r="E40" s="78"/>
      <c r="F40" s="78"/>
      <c r="G40" s="78"/>
      <c r="H40" s="78"/>
      <c r="I40" s="78"/>
      <c r="J40" s="78"/>
      <c r="K40" s="78"/>
      <c r="L40" s="78"/>
      <c r="M40" s="78"/>
      <c r="N40" s="78"/>
      <c r="O40" s="78"/>
      <c r="P40" s="78"/>
      <c r="Q40" s="103"/>
      <c r="R40" s="103"/>
      <c r="S40" s="103"/>
      <c r="T40" s="103"/>
      <c r="U40" s="103"/>
      <c r="V40" s="78"/>
      <c r="W40" s="78"/>
      <c r="X40" s="78"/>
      <c r="Y40" s="79"/>
      <c r="Z40" s="79"/>
      <c r="AA40" s="78"/>
      <c r="AB40" s="78"/>
      <c r="AC40" s="78"/>
      <c r="AD40" s="78"/>
      <c r="AE40" s="78"/>
      <c r="AF40" s="78"/>
      <c r="AG40" s="78"/>
      <c r="AH40" s="78"/>
      <c r="AI40" s="78"/>
      <c r="AJ40" s="78"/>
      <c r="AK40" s="78"/>
      <c r="AL40" s="78"/>
      <c r="AM40" s="81"/>
      <c r="AN40" s="78"/>
    </row>
    <row r="41" spans="1:40" ht="13.5" customHeight="1">
      <c r="A41" s="78"/>
      <c r="B41" s="78"/>
      <c r="C41" s="81"/>
      <c r="D41" s="78"/>
      <c r="E41" s="78"/>
      <c r="F41" s="78"/>
      <c r="G41" s="78"/>
      <c r="H41" s="78"/>
      <c r="I41" s="78"/>
      <c r="J41" s="78"/>
      <c r="K41" s="78"/>
      <c r="L41" s="78"/>
      <c r="M41" s="78"/>
      <c r="N41" s="78"/>
      <c r="O41" s="78"/>
      <c r="P41" s="78"/>
      <c r="Q41" s="103"/>
      <c r="R41" s="103"/>
      <c r="S41" s="103"/>
      <c r="T41" s="103"/>
      <c r="U41" s="103"/>
      <c r="V41" s="78"/>
      <c r="W41" s="78"/>
      <c r="X41" s="78"/>
      <c r="Y41" s="79"/>
      <c r="Z41" s="79"/>
      <c r="AA41" s="78"/>
      <c r="AB41" s="78"/>
      <c r="AC41" s="78"/>
      <c r="AD41" s="78"/>
      <c r="AE41" s="78"/>
      <c r="AF41" s="78"/>
      <c r="AG41" s="78"/>
      <c r="AH41" s="78"/>
      <c r="AI41" s="78"/>
      <c r="AJ41" s="78"/>
      <c r="AK41" s="78"/>
      <c r="AL41" s="78"/>
      <c r="AM41" s="81"/>
      <c r="AN41" s="78"/>
    </row>
    <row r="42" spans="1:40" ht="13.5" customHeight="1">
      <c r="A42" s="78"/>
      <c r="B42" s="78"/>
      <c r="C42" s="81"/>
      <c r="D42" s="78"/>
      <c r="E42" s="78"/>
      <c r="F42" s="78"/>
      <c r="G42" s="78"/>
      <c r="H42" s="78"/>
      <c r="I42" s="78"/>
      <c r="J42" s="78"/>
      <c r="K42" s="78"/>
      <c r="L42" s="78"/>
      <c r="M42" s="78"/>
      <c r="N42" s="78"/>
      <c r="O42" s="78"/>
      <c r="P42" s="78"/>
      <c r="Q42" s="103"/>
      <c r="R42" s="103"/>
      <c r="S42" s="103"/>
      <c r="T42" s="103"/>
      <c r="U42" s="103"/>
      <c r="V42" s="78"/>
      <c r="W42" s="78"/>
      <c r="X42" s="78"/>
      <c r="Y42" s="79"/>
      <c r="Z42" s="79"/>
      <c r="AA42" s="78"/>
      <c r="AB42" s="78"/>
      <c r="AC42" s="78"/>
      <c r="AD42" s="78"/>
      <c r="AE42" s="78"/>
      <c r="AF42" s="78"/>
      <c r="AG42" s="78"/>
      <c r="AH42" s="78"/>
      <c r="AI42" s="78"/>
      <c r="AJ42" s="78"/>
      <c r="AK42" s="78"/>
      <c r="AL42" s="78"/>
      <c r="AM42" s="81"/>
      <c r="AN42" s="78"/>
    </row>
    <row r="43" spans="1:40" ht="13.5" customHeight="1">
      <c r="A43" s="78"/>
      <c r="B43" s="78"/>
      <c r="C43" s="81"/>
      <c r="D43" s="78"/>
      <c r="E43" s="78"/>
      <c r="F43" s="78"/>
      <c r="G43" s="78"/>
      <c r="H43" s="78"/>
      <c r="I43" s="78"/>
      <c r="J43" s="78"/>
      <c r="K43" s="78"/>
      <c r="L43" s="78"/>
      <c r="M43" s="78"/>
      <c r="N43" s="78"/>
      <c r="O43" s="78"/>
      <c r="P43" s="78"/>
      <c r="Q43" s="103"/>
      <c r="R43" s="103"/>
      <c r="S43" s="103"/>
      <c r="T43" s="103"/>
      <c r="U43" s="103"/>
      <c r="V43" s="78"/>
      <c r="W43" s="78"/>
      <c r="X43" s="78"/>
      <c r="Y43" s="79"/>
      <c r="Z43" s="79"/>
      <c r="AA43" s="78"/>
      <c r="AB43" s="78"/>
      <c r="AC43" s="78"/>
      <c r="AD43" s="78"/>
      <c r="AE43" s="78"/>
      <c r="AF43" s="78"/>
      <c r="AG43" s="78"/>
      <c r="AH43" s="78"/>
      <c r="AI43" s="78"/>
      <c r="AJ43" s="78"/>
      <c r="AK43" s="78"/>
      <c r="AL43" s="78"/>
      <c r="AM43" s="81"/>
      <c r="AN43" s="78"/>
    </row>
    <row r="44" spans="1:40" ht="13.5" customHeight="1">
      <c r="A44" s="78"/>
      <c r="B44" s="78"/>
      <c r="C44" s="81"/>
      <c r="D44" s="78"/>
      <c r="E44" s="78"/>
      <c r="F44" s="78"/>
      <c r="G44" s="78"/>
      <c r="H44" s="78"/>
      <c r="I44" s="78"/>
      <c r="J44" s="78"/>
      <c r="K44" s="78"/>
      <c r="L44" s="78"/>
      <c r="M44" s="78"/>
      <c r="N44" s="78"/>
      <c r="O44" s="78"/>
      <c r="P44" s="78"/>
      <c r="Q44" s="103"/>
      <c r="R44" s="103"/>
      <c r="S44" s="103"/>
      <c r="T44" s="103"/>
      <c r="U44" s="103"/>
      <c r="V44" s="78"/>
      <c r="W44" s="78"/>
      <c r="X44" s="78"/>
      <c r="Y44" s="79"/>
      <c r="Z44" s="79"/>
      <c r="AA44" s="78"/>
      <c r="AB44" s="78"/>
      <c r="AC44" s="78"/>
      <c r="AD44" s="78"/>
      <c r="AE44" s="78"/>
      <c r="AF44" s="78"/>
      <c r="AG44" s="78"/>
      <c r="AH44" s="78"/>
      <c r="AI44" s="78"/>
      <c r="AJ44" s="78"/>
      <c r="AK44" s="78"/>
      <c r="AL44" s="78"/>
      <c r="AM44" s="81"/>
      <c r="AN44" s="78"/>
    </row>
    <row r="45" spans="1:40" ht="13.5" customHeight="1">
      <c r="A45" s="78"/>
      <c r="B45" s="78"/>
      <c r="C45" s="81"/>
      <c r="D45" s="78"/>
      <c r="E45" s="78"/>
      <c r="F45" s="78"/>
      <c r="G45" s="78"/>
      <c r="H45" s="78"/>
      <c r="I45" s="78"/>
      <c r="J45" s="78"/>
      <c r="K45" s="78"/>
      <c r="L45" s="78"/>
      <c r="M45" s="78"/>
      <c r="N45" s="78"/>
      <c r="O45" s="78"/>
      <c r="P45" s="78"/>
      <c r="Q45" s="103"/>
      <c r="R45" s="103"/>
      <c r="S45" s="103"/>
      <c r="T45" s="103"/>
      <c r="U45" s="103"/>
      <c r="V45" s="78"/>
      <c r="W45" s="78"/>
      <c r="X45" s="78"/>
      <c r="Y45" s="79"/>
      <c r="Z45" s="79"/>
      <c r="AA45" s="78"/>
      <c r="AB45" s="78"/>
      <c r="AC45" s="78"/>
      <c r="AD45" s="78"/>
      <c r="AE45" s="78"/>
      <c r="AF45" s="78"/>
      <c r="AG45" s="78"/>
      <c r="AH45" s="78"/>
      <c r="AI45" s="78"/>
      <c r="AJ45" s="78"/>
      <c r="AK45" s="78"/>
      <c r="AL45" s="78"/>
      <c r="AM45" s="81"/>
      <c r="AN45" s="78"/>
    </row>
    <row r="46" spans="1:40" ht="13.5" customHeight="1">
      <c r="A46" s="78"/>
      <c r="B46" s="78"/>
      <c r="C46" s="81"/>
      <c r="D46" s="78"/>
      <c r="E46" s="78"/>
      <c r="F46" s="78"/>
      <c r="G46" s="78"/>
      <c r="H46" s="78"/>
      <c r="I46" s="78"/>
      <c r="J46" s="78"/>
      <c r="K46" s="78"/>
      <c r="L46" s="78"/>
      <c r="M46" s="78"/>
      <c r="N46" s="78"/>
      <c r="O46" s="78"/>
      <c r="P46" s="78"/>
      <c r="Q46" s="103"/>
      <c r="R46" s="103"/>
      <c r="S46" s="103"/>
      <c r="T46" s="103"/>
      <c r="U46" s="103"/>
      <c r="V46" s="78"/>
      <c r="W46" s="78"/>
      <c r="X46" s="78"/>
      <c r="Y46" s="79"/>
      <c r="Z46" s="79"/>
      <c r="AA46" s="78"/>
      <c r="AB46" s="78"/>
      <c r="AC46" s="78"/>
      <c r="AD46" s="78"/>
      <c r="AE46" s="78"/>
      <c r="AF46" s="78"/>
      <c r="AG46" s="78"/>
      <c r="AH46" s="78"/>
      <c r="AI46" s="78"/>
      <c r="AJ46" s="78"/>
      <c r="AK46" s="78"/>
      <c r="AL46" s="78"/>
      <c r="AM46" s="81"/>
      <c r="AN46" s="78"/>
    </row>
    <row r="47" spans="1:40" ht="13.5" customHeight="1">
      <c r="A47" s="78"/>
      <c r="B47" s="78"/>
      <c r="C47" s="81"/>
      <c r="D47" s="78"/>
      <c r="E47" s="78"/>
      <c r="F47" s="78"/>
      <c r="G47" s="78"/>
      <c r="H47" s="78"/>
      <c r="I47" s="78"/>
      <c r="J47" s="78"/>
      <c r="K47" s="78"/>
      <c r="L47" s="78"/>
      <c r="M47" s="78"/>
      <c r="N47" s="78"/>
      <c r="O47" s="78"/>
      <c r="P47" s="78"/>
      <c r="Q47" s="103"/>
      <c r="R47" s="103"/>
      <c r="S47" s="103"/>
      <c r="T47" s="103"/>
      <c r="U47" s="103"/>
      <c r="V47" s="78"/>
      <c r="W47" s="78"/>
      <c r="X47" s="78"/>
      <c r="Y47" s="79"/>
      <c r="Z47" s="79"/>
      <c r="AA47" s="78"/>
      <c r="AB47" s="78"/>
      <c r="AC47" s="78"/>
      <c r="AD47" s="78"/>
      <c r="AE47" s="78"/>
      <c r="AF47" s="78"/>
      <c r="AG47" s="78"/>
      <c r="AH47" s="78"/>
      <c r="AI47" s="78"/>
      <c r="AJ47" s="78"/>
      <c r="AK47" s="78"/>
      <c r="AL47" s="78"/>
      <c r="AM47" s="81"/>
      <c r="AN47" s="78"/>
    </row>
    <row r="48" spans="1:40" ht="13.5" customHeight="1">
      <c r="A48" s="78"/>
      <c r="B48" s="78"/>
      <c r="C48" s="81"/>
      <c r="D48" s="78"/>
      <c r="E48" s="78"/>
      <c r="F48" s="78"/>
      <c r="G48" s="78"/>
      <c r="H48" s="78"/>
      <c r="I48" s="78"/>
      <c r="J48" s="78"/>
      <c r="K48" s="78"/>
      <c r="L48" s="78"/>
      <c r="M48" s="78"/>
      <c r="N48" s="78"/>
      <c r="O48" s="78"/>
      <c r="P48" s="78"/>
      <c r="Q48" s="103"/>
      <c r="R48" s="103"/>
      <c r="S48" s="103"/>
      <c r="T48" s="103"/>
      <c r="U48" s="103"/>
      <c r="V48" s="78"/>
      <c r="W48" s="78"/>
      <c r="X48" s="78"/>
      <c r="Y48" s="79"/>
      <c r="Z48" s="79"/>
      <c r="AA48" s="78"/>
      <c r="AB48" s="78"/>
      <c r="AC48" s="78"/>
      <c r="AD48" s="78"/>
      <c r="AE48" s="78"/>
      <c r="AF48" s="78"/>
      <c r="AG48" s="78"/>
      <c r="AH48" s="78"/>
      <c r="AI48" s="78"/>
      <c r="AJ48" s="78"/>
      <c r="AK48" s="78"/>
      <c r="AL48" s="78"/>
      <c r="AM48" s="81"/>
      <c r="AN48" s="78"/>
    </row>
    <row r="49" spans="1:40" ht="13.5" customHeight="1">
      <c r="A49" s="78"/>
      <c r="B49" s="78"/>
      <c r="C49" s="81"/>
      <c r="D49" s="78"/>
      <c r="E49" s="78"/>
      <c r="F49" s="78"/>
      <c r="G49" s="78"/>
      <c r="H49" s="78"/>
      <c r="I49" s="78"/>
      <c r="J49" s="78"/>
      <c r="K49" s="78"/>
      <c r="L49" s="78"/>
      <c r="M49" s="78"/>
      <c r="N49" s="78"/>
      <c r="O49" s="78"/>
      <c r="P49" s="78"/>
      <c r="Q49" s="103"/>
      <c r="R49" s="103"/>
      <c r="S49" s="103"/>
      <c r="T49" s="103"/>
      <c r="U49" s="103"/>
      <c r="V49" s="78"/>
      <c r="W49" s="78"/>
      <c r="X49" s="78"/>
      <c r="Y49" s="79"/>
      <c r="Z49" s="79"/>
      <c r="AA49" s="78"/>
      <c r="AB49" s="78"/>
      <c r="AC49" s="78"/>
      <c r="AD49" s="78"/>
      <c r="AE49" s="78"/>
      <c r="AF49" s="78"/>
      <c r="AG49" s="78"/>
      <c r="AH49" s="78"/>
      <c r="AI49" s="78"/>
      <c r="AJ49" s="78"/>
      <c r="AK49" s="78"/>
      <c r="AL49" s="78"/>
      <c r="AM49" s="81"/>
      <c r="AN49" s="78"/>
    </row>
    <row r="50" spans="1:40" ht="13.5" customHeight="1">
      <c r="A50" s="78"/>
      <c r="B50" s="78"/>
      <c r="C50" s="81"/>
      <c r="D50" s="78"/>
      <c r="E50" s="78"/>
      <c r="F50" s="78"/>
      <c r="G50" s="78"/>
      <c r="H50" s="78"/>
      <c r="I50" s="78"/>
      <c r="J50" s="78"/>
      <c r="K50" s="78"/>
      <c r="L50" s="78"/>
      <c r="M50" s="78"/>
      <c r="N50" s="78"/>
      <c r="O50" s="78"/>
      <c r="P50" s="78"/>
      <c r="Q50" s="103"/>
      <c r="R50" s="103"/>
      <c r="S50" s="103"/>
      <c r="T50" s="103"/>
      <c r="U50" s="103"/>
      <c r="V50" s="78"/>
      <c r="W50" s="78"/>
      <c r="X50" s="78"/>
      <c r="Y50" s="79"/>
      <c r="Z50" s="79"/>
      <c r="AA50" s="78"/>
      <c r="AB50" s="78"/>
      <c r="AC50" s="78"/>
      <c r="AD50" s="78"/>
      <c r="AE50" s="78"/>
      <c r="AF50" s="78"/>
      <c r="AG50" s="78"/>
      <c r="AH50" s="78"/>
      <c r="AI50" s="78"/>
      <c r="AJ50" s="78"/>
      <c r="AK50" s="78"/>
      <c r="AL50" s="78"/>
      <c r="AM50" s="81"/>
      <c r="AN50" s="78"/>
    </row>
    <row r="51" spans="1:40" ht="13.5" customHeight="1">
      <c r="A51" s="78"/>
      <c r="B51" s="78"/>
      <c r="C51" s="81"/>
      <c r="D51" s="78"/>
      <c r="E51" s="78"/>
      <c r="F51" s="78"/>
      <c r="G51" s="78"/>
      <c r="H51" s="78"/>
      <c r="I51" s="78"/>
      <c r="J51" s="78"/>
      <c r="K51" s="78"/>
      <c r="L51" s="78"/>
      <c r="M51" s="78"/>
      <c r="N51" s="78"/>
      <c r="O51" s="78"/>
      <c r="P51" s="78"/>
      <c r="Q51" s="103"/>
      <c r="R51" s="103"/>
      <c r="S51" s="103"/>
      <c r="T51" s="103"/>
      <c r="U51" s="103"/>
      <c r="V51" s="78"/>
      <c r="W51" s="78"/>
      <c r="X51" s="78"/>
      <c r="Y51" s="79"/>
      <c r="Z51" s="79"/>
      <c r="AA51" s="78"/>
      <c r="AB51" s="78"/>
      <c r="AC51" s="78"/>
      <c r="AD51" s="78"/>
      <c r="AE51" s="78"/>
      <c r="AF51" s="78"/>
      <c r="AG51" s="78"/>
      <c r="AH51" s="78"/>
      <c r="AI51" s="78"/>
      <c r="AJ51" s="78"/>
      <c r="AK51" s="78"/>
      <c r="AL51" s="78"/>
      <c r="AM51" s="81"/>
      <c r="AN51" s="78"/>
    </row>
    <row r="52" spans="1:40" ht="13.5" customHeight="1">
      <c r="A52" s="78"/>
      <c r="B52" s="78"/>
      <c r="C52" s="81"/>
      <c r="D52" s="78"/>
      <c r="E52" s="78"/>
      <c r="F52" s="78"/>
      <c r="G52" s="78"/>
      <c r="H52" s="78"/>
      <c r="I52" s="78"/>
      <c r="J52" s="78"/>
      <c r="K52" s="78"/>
      <c r="L52" s="78"/>
      <c r="M52" s="78"/>
      <c r="N52" s="78"/>
      <c r="O52" s="78"/>
      <c r="P52" s="78"/>
      <c r="Q52" s="103"/>
      <c r="R52" s="103"/>
      <c r="S52" s="103"/>
      <c r="T52" s="103"/>
      <c r="U52" s="103"/>
      <c r="V52" s="78"/>
      <c r="W52" s="78"/>
      <c r="X52" s="78"/>
      <c r="Y52" s="79"/>
      <c r="Z52" s="79"/>
      <c r="AA52" s="78"/>
      <c r="AB52" s="78"/>
      <c r="AC52" s="78"/>
      <c r="AD52" s="78"/>
      <c r="AE52" s="78"/>
      <c r="AF52" s="78"/>
      <c r="AG52" s="78"/>
      <c r="AH52" s="78"/>
      <c r="AI52" s="78"/>
      <c r="AJ52" s="78"/>
      <c r="AK52" s="78"/>
      <c r="AL52" s="78"/>
      <c r="AM52" s="81"/>
      <c r="AN52" s="78"/>
    </row>
    <row r="53" spans="1:40" ht="13.5" customHeight="1">
      <c r="A53" s="78"/>
      <c r="B53" s="78"/>
      <c r="C53" s="81"/>
      <c r="D53" s="78"/>
      <c r="E53" s="78"/>
      <c r="F53" s="78"/>
      <c r="G53" s="78"/>
      <c r="H53" s="78"/>
      <c r="I53" s="78"/>
      <c r="J53" s="78"/>
      <c r="K53" s="78"/>
      <c r="L53" s="78"/>
      <c r="M53" s="78"/>
      <c r="N53" s="78"/>
      <c r="O53" s="78"/>
      <c r="P53" s="78"/>
      <c r="Q53" s="103"/>
      <c r="R53" s="103"/>
      <c r="S53" s="103"/>
      <c r="T53" s="103"/>
      <c r="U53" s="103"/>
      <c r="V53" s="78"/>
      <c r="W53" s="78"/>
      <c r="X53" s="78"/>
      <c r="Y53" s="79"/>
      <c r="Z53" s="79"/>
      <c r="AA53" s="78"/>
      <c r="AB53" s="78"/>
      <c r="AC53" s="78"/>
      <c r="AD53" s="78"/>
      <c r="AE53" s="78"/>
      <c r="AF53" s="78"/>
      <c r="AG53" s="78"/>
      <c r="AH53" s="78"/>
      <c r="AI53" s="78"/>
      <c r="AJ53" s="78"/>
      <c r="AK53" s="78"/>
      <c r="AL53" s="78"/>
      <c r="AM53" s="81"/>
      <c r="AN53" s="78"/>
    </row>
    <row r="54" spans="1:40" ht="13.5" customHeight="1">
      <c r="A54" s="78"/>
      <c r="B54" s="78"/>
      <c r="C54" s="81"/>
      <c r="D54" s="78"/>
      <c r="E54" s="78"/>
      <c r="F54" s="78"/>
      <c r="G54" s="78"/>
      <c r="H54" s="78"/>
      <c r="I54" s="78"/>
      <c r="J54" s="78"/>
      <c r="K54" s="78"/>
      <c r="L54" s="78"/>
      <c r="M54" s="78"/>
      <c r="N54" s="78"/>
      <c r="O54" s="78"/>
      <c r="P54" s="78"/>
      <c r="Q54" s="103"/>
      <c r="R54" s="103"/>
      <c r="S54" s="103"/>
      <c r="T54" s="103"/>
      <c r="U54" s="103"/>
      <c r="V54" s="78"/>
      <c r="W54" s="78"/>
      <c r="X54" s="78"/>
      <c r="Y54" s="79"/>
      <c r="Z54" s="79"/>
      <c r="AA54" s="78"/>
      <c r="AB54" s="78"/>
      <c r="AC54" s="78"/>
      <c r="AD54" s="78"/>
      <c r="AE54" s="78"/>
      <c r="AF54" s="78"/>
      <c r="AG54" s="78"/>
      <c r="AH54" s="78"/>
      <c r="AI54" s="78"/>
      <c r="AJ54" s="78"/>
      <c r="AK54" s="78"/>
      <c r="AL54" s="78"/>
      <c r="AM54" s="81"/>
      <c r="AN54" s="78"/>
    </row>
    <row r="55" spans="1:40" ht="13.5" customHeight="1">
      <c r="A55" s="78"/>
      <c r="B55" s="78"/>
      <c r="C55" s="81"/>
      <c r="D55" s="78"/>
      <c r="E55" s="78"/>
      <c r="F55" s="78"/>
      <c r="G55" s="78"/>
      <c r="H55" s="78"/>
      <c r="I55" s="78"/>
      <c r="J55" s="78"/>
      <c r="K55" s="78"/>
      <c r="L55" s="78"/>
      <c r="M55" s="78"/>
      <c r="N55" s="78"/>
      <c r="O55" s="78"/>
      <c r="P55" s="78"/>
      <c r="Q55" s="103"/>
      <c r="R55" s="103"/>
      <c r="S55" s="103"/>
      <c r="T55" s="103"/>
      <c r="U55" s="103"/>
      <c r="V55" s="78"/>
      <c r="W55" s="78"/>
      <c r="X55" s="78"/>
      <c r="Y55" s="79"/>
      <c r="Z55" s="79"/>
      <c r="AA55" s="78"/>
      <c r="AB55" s="78"/>
      <c r="AC55" s="78"/>
      <c r="AD55" s="78"/>
      <c r="AE55" s="78"/>
      <c r="AF55" s="78"/>
      <c r="AG55" s="78"/>
      <c r="AH55" s="78"/>
      <c r="AI55" s="78"/>
      <c r="AJ55" s="78"/>
      <c r="AK55" s="78"/>
      <c r="AL55" s="78"/>
      <c r="AM55" s="81"/>
      <c r="AN55" s="78"/>
    </row>
    <row r="56" spans="1:40" ht="13.5" customHeight="1">
      <c r="A56" s="78"/>
      <c r="B56" s="78"/>
      <c r="C56" s="81"/>
      <c r="D56" s="78"/>
      <c r="E56" s="78"/>
      <c r="F56" s="78"/>
      <c r="G56" s="78"/>
      <c r="H56" s="78"/>
      <c r="I56" s="78"/>
      <c r="J56" s="78"/>
      <c r="K56" s="78"/>
      <c r="L56" s="78"/>
      <c r="M56" s="78"/>
      <c r="N56" s="78"/>
      <c r="O56" s="78"/>
      <c r="P56" s="78"/>
      <c r="Q56" s="103"/>
      <c r="R56" s="103"/>
      <c r="S56" s="103"/>
      <c r="T56" s="103"/>
      <c r="U56" s="103"/>
      <c r="V56" s="78"/>
      <c r="W56" s="78"/>
      <c r="X56" s="78"/>
      <c r="Y56" s="79"/>
      <c r="Z56" s="79"/>
      <c r="AA56" s="78"/>
      <c r="AB56" s="78"/>
      <c r="AC56" s="78"/>
      <c r="AD56" s="78"/>
      <c r="AE56" s="78"/>
      <c r="AF56" s="78"/>
      <c r="AG56" s="78"/>
      <c r="AH56" s="78"/>
      <c r="AI56" s="78"/>
      <c r="AJ56" s="78"/>
      <c r="AK56" s="78"/>
      <c r="AL56" s="78"/>
      <c r="AM56" s="81"/>
      <c r="AN56" s="78"/>
    </row>
    <row r="57" spans="1:40" ht="13.5" customHeight="1">
      <c r="A57" s="78"/>
      <c r="B57" s="78"/>
      <c r="C57" s="81"/>
      <c r="D57" s="78"/>
      <c r="E57" s="78"/>
      <c r="F57" s="78"/>
      <c r="G57" s="78"/>
      <c r="H57" s="78"/>
      <c r="I57" s="78"/>
      <c r="J57" s="78"/>
      <c r="K57" s="78"/>
      <c r="L57" s="78"/>
      <c r="M57" s="78"/>
      <c r="N57" s="78"/>
      <c r="O57" s="78"/>
      <c r="P57" s="78"/>
      <c r="Q57" s="103"/>
      <c r="R57" s="103"/>
      <c r="S57" s="103"/>
      <c r="T57" s="103"/>
      <c r="U57" s="103"/>
      <c r="V57" s="78"/>
      <c r="W57" s="78"/>
      <c r="X57" s="78"/>
      <c r="Y57" s="79"/>
      <c r="Z57" s="79"/>
      <c r="AA57" s="78"/>
      <c r="AB57" s="78"/>
      <c r="AC57" s="78"/>
      <c r="AD57" s="78"/>
      <c r="AE57" s="78"/>
      <c r="AF57" s="78"/>
      <c r="AG57" s="78"/>
      <c r="AH57" s="78"/>
      <c r="AI57" s="78"/>
      <c r="AJ57" s="78"/>
      <c r="AK57" s="78"/>
      <c r="AL57" s="78"/>
      <c r="AM57" s="81"/>
      <c r="AN57" s="78"/>
    </row>
    <row r="58" spans="1:40" ht="13.5" customHeight="1">
      <c r="A58" s="78"/>
      <c r="B58" s="78"/>
      <c r="C58" s="81"/>
      <c r="D58" s="78"/>
      <c r="E58" s="78"/>
      <c r="F58" s="78"/>
      <c r="G58" s="78"/>
      <c r="H58" s="78"/>
      <c r="I58" s="78"/>
      <c r="J58" s="78"/>
      <c r="K58" s="78"/>
      <c r="L58" s="78"/>
      <c r="M58" s="78"/>
      <c r="N58" s="78"/>
      <c r="O58" s="78"/>
      <c r="P58" s="78"/>
      <c r="Q58" s="103"/>
      <c r="R58" s="103"/>
      <c r="S58" s="103"/>
      <c r="T58" s="103"/>
      <c r="U58" s="103"/>
      <c r="V58" s="78"/>
      <c r="W58" s="78"/>
      <c r="X58" s="78"/>
      <c r="Y58" s="79"/>
      <c r="Z58" s="79"/>
      <c r="AA58" s="78"/>
      <c r="AB58" s="78"/>
      <c r="AC58" s="78"/>
      <c r="AD58" s="78"/>
      <c r="AE58" s="78"/>
      <c r="AF58" s="78"/>
      <c r="AG58" s="78"/>
      <c r="AH58" s="78"/>
      <c r="AI58" s="78"/>
      <c r="AJ58" s="78"/>
      <c r="AK58" s="78"/>
      <c r="AL58" s="78"/>
      <c r="AM58" s="81"/>
      <c r="AN58" s="78"/>
    </row>
    <row r="59" spans="1:40" ht="13.5" customHeight="1">
      <c r="A59" s="78"/>
      <c r="B59" s="78"/>
      <c r="C59" s="81"/>
      <c r="D59" s="78"/>
      <c r="E59" s="78"/>
      <c r="F59" s="78"/>
      <c r="G59" s="78"/>
      <c r="H59" s="78"/>
      <c r="I59" s="78"/>
      <c r="J59" s="78"/>
      <c r="K59" s="78"/>
      <c r="L59" s="78"/>
      <c r="M59" s="78"/>
      <c r="N59" s="78"/>
      <c r="O59" s="78"/>
      <c r="P59" s="78"/>
      <c r="Q59" s="103"/>
      <c r="R59" s="103"/>
      <c r="S59" s="103"/>
      <c r="T59" s="103"/>
      <c r="U59" s="103"/>
      <c r="V59" s="78"/>
      <c r="W59" s="78"/>
      <c r="X59" s="78"/>
      <c r="Y59" s="79"/>
      <c r="Z59" s="79"/>
      <c r="AA59" s="78"/>
      <c r="AB59" s="78"/>
      <c r="AC59" s="78"/>
      <c r="AD59" s="78"/>
      <c r="AE59" s="78"/>
      <c r="AF59" s="78"/>
      <c r="AG59" s="78"/>
      <c r="AH59" s="78"/>
      <c r="AI59" s="78"/>
      <c r="AJ59" s="78"/>
      <c r="AK59" s="78"/>
      <c r="AL59" s="78"/>
      <c r="AM59" s="81"/>
      <c r="AN59" s="78"/>
    </row>
    <row r="60" spans="1:40" ht="13.5" customHeight="1">
      <c r="A60" s="78"/>
      <c r="B60" s="78"/>
      <c r="C60" s="81"/>
      <c r="D60" s="78"/>
      <c r="E60" s="78"/>
      <c r="F60" s="78"/>
      <c r="G60" s="78"/>
      <c r="H60" s="78"/>
      <c r="I60" s="78"/>
      <c r="J60" s="78"/>
      <c r="K60" s="78"/>
      <c r="L60" s="78"/>
      <c r="M60" s="78"/>
      <c r="N60" s="78"/>
      <c r="O60" s="78"/>
      <c r="P60" s="78"/>
      <c r="Q60" s="103"/>
      <c r="R60" s="103"/>
      <c r="S60" s="103"/>
      <c r="T60" s="103"/>
      <c r="U60" s="103"/>
      <c r="V60" s="78"/>
      <c r="W60" s="78"/>
      <c r="X60" s="78"/>
      <c r="Y60" s="79"/>
      <c r="Z60" s="79"/>
      <c r="AA60" s="78"/>
      <c r="AB60" s="78"/>
      <c r="AC60" s="78"/>
      <c r="AD60" s="78"/>
      <c r="AE60" s="78"/>
      <c r="AF60" s="78"/>
      <c r="AG60" s="78"/>
      <c r="AH60" s="78"/>
      <c r="AI60" s="78"/>
      <c r="AJ60" s="78"/>
      <c r="AK60" s="78"/>
      <c r="AL60" s="78"/>
      <c r="AM60" s="81"/>
      <c r="AN60" s="78"/>
    </row>
    <row r="61" spans="1:40" ht="13.5" customHeight="1">
      <c r="A61" s="78"/>
      <c r="B61" s="78"/>
      <c r="C61" s="81"/>
      <c r="D61" s="78"/>
      <c r="E61" s="78"/>
      <c r="F61" s="78"/>
      <c r="G61" s="78"/>
      <c r="H61" s="78"/>
      <c r="I61" s="78"/>
      <c r="J61" s="78"/>
      <c r="K61" s="78"/>
      <c r="L61" s="78"/>
      <c r="M61" s="78"/>
      <c r="N61" s="78"/>
      <c r="O61" s="78"/>
      <c r="P61" s="78"/>
      <c r="Q61" s="103"/>
      <c r="R61" s="103"/>
      <c r="S61" s="103"/>
      <c r="T61" s="103"/>
      <c r="U61" s="103"/>
      <c r="V61" s="78"/>
      <c r="W61" s="78"/>
      <c r="X61" s="78"/>
      <c r="Y61" s="79"/>
      <c r="Z61" s="79"/>
      <c r="AA61" s="78"/>
      <c r="AB61" s="78"/>
      <c r="AC61" s="78"/>
      <c r="AD61" s="78"/>
      <c r="AE61" s="78"/>
      <c r="AF61" s="78"/>
      <c r="AG61" s="78"/>
      <c r="AH61" s="78"/>
      <c r="AI61" s="78"/>
      <c r="AJ61" s="78"/>
      <c r="AK61" s="78"/>
      <c r="AL61" s="78"/>
      <c r="AM61" s="81"/>
      <c r="AN61" s="78"/>
    </row>
    <row r="62" spans="1:40" ht="13.5" customHeight="1">
      <c r="A62" s="78"/>
      <c r="B62" s="78"/>
      <c r="C62" s="81"/>
      <c r="D62" s="78"/>
      <c r="E62" s="78"/>
      <c r="F62" s="78"/>
      <c r="G62" s="78"/>
      <c r="H62" s="78"/>
      <c r="I62" s="78"/>
      <c r="J62" s="78"/>
      <c r="K62" s="78"/>
      <c r="L62" s="78"/>
      <c r="M62" s="78"/>
      <c r="N62" s="78"/>
      <c r="O62" s="78"/>
      <c r="P62" s="78"/>
      <c r="Q62" s="103"/>
      <c r="R62" s="103"/>
      <c r="S62" s="103"/>
      <c r="T62" s="103"/>
      <c r="U62" s="103"/>
      <c r="V62" s="78"/>
      <c r="W62" s="78"/>
      <c r="X62" s="78"/>
      <c r="Y62" s="79"/>
      <c r="Z62" s="79"/>
      <c r="AA62" s="78"/>
      <c r="AB62" s="78"/>
      <c r="AC62" s="78"/>
      <c r="AD62" s="78"/>
      <c r="AE62" s="78"/>
      <c r="AF62" s="78"/>
      <c r="AG62" s="78"/>
      <c r="AH62" s="78"/>
      <c r="AI62" s="78"/>
      <c r="AJ62" s="78"/>
      <c r="AK62" s="78"/>
      <c r="AL62" s="78"/>
      <c r="AM62" s="81"/>
      <c r="AN62" s="78"/>
    </row>
    <row r="63" spans="1:40" ht="13.5" customHeight="1">
      <c r="A63" s="78"/>
      <c r="B63" s="78"/>
      <c r="C63" s="81"/>
      <c r="D63" s="78"/>
      <c r="E63" s="78"/>
      <c r="F63" s="78"/>
      <c r="G63" s="78"/>
      <c r="H63" s="78"/>
      <c r="I63" s="78"/>
      <c r="J63" s="78"/>
      <c r="K63" s="78"/>
      <c r="L63" s="78"/>
      <c r="M63" s="78"/>
      <c r="N63" s="78"/>
      <c r="O63" s="78"/>
      <c r="P63" s="78"/>
      <c r="Q63" s="103"/>
      <c r="R63" s="103"/>
      <c r="S63" s="103"/>
      <c r="T63" s="103"/>
      <c r="U63" s="103"/>
      <c r="V63" s="78"/>
      <c r="W63" s="78"/>
      <c r="X63" s="78"/>
      <c r="Y63" s="79"/>
      <c r="Z63" s="79"/>
      <c r="AA63" s="78"/>
      <c r="AB63" s="78"/>
      <c r="AC63" s="78"/>
      <c r="AD63" s="78"/>
      <c r="AE63" s="78"/>
      <c r="AF63" s="78"/>
      <c r="AG63" s="78"/>
      <c r="AH63" s="78"/>
      <c r="AI63" s="78"/>
      <c r="AJ63" s="78"/>
      <c r="AK63" s="78"/>
      <c r="AL63" s="78"/>
      <c r="AM63" s="81"/>
      <c r="AN63" s="78"/>
    </row>
    <row r="64" spans="1:40" ht="13.5" customHeight="1">
      <c r="A64" s="78"/>
      <c r="B64" s="78"/>
      <c r="C64" s="81"/>
      <c r="D64" s="78"/>
      <c r="E64" s="78"/>
      <c r="F64" s="78"/>
      <c r="G64" s="78"/>
      <c r="H64" s="78"/>
      <c r="I64" s="78"/>
      <c r="J64" s="78"/>
      <c r="K64" s="78"/>
      <c r="L64" s="78"/>
      <c r="M64" s="78"/>
      <c r="N64" s="78"/>
      <c r="O64" s="78"/>
      <c r="P64" s="78"/>
      <c r="Q64" s="103"/>
      <c r="R64" s="103"/>
      <c r="S64" s="103"/>
      <c r="T64" s="103"/>
      <c r="U64" s="103"/>
      <c r="V64" s="78"/>
      <c r="W64" s="78"/>
      <c r="X64" s="78"/>
      <c r="Y64" s="79"/>
      <c r="Z64" s="79"/>
      <c r="AA64" s="78"/>
      <c r="AB64" s="78"/>
      <c r="AC64" s="78"/>
      <c r="AD64" s="78"/>
      <c r="AE64" s="78"/>
      <c r="AF64" s="78"/>
      <c r="AG64" s="78"/>
      <c r="AH64" s="78"/>
      <c r="AI64" s="78"/>
      <c r="AJ64" s="78"/>
      <c r="AK64" s="78"/>
      <c r="AL64" s="78"/>
      <c r="AM64" s="81"/>
      <c r="AN64" s="78"/>
    </row>
    <row r="65" spans="1:40" ht="13.5" customHeight="1">
      <c r="A65" s="78"/>
      <c r="B65" s="78"/>
      <c r="C65" s="81"/>
      <c r="D65" s="78"/>
      <c r="E65" s="78"/>
      <c r="F65" s="78"/>
      <c r="G65" s="78"/>
      <c r="H65" s="78"/>
      <c r="I65" s="78"/>
      <c r="J65" s="78"/>
      <c r="K65" s="78"/>
      <c r="L65" s="78"/>
      <c r="M65" s="78"/>
      <c r="N65" s="78"/>
      <c r="O65" s="78"/>
      <c r="P65" s="78"/>
      <c r="Q65" s="103"/>
      <c r="R65" s="103"/>
      <c r="S65" s="103"/>
      <c r="T65" s="103"/>
      <c r="U65" s="103"/>
      <c r="V65" s="78"/>
      <c r="W65" s="78"/>
      <c r="X65" s="78"/>
      <c r="Y65" s="79"/>
      <c r="Z65" s="79"/>
      <c r="AA65" s="78"/>
      <c r="AB65" s="78"/>
      <c r="AC65" s="78"/>
      <c r="AD65" s="78"/>
      <c r="AE65" s="78"/>
      <c r="AF65" s="78"/>
      <c r="AG65" s="78"/>
      <c r="AH65" s="78"/>
      <c r="AI65" s="78"/>
      <c r="AJ65" s="78"/>
      <c r="AK65" s="78"/>
      <c r="AL65" s="78"/>
      <c r="AM65" s="81"/>
      <c r="AN65" s="78"/>
    </row>
    <row r="66" spans="1:40" ht="13.5" customHeight="1">
      <c r="A66" s="78"/>
      <c r="B66" s="78"/>
      <c r="C66" s="81"/>
      <c r="D66" s="78"/>
      <c r="E66" s="78"/>
      <c r="F66" s="78"/>
      <c r="G66" s="78"/>
      <c r="H66" s="78"/>
      <c r="I66" s="78"/>
      <c r="J66" s="78"/>
      <c r="K66" s="78"/>
      <c r="L66" s="78"/>
      <c r="M66" s="78"/>
      <c r="N66" s="78"/>
      <c r="O66" s="78"/>
      <c r="P66" s="78"/>
      <c r="Q66" s="103"/>
      <c r="R66" s="103"/>
      <c r="S66" s="103"/>
      <c r="T66" s="103"/>
      <c r="U66" s="103"/>
      <c r="V66" s="78"/>
      <c r="W66" s="78"/>
      <c r="X66" s="78"/>
      <c r="Y66" s="79"/>
      <c r="Z66" s="79"/>
      <c r="AA66" s="78"/>
      <c r="AB66" s="78"/>
      <c r="AC66" s="78"/>
      <c r="AD66" s="78"/>
      <c r="AE66" s="78"/>
      <c r="AF66" s="78"/>
      <c r="AG66" s="78"/>
      <c r="AH66" s="78"/>
      <c r="AI66" s="78"/>
      <c r="AJ66" s="78"/>
      <c r="AK66" s="78"/>
      <c r="AL66" s="78"/>
      <c r="AM66" s="81"/>
      <c r="AN66" s="78"/>
    </row>
    <row r="67" spans="1:40" ht="13.5" customHeight="1">
      <c r="A67" s="78"/>
      <c r="B67" s="78"/>
      <c r="C67" s="81"/>
      <c r="D67" s="78"/>
      <c r="E67" s="78"/>
      <c r="F67" s="78"/>
      <c r="G67" s="78"/>
      <c r="H67" s="78"/>
      <c r="I67" s="78"/>
      <c r="J67" s="78"/>
      <c r="K67" s="78"/>
      <c r="L67" s="78"/>
      <c r="M67" s="78"/>
      <c r="N67" s="78"/>
      <c r="O67" s="78"/>
      <c r="P67" s="78"/>
      <c r="Q67" s="103"/>
      <c r="R67" s="103"/>
      <c r="S67" s="103"/>
      <c r="T67" s="103"/>
      <c r="U67" s="103"/>
      <c r="V67" s="78"/>
      <c r="W67" s="78"/>
      <c r="X67" s="78"/>
      <c r="Y67" s="79"/>
      <c r="Z67" s="79"/>
      <c r="AA67" s="78"/>
      <c r="AB67" s="78"/>
      <c r="AC67" s="78"/>
      <c r="AD67" s="78"/>
      <c r="AE67" s="78"/>
      <c r="AF67" s="78"/>
      <c r="AG67" s="78"/>
      <c r="AH67" s="78"/>
      <c r="AI67" s="78"/>
      <c r="AJ67" s="78"/>
      <c r="AK67" s="78"/>
      <c r="AL67" s="78"/>
      <c r="AM67" s="81"/>
      <c r="AN67" s="78"/>
    </row>
    <row r="68" spans="1:40" ht="13.5" customHeight="1">
      <c r="A68" s="78"/>
      <c r="B68" s="78"/>
      <c r="C68" s="81"/>
      <c r="D68" s="78"/>
      <c r="E68" s="78"/>
      <c r="F68" s="78"/>
      <c r="G68" s="78"/>
      <c r="H68" s="78"/>
      <c r="I68" s="78"/>
      <c r="J68" s="78"/>
      <c r="K68" s="78"/>
      <c r="L68" s="78"/>
      <c r="M68" s="78"/>
      <c r="N68" s="78"/>
      <c r="O68" s="78"/>
      <c r="P68" s="78"/>
      <c r="Q68" s="103"/>
      <c r="R68" s="103"/>
      <c r="S68" s="103"/>
      <c r="T68" s="103"/>
      <c r="U68" s="103"/>
      <c r="V68" s="78"/>
      <c r="W68" s="78"/>
      <c r="X68" s="78"/>
      <c r="Y68" s="79"/>
      <c r="Z68" s="79"/>
      <c r="AA68" s="78"/>
      <c r="AB68" s="78"/>
      <c r="AC68" s="78"/>
      <c r="AD68" s="78"/>
      <c r="AE68" s="78"/>
      <c r="AF68" s="78"/>
      <c r="AG68" s="78"/>
      <c r="AH68" s="78"/>
      <c r="AI68" s="78"/>
      <c r="AJ68" s="78"/>
      <c r="AK68" s="78"/>
      <c r="AL68" s="78"/>
      <c r="AM68" s="81"/>
      <c r="AN68" s="78"/>
    </row>
    <row r="69" spans="1:40" ht="13.5" customHeight="1">
      <c r="A69" s="78"/>
      <c r="B69" s="78"/>
      <c r="C69" s="81"/>
      <c r="D69" s="78"/>
      <c r="E69" s="78"/>
      <c r="F69" s="78"/>
      <c r="G69" s="78"/>
      <c r="H69" s="78"/>
      <c r="I69" s="78"/>
      <c r="J69" s="78"/>
      <c r="K69" s="78"/>
      <c r="L69" s="78"/>
      <c r="M69" s="78"/>
      <c r="N69" s="78"/>
      <c r="O69" s="78"/>
      <c r="P69" s="78"/>
      <c r="Q69" s="103"/>
      <c r="R69" s="103"/>
      <c r="S69" s="103"/>
      <c r="T69" s="103"/>
      <c r="U69" s="103"/>
      <c r="V69" s="78"/>
      <c r="W69" s="78"/>
      <c r="X69" s="78"/>
      <c r="Y69" s="79"/>
      <c r="Z69" s="79"/>
      <c r="AA69" s="78"/>
      <c r="AB69" s="78"/>
      <c r="AC69" s="78"/>
      <c r="AD69" s="78"/>
      <c r="AE69" s="78"/>
      <c r="AF69" s="78"/>
      <c r="AG69" s="78"/>
      <c r="AH69" s="78"/>
      <c r="AI69" s="78"/>
      <c r="AJ69" s="78"/>
      <c r="AK69" s="78"/>
      <c r="AL69" s="78"/>
      <c r="AM69" s="81"/>
      <c r="AN69" s="78"/>
    </row>
    <row r="70" spans="1:40" ht="13.5" customHeight="1">
      <c r="A70" s="78"/>
      <c r="B70" s="78"/>
      <c r="C70" s="81"/>
      <c r="D70" s="78"/>
      <c r="E70" s="78"/>
      <c r="F70" s="78"/>
      <c r="G70" s="78"/>
      <c r="H70" s="78"/>
      <c r="I70" s="78"/>
      <c r="J70" s="78"/>
      <c r="K70" s="78"/>
      <c r="L70" s="78"/>
      <c r="M70" s="78"/>
      <c r="N70" s="78"/>
      <c r="O70" s="78"/>
      <c r="P70" s="78"/>
      <c r="Q70" s="103"/>
      <c r="R70" s="103"/>
      <c r="S70" s="103"/>
      <c r="T70" s="103"/>
      <c r="U70" s="103"/>
      <c r="V70" s="78"/>
      <c r="W70" s="78"/>
      <c r="X70" s="78"/>
      <c r="Y70" s="79"/>
      <c r="Z70" s="79"/>
      <c r="AA70" s="78"/>
      <c r="AB70" s="78"/>
      <c r="AC70" s="78"/>
      <c r="AD70" s="78"/>
      <c r="AE70" s="78"/>
      <c r="AF70" s="78"/>
      <c r="AG70" s="78"/>
      <c r="AH70" s="78"/>
      <c r="AI70" s="78"/>
      <c r="AJ70" s="78"/>
      <c r="AK70" s="78"/>
      <c r="AL70" s="78"/>
      <c r="AM70" s="81"/>
      <c r="AN70" s="78"/>
    </row>
    <row r="71" spans="1:40" ht="13.5" customHeight="1">
      <c r="A71" s="78"/>
      <c r="B71" s="78"/>
      <c r="C71" s="81"/>
      <c r="D71" s="78"/>
      <c r="E71" s="78"/>
      <c r="F71" s="78"/>
      <c r="G71" s="78"/>
      <c r="H71" s="78"/>
      <c r="I71" s="78"/>
      <c r="J71" s="78"/>
      <c r="K71" s="78"/>
      <c r="L71" s="78"/>
      <c r="M71" s="78"/>
      <c r="N71" s="78"/>
      <c r="O71" s="78"/>
      <c r="P71" s="78"/>
      <c r="Q71" s="103"/>
      <c r="R71" s="103"/>
      <c r="S71" s="103"/>
      <c r="T71" s="103"/>
      <c r="U71" s="103"/>
      <c r="V71" s="78"/>
      <c r="W71" s="78"/>
      <c r="X71" s="78"/>
      <c r="Y71" s="79"/>
      <c r="Z71" s="79"/>
      <c r="AA71" s="78"/>
      <c r="AB71" s="78"/>
      <c r="AC71" s="78"/>
      <c r="AD71" s="78"/>
      <c r="AE71" s="78"/>
      <c r="AF71" s="78"/>
      <c r="AG71" s="78"/>
      <c r="AH71" s="78"/>
      <c r="AI71" s="78"/>
      <c r="AJ71" s="78"/>
      <c r="AK71" s="78"/>
      <c r="AL71" s="78"/>
      <c r="AM71" s="81"/>
      <c r="AN71" s="78"/>
    </row>
    <row r="72" spans="1:40" ht="13.5" customHeight="1">
      <c r="A72" s="78"/>
      <c r="B72" s="78"/>
      <c r="C72" s="81"/>
      <c r="D72" s="78"/>
      <c r="E72" s="78"/>
      <c r="F72" s="78"/>
      <c r="G72" s="78"/>
      <c r="H72" s="78"/>
      <c r="I72" s="78"/>
      <c r="J72" s="78"/>
      <c r="K72" s="78"/>
      <c r="L72" s="78"/>
      <c r="M72" s="78"/>
      <c r="N72" s="78"/>
      <c r="O72" s="78"/>
      <c r="P72" s="78"/>
      <c r="Q72" s="103"/>
      <c r="R72" s="103"/>
      <c r="S72" s="103"/>
      <c r="T72" s="103"/>
      <c r="U72" s="103"/>
      <c r="V72" s="78"/>
      <c r="W72" s="78"/>
      <c r="X72" s="78"/>
      <c r="Y72" s="79"/>
      <c r="Z72" s="79"/>
      <c r="AA72" s="78"/>
      <c r="AB72" s="78"/>
      <c r="AC72" s="78"/>
      <c r="AD72" s="78"/>
      <c r="AE72" s="78"/>
      <c r="AF72" s="78"/>
      <c r="AG72" s="78"/>
      <c r="AH72" s="78"/>
      <c r="AI72" s="78"/>
      <c r="AJ72" s="78"/>
      <c r="AK72" s="78"/>
      <c r="AL72" s="78"/>
      <c r="AM72" s="81"/>
      <c r="AN72" s="78"/>
    </row>
    <row r="73" spans="1:40" ht="13.5" customHeight="1">
      <c r="A73" s="78"/>
      <c r="B73" s="78"/>
      <c r="C73" s="81"/>
      <c r="D73" s="78"/>
      <c r="E73" s="78"/>
      <c r="F73" s="78"/>
      <c r="G73" s="78"/>
      <c r="H73" s="78"/>
      <c r="I73" s="78"/>
      <c r="J73" s="78"/>
      <c r="K73" s="78"/>
      <c r="L73" s="78"/>
      <c r="M73" s="78"/>
      <c r="N73" s="78"/>
      <c r="O73" s="78"/>
      <c r="P73" s="78"/>
      <c r="Q73" s="103"/>
      <c r="R73" s="103"/>
      <c r="S73" s="103"/>
      <c r="T73" s="103"/>
      <c r="U73" s="103"/>
      <c r="V73" s="78"/>
      <c r="W73" s="78"/>
      <c r="X73" s="78"/>
      <c r="Y73" s="79"/>
      <c r="Z73" s="79"/>
      <c r="AA73" s="78"/>
      <c r="AB73" s="78"/>
      <c r="AC73" s="78"/>
      <c r="AD73" s="78"/>
      <c r="AE73" s="78"/>
      <c r="AF73" s="78"/>
      <c r="AG73" s="78"/>
      <c r="AH73" s="78"/>
      <c r="AI73" s="78"/>
      <c r="AJ73" s="78"/>
      <c r="AK73" s="78"/>
      <c r="AL73" s="78"/>
      <c r="AM73" s="81"/>
      <c r="AN73" s="78"/>
    </row>
    <row r="74" spans="1:40" ht="13.5" customHeight="1">
      <c r="A74" s="78"/>
      <c r="B74" s="78"/>
      <c r="C74" s="81"/>
      <c r="D74" s="78"/>
      <c r="E74" s="78"/>
      <c r="F74" s="78"/>
      <c r="G74" s="78"/>
      <c r="H74" s="78"/>
      <c r="I74" s="78"/>
      <c r="J74" s="78"/>
      <c r="K74" s="78"/>
      <c r="L74" s="78"/>
      <c r="M74" s="78"/>
      <c r="N74" s="78"/>
      <c r="O74" s="78"/>
      <c r="P74" s="78"/>
      <c r="Q74" s="103"/>
      <c r="R74" s="103"/>
      <c r="S74" s="103"/>
      <c r="T74" s="103"/>
      <c r="U74" s="103"/>
      <c r="V74" s="78"/>
      <c r="W74" s="78"/>
      <c r="X74" s="78"/>
      <c r="Y74" s="79"/>
      <c r="Z74" s="79"/>
      <c r="AA74" s="78"/>
      <c r="AB74" s="78"/>
      <c r="AC74" s="78"/>
      <c r="AD74" s="78"/>
      <c r="AE74" s="78"/>
      <c r="AF74" s="78"/>
      <c r="AG74" s="78"/>
      <c r="AH74" s="78"/>
      <c r="AI74" s="78"/>
      <c r="AJ74" s="78"/>
      <c r="AK74" s="78"/>
      <c r="AL74" s="78"/>
      <c r="AM74" s="81"/>
      <c r="AN74" s="78"/>
    </row>
    <row r="75" spans="1:40" ht="13.5" customHeight="1">
      <c r="A75" s="78"/>
      <c r="B75" s="78"/>
      <c r="C75" s="81"/>
      <c r="D75" s="78"/>
      <c r="E75" s="78"/>
      <c r="F75" s="78"/>
      <c r="G75" s="78"/>
      <c r="H75" s="78"/>
      <c r="I75" s="78"/>
      <c r="J75" s="78"/>
      <c r="K75" s="78"/>
      <c r="L75" s="78"/>
      <c r="M75" s="78"/>
      <c r="N75" s="78"/>
      <c r="O75" s="78"/>
      <c r="P75" s="78"/>
      <c r="Q75" s="103"/>
      <c r="R75" s="103"/>
      <c r="S75" s="103"/>
      <c r="T75" s="103"/>
      <c r="U75" s="103"/>
      <c r="V75" s="78"/>
      <c r="W75" s="78"/>
      <c r="X75" s="78"/>
      <c r="Y75" s="79"/>
      <c r="Z75" s="79"/>
      <c r="AA75" s="78"/>
      <c r="AB75" s="78"/>
      <c r="AC75" s="78"/>
      <c r="AD75" s="78"/>
      <c r="AE75" s="78"/>
      <c r="AF75" s="78"/>
      <c r="AG75" s="78"/>
      <c r="AH75" s="78"/>
      <c r="AI75" s="78"/>
      <c r="AJ75" s="78"/>
      <c r="AK75" s="78"/>
      <c r="AL75" s="78"/>
      <c r="AM75" s="81"/>
      <c r="AN75" s="78"/>
    </row>
    <row r="76" spans="1:40" ht="13.5" customHeight="1">
      <c r="A76" s="78"/>
      <c r="B76" s="78"/>
      <c r="C76" s="81"/>
      <c r="D76" s="78"/>
      <c r="E76" s="78"/>
      <c r="F76" s="78"/>
      <c r="G76" s="78"/>
      <c r="H76" s="78"/>
      <c r="I76" s="78"/>
      <c r="J76" s="78"/>
      <c r="K76" s="78"/>
      <c r="L76" s="78"/>
      <c r="M76" s="78"/>
      <c r="N76" s="78"/>
      <c r="O76" s="78"/>
      <c r="P76" s="78"/>
      <c r="Q76" s="103"/>
      <c r="R76" s="103"/>
      <c r="S76" s="103"/>
      <c r="T76" s="103"/>
      <c r="U76" s="103"/>
      <c r="V76" s="78"/>
      <c r="W76" s="78"/>
      <c r="X76" s="78"/>
      <c r="Y76" s="79"/>
      <c r="Z76" s="79"/>
      <c r="AA76" s="78"/>
      <c r="AB76" s="78"/>
      <c r="AC76" s="78"/>
      <c r="AD76" s="78"/>
      <c r="AE76" s="78"/>
      <c r="AF76" s="78"/>
      <c r="AG76" s="78"/>
      <c r="AH76" s="78"/>
      <c r="AI76" s="78"/>
      <c r="AJ76" s="78"/>
      <c r="AK76" s="78"/>
      <c r="AL76" s="78"/>
      <c r="AM76" s="81"/>
      <c r="AN76" s="78"/>
    </row>
    <row r="77" spans="1:40" ht="13.5" customHeight="1">
      <c r="A77" s="78"/>
      <c r="B77" s="78"/>
      <c r="C77" s="81"/>
      <c r="D77" s="78"/>
      <c r="E77" s="78"/>
      <c r="F77" s="78"/>
      <c r="G77" s="78"/>
      <c r="H77" s="78"/>
      <c r="I77" s="78"/>
      <c r="J77" s="78"/>
      <c r="K77" s="78"/>
      <c r="L77" s="78"/>
      <c r="M77" s="78"/>
      <c r="N77" s="78"/>
      <c r="O77" s="78"/>
      <c r="P77" s="78"/>
      <c r="Q77" s="103"/>
      <c r="R77" s="103"/>
      <c r="S77" s="103"/>
      <c r="T77" s="103"/>
      <c r="U77" s="103"/>
      <c r="V77" s="78"/>
      <c r="W77" s="78"/>
      <c r="X77" s="78"/>
      <c r="Y77" s="79"/>
      <c r="Z77" s="79"/>
      <c r="AA77" s="78"/>
      <c r="AB77" s="78"/>
      <c r="AC77" s="78"/>
      <c r="AD77" s="78"/>
      <c r="AE77" s="78"/>
      <c r="AF77" s="78"/>
      <c r="AG77" s="78"/>
      <c r="AH77" s="78"/>
      <c r="AI77" s="78"/>
      <c r="AJ77" s="78"/>
      <c r="AK77" s="78"/>
      <c r="AL77" s="78"/>
      <c r="AM77" s="81"/>
      <c r="AN77" s="78"/>
    </row>
    <row r="78" spans="1:40" ht="13.5" customHeight="1">
      <c r="A78" s="78"/>
      <c r="B78" s="78"/>
      <c r="C78" s="81"/>
      <c r="D78" s="78"/>
      <c r="E78" s="78"/>
      <c r="F78" s="78"/>
      <c r="G78" s="78"/>
      <c r="H78" s="78"/>
      <c r="I78" s="78"/>
      <c r="J78" s="78"/>
      <c r="K78" s="78"/>
      <c r="L78" s="78"/>
      <c r="M78" s="78"/>
      <c r="N78" s="78"/>
      <c r="O78" s="78"/>
      <c r="P78" s="78"/>
      <c r="Q78" s="103"/>
      <c r="R78" s="103"/>
      <c r="S78" s="103"/>
      <c r="T78" s="103"/>
      <c r="U78" s="103"/>
      <c r="V78" s="78"/>
      <c r="W78" s="78"/>
      <c r="X78" s="78"/>
      <c r="Y78" s="79"/>
      <c r="Z78" s="79"/>
      <c r="AA78" s="78"/>
      <c r="AB78" s="78"/>
      <c r="AC78" s="78"/>
      <c r="AD78" s="78"/>
      <c r="AE78" s="78"/>
      <c r="AF78" s="78"/>
      <c r="AG78" s="78"/>
      <c r="AH78" s="78"/>
      <c r="AI78" s="78"/>
      <c r="AJ78" s="78"/>
      <c r="AK78" s="78"/>
      <c r="AL78" s="78"/>
      <c r="AM78" s="81"/>
      <c r="AN78" s="78"/>
    </row>
    <row r="79" spans="1:40" ht="13.5" customHeight="1">
      <c r="A79" s="78"/>
      <c r="B79" s="78"/>
      <c r="C79" s="81"/>
      <c r="D79" s="78"/>
      <c r="E79" s="78"/>
      <c r="F79" s="78"/>
      <c r="G79" s="78"/>
      <c r="H79" s="78"/>
      <c r="I79" s="78"/>
      <c r="J79" s="78"/>
      <c r="K79" s="78"/>
      <c r="L79" s="78"/>
      <c r="M79" s="78"/>
      <c r="N79" s="78"/>
      <c r="O79" s="78"/>
      <c r="P79" s="78"/>
      <c r="Q79" s="103"/>
      <c r="R79" s="103"/>
      <c r="S79" s="103"/>
      <c r="T79" s="103"/>
      <c r="U79" s="103"/>
      <c r="V79" s="78"/>
      <c r="W79" s="78"/>
      <c r="X79" s="78"/>
      <c r="Y79" s="79"/>
      <c r="Z79" s="79"/>
      <c r="AA79" s="78"/>
      <c r="AB79" s="78"/>
      <c r="AC79" s="78"/>
      <c r="AD79" s="78"/>
      <c r="AE79" s="78"/>
      <c r="AF79" s="78"/>
      <c r="AG79" s="78"/>
      <c r="AH79" s="78"/>
      <c r="AI79" s="78"/>
      <c r="AJ79" s="78"/>
      <c r="AK79" s="78"/>
      <c r="AL79" s="78"/>
      <c r="AM79" s="81"/>
      <c r="AN79" s="78"/>
    </row>
    <row r="80" spans="1:40" ht="13.5" customHeight="1">
      <c r="A80" s="78"/>
      <c r="B80" s="78"/>
      <c r="C80" s="81"/>
      <c r="D80" s="78"/>
      <c r="E80" s="78"/>
      <c r="F80" s="78"/>
      <c r="G80" s="78"/>
      <c r="H80" s="78"/>
      <c r="I80" s="78"/>
      <c r="J80" s="78"/>
      <c r="K80" s="78"/>
      <c r="L80" s="78"/>
      <c r="M80" s="78"/>
      <c r="N80" s="78"/>
      <c r="O80" s="78"/>
      <c r="P80" s="78"/>
      <c r="Q80" s="103"/>
      <c r="R80" s="103"/>
      <c r="S80" s="103"/>
      <c r="T80" s="103"/>
      <c r="U80" s="103"/>
      <c r="V80" s="78"/>
      <c r="W80" s="78"/>
      <c r="X80" s="78"/>
      <c r="Y80" s="79"/>
      <c r="Z80" s="79"/>
      <c r="AA80" s="78"/>
      <c r="AB80" s="78"/>
      <c r="AC80" s="78"/>
      <c r="AD80" s="78"/>
      <c r="AE80" s="78"/>
      <c r="AF80" s="78"/>
      <c r="AG80" s="78"/>
      <c r="AH80" s="78"/>
      <c r="AI80" s="78"/>
      <c r="AJ80" s="78"/>
      <c r="AK80" s="78"/>
      <c r="AL80" s="78"/>
      <c r="AM80" s="81"/>
      <c r="AN80" s="78"/>
    </row>
    <row r="81" spans="1:40" ht="13.5" customHeight="1">
      <c r="A81" s="78"/>
      <c r="B81" s="78"/>
      <c r="C81" s="81"/>
      <c r="D81" s="78"/>
      <c r="E81" s="78"/>
      <c r="F81" s="78"/>
      <c r="G81" s="78"/>
      <c r="H81" s="78"/>
      <c r="I81" s="78"/>
      <c r="J81" s="78"/>
      <c r="K81" s="78"/>
      <c r="L81" s="78"/>
      <c r="M81" s="78"/>
      <c r="N81" s="78"/>
      <c r="O81" s="78"/>
      <c r="P81" s="78"/>
      <c r="Q81" s="103"/>
      <c r="R81" s="103"/>
      <c r="S81" s="103"/>
      <c r="T81" s="103"/>
      <c r="U81" s="103"/>
      <c r="V81" s="78"/>
      <c r="W81" s="78"/>
      <c r="X81" s="78"/>
      <c r="Y81" s="79"/>
      <c r="Z81" s="79"/>
      <c r="AA81" s="78"/>
      <c r="AB81" s="78"/>
      <c r="AC81" s="78"/>
      <c r="AD81" s="78"/>
      <c r="AE81" s="78"/>
      <c r="AF81" s="78"/>
      <c r="AG81" s="78"/>
      <c r="AH81" s="78"/>
      <c r="AI81" s="78"/>
      <c r="AJ81" s="78"/>
      <c r="AK81" s="78"/>
      <c r="AL81" s="78"/>
      <c r="AM81" s="81"/>
      <c r="AN81" s="78"/>
    </row>
    <row r="82" spans="1:40" ht="13.5" customHeight="1">
      <c r="A82" s="78"/>
      <c r="B82" s="78"/>
      <c r="C82" s="81"/>
      <c r="D82" s="78"/>
      <c r="E82" s="78"/>
      <c r="F82" s="78"/>
      <c r="G82" s="78"/>
      <c r="H82" s="78"/>
      <c r="I82" s="78"/>
      <c r="J82" s="78"/>
      <c r="K82" s="78"/>
      <c r="L82" s="78"/>
      <c r="M82" s="78"/>
      <c r="N82" s="78"/>
      <c r="O82" s="78"/>
      <c r="P82" s="78"/>
      <c r="Q82" s="103"/>
      <c r="R82" s="103"/>
      <c r="S82" s="103"/>
      <c r="T82" s="103"/>
      <c r="U82" s="103"/>
      <c r="V82" s="78"/>
      <c r="W82" s="78"/>
      <c r="X82" s="78"/>
      <c r="Y82" s="79"/>
      <c r="Z82" s="79"/>
      <c r="AA82" s="78"/>
      <c r="AB82" s="78"/>
      <c r="AC82" s="78"/>
      <c r="AD82" s="78"/>
      <c r="AE82" s="78"/>
      <c r="AF82" s="78"/>
      <c r="AG82" s="78"/>
      <c r="AH82" s="78"/>
      <c r="AI82" s="78"/>
      <c r="AJ82" s="78"/>
      <c r="AK82" s="78"/>
      <c r="AL82" s="78"/>
      <c r="AM82" s="81"/>
      <c r="AN82" s="78"/>
    </row>
    <row r="83" spans="1:40" ht="13.5" customHeight="1">
      <c r="A83" s="78"/>
      <c r="B83" s="78"/>
      <c r="C83" s="81"/>
      <c r="D83" s="78"/>
      <c r="E83" s="78"/>
      <c r="F83" s="78"/>
      <c r="G83" s="78"/>
      <c r="H83" s="78"/>
      <c r="I83" s="78"/>
      <c r="J83" s="78"/>
      <c r="K83" s="78"/>
      <c r="L83" s="78"/>
      <c r="M83" s="78"/>
      <c r="N83" s="78"/>
      <c r="O83" s="78"/>
      <c r="P83" s="78"/>
      <c r="Q83" s="103"/>
      <c r="R83" s="103"/>
      <c r="S83" s="103"/>
      <c r="T83" s="103"/>
      <c r="U83" s="103"/>
      <c r="V83" s="78"/>
      <c r="W83" s="78"/>
      <c r="X83" s="78"/>
      <c r="Y83" s="79"/>
      <c r="Z83" s="79"/>
      <c r="AA83" s="78"/>
      <c r="AB83" s="78"/>
      <c r="AC83" s="78"/>
      <c r="AD83" s="78"/>
      <c r="AE83" s="78"/>
      <c r="AF83" s="78"/>
      <c r="AG83" s="78"/>
      <c r="AH83" s="78"/>
      <c r="AI83" s="78"/>
      <c r="AJ83" s="78"/>
      <c r="AK83" s="78"/>
      <c r="AL83" s="78"/>
      <c r="AM83" s="81"/>
      <c r="AN83" s="78"/>
    </row>
    <row r="84" spans="1:40" ht="13.5" customHeight="1">
      <c r="A84" s="78"/>
      <c r="B84" s="78"/>
      <c r="C84" s="81"/>
      <c r="D84" s="78"/>
      <c r="E84" s="78"/>
      <c r="F84" s="78"/>
      <c r="G84" s="78"/>
      <c r="H84" s="78"/>
      <c r="I84" s="78"/>
      <c r="J84" s="78"/>
      <c r="K84" s="78"/>
      <c r="L84" s="78"/>
      <c r="M84" s="78"/>
      <c r="N84" s="78"/>
      <c r="O84" s="78"/>
      <c r="P84" s="78"/>
      <c r="Q84" s="103"/>
      <c r="R84" s="103"/>
      <c r="S84" s="103"/>
      <c r="T84" s="103"/>
      <c r="U84" s="103"/>
      <c r="V84" s="78"/>
      <c r="W84" s="78"/>
      <c r="X84" s="78"/>
      <c r="Y84" s="79"/>
      <c r="Z84" s="79"/>
      <c r="AA84" s="78"/>
      <c r="AB84" s="78"/>
      <c r="AC84" s="78"/>
      <c r="AD84" s="78"/>
      <c r="AE84" s="78"/>
      <c r="AF84" s="78"/>
      <c r="AG84" s="78"/>
      <c r="AH84" s="78"/>
      <c r="AI84" s="78"/>
      <c r="AJ84" s="78"/>
      <c r="AK84" s="78"/>
      <c r="AL84" s="78"/>
      <c r="AM84" s="81"/>
      <c r="AN84" s="78"/>
    </row>
    <row r="85" spans="1:40" ht="13.5" customHeight="1">
      <c r="A85" s="78"/>
      <c r="B85" s="78"/>
      <c r="C85" s="81"/>
      <c r="D85" s="78"/>
      <c r="E85" s="78"/>
      <c r="F85" s="78"/>
      <c r="G85" s="78"/>
      <c r="H85" s="78"/>
      <c r="I85" s="78"/>
      <c r="J85" s="78"/>
      <c r="K85" s="78"/>
      <c r="L85" s="78"/>
      <c r="M85" s="78"/>
      <c r="N85" s="78"/>
      <c r="O85" s="78"/>
      <c r="P85" s="78"/>
      <c r="Q85" s="103"/>
      <c r="R85" s="103"/>
      <c r="S85" s="103"/>
      <c r="T85" s="103"/>
      <c r="U85" s="103"/>
      <c r="V85" s="78"/>
      <c r="W85" s="78"/>
      <c r="X85" s="78"/>
      <c r="Y85" s="79"/>
      <c r="Z85" s="79"/>
      <c r="AA85" s="78"/>
      <c r="AB85" s="78"/>
      <c r="AC85" s="78"/>
      <c r="AD85" s="78"/>
      <c r="AE85" s="78"/>
      <c r="AF85" s="78"/>
      <c r="AG85" s="78"/>
      <c r="AH85" s="78"/>
      <c r="AI85" s="78"/>
      <c r="AJ85" s="78"/>
      <c r="AK85" s="78"/>
      <c r="AL85" s="78"/>
      <c r="AM85" s="81"/>
      <c r="AN85" s="78"/>
    </row>
    <row r="86" spans="1:40" ht="13.5" customHeight="1">
      <c r="A86" s="78"/>
      <c r="B86" s="78"/>
      <c r="C86" s="81"/>
      <c r="D86" s="78"/>
      <c r="E86" s="78"/>
      <c r="F86" s="78"/>
      <c r="G86" s="78"/>
      <c r="H86" s="78"/>
      <c r="I86" s="78"/>
      <c r="J86" s="78"/>
      <c r="K86" s="78"/>
      <c r="L86" s="78"/>
      <c r="M86" s="78"/>
      <c r="N86" s="78"/>
      <c r="O86" s="78"/>
      <c r="P86" s="78"/>
      <c r="Q86" s="103"/>
      <c r="R86" s="103"/>
      <c r="S86" s="103"/>
      <c r="T86" s="103"/>
      <c r="U86" s="103"/>
      <c r="V86" s="78"/>
      <c r="W86" s="78"/>
      <c r="X86" s="78"/>
      <c r="Y86" s="79"/>
      <c r="Z86" s="79"/>
      <c r="AA86" s="78"/>
      <c r="AB86" s="78"/>
      <c r="AC86" s="78"/>
      <c r="AD86" s="78"/>
      <c r="AE86" s="78"/>
      <c r="AF86" s="78"/>
      <c r="AG86" s="78"/>
      <c r="AH86" s="78"/>
      <c r="AI86" s="78"/>
      <c r="AJ86" s="78"/>
      <c r="AK86" s="78"/>
      <c r="AL86" s="78"/>
      <c r="AM86" s="81"/>
      <c r="AN86" s="78"/>
    </row>
    <row r="87" spans="1:40" ht="13.5" customHeight="1">
      <c r="A87" s="78"/>
      <c r="B87" s="78"/>
      <c r="C87" s="81"/>
      <c r="D87" s="78"/>
      <c r="E87" s="78"/>
      <c r="F87" s="78"/>
      <c r="G87" s="78"/>
      <c r="H87" s="78"/>
      <c r="I87" s="78"/>
      <c r="J87" s="78"/>
      <c r="K87" s="78"/>
      <c r="L87" s="78"/>
      <c r="M87" s="78"/>
      <c r="N87" s="78"/>
      <c r="O87" s="78"/>
      <c r="P87" s="78"/>
      <c r="Q87" s="103"/>
      <c r="R87" s="103"/>
      <c r="S87" s="103"/>
      <c r="T87" s="103"/>
      <c r="U87" s="103"/>
      <c r="V87" s="78"/>
      <c r="W87" s="78"/>
      <c r="X87" s="78"/>
      <c r="Y87" s="79"/>
      <c r="Z87" s="79"/>
      <c r="AA87" s="78"/>
      <c r="AB87" s="78"/>
      <c r="AC87" s="78"/>
      <c r="AD87" s="78"/>
      <c r="AE87" s="78"/>
      <c r="AF87" s="78"/>
      <c r="AG87" s="78"/>
      <c r="AH87" s="78"/>
      <c r="AI87" s="78"/>
      <c r="AJ87" s="78"/>
      <c r="AK87" s="78"/>
      <c r="AL87" s="78"/>
      <c r="AM87" s="81"/>
      <c r="AN87" s="78"/>
    </row>
    <row r="88" spans="1:40" ht="13.5" customHeight="1">
      <c r="A88" s="78"/>
      <c r="B88" s="78"/>
      <c r="C88" s="81"/>
      <c r="D88" s="78"/>
      <c r="E88" s="78"/>
      <c r="F88" s="78"/>
      <c r="G88" s="78"/>
      <c r="H88" s="78"/>
      <c r="I88" s="78"/>
      <c r="J88" s="78"/>
      <c r="K88" s="78"/>
      <c r="L88" s="78"/>
      <c r="M88" s="78"/>
      <c r="N88" s="78"/>
      <c r="O88" s="78"/>
      <c r="P88" s="78"/>
      <c r="Q88" s="103"/>
      <c r="R88" s="103"/>
      <c r="S88" s="103"/>
      <c r="T88" s="103"/>
      <c r="U88" s="103"/>
      <c r="V88" s="78"/>
      <c r="W88" s="78"/>
      <c r="X88" s="78"/>
      <c r="Y88" s="79"/>
      <c r="Z88" s="79"/>
      <c r="AA88" s="78"/>
      <c r="AB88" s="78"/>
      <c r="AC88" s="78"/>
      <c r="AD88" s="78"/>
      <c r="AE88" s="78"/>
      <c r="AF88" s="78"/>
      <c r="AG88" s="78"/>
      <c r="AH88" s="78"/>
      <c r="AI88" s="78"/>
      <c r="AJ88" s="78"/>
      <c r="AK88" s="78"/>
      <c r="AL88" s="78"/>
      <c r="AM88" s="81"/>
      <c r="AN88" s="78"/>
    </row>
    <row r="89" spans="1:40" ht="13.5" customHeight="1">
      <c r="A89" s="78"/>
      <c r="B89" s="78"/>
      <c r="C89" s="81"/>
      <c r="D89" s="78"/>
      <c r="E89" s="78"/>
      <c r="F89" s="78"/>
      <c r="G89" s="78"/>
      <c r="H89" s="78"/>
      <c r="I89" s="78"/>
      <c r="J89" s="78"/>
      <c r="K89" s="78"/>
      <c r="L89" s="78"/>
      <c r="M89" s="78"/>
      <c r="N89" s="78"/>
      <c r="O89" s="78"/>
      <c r="P89" s="78"/>
      <c r="Q89" s="103"/>
      <c r="R89" s="103"/>
      <c r="S89" s="103"/>
      <c r="T89" s="103"/>
      <c r="U89" s="103"/>
      <c r="V89" s="78"/>
      <c r="W89" s="78"/>
      <c r="X89" s="78"/>
      <c r="Y89" s="79"/>
      <c r="Z89" s="79"/>
      <c r="AA89" s="78"/>
      <c r="AB89" s="78"/>
      <c r="AC89" s="78"/>
      <c r="AD89" s="78"/>
      <c r="AE89" s="78"/>
      <c r="AF89" s="78"/>
      <c r="AG89" s="78"/>
      <c r="AH89" s="78"/>
      <c r="AI89" s="78"/>
      <c r="AJ89" s="78"/>
      <c r="AK89" s="78"/>
      <c r="AL89" s="78"/>
      <c r="AM89" s="81"/>
      <c r="AN89" s="78"/>
    </row>
    <row r="90" spans="1:40" ht="13.5" customHeight="1">
      <c r="A90" s="78"/>
      <c r="B90" s="78"/>
      <c r="C90" s="81"/>
      <c r="D90" s="78"/>
      <c r="E90" s="78"/>
      <c r="F90" s="78"/>
      <c r="G90" s="78"/>
      <c r="H90" s="78"/>
      <c r="I90" s="78"/>
      <c r="J90" s="78"/>
      <c r="K90" s="78"/>
      <c r="L90" s="78"/>
      <c r="M90" s="78"/>
      <c r="N90" s="78"/>
      <c r="O90" s="78"/>
      <c r="P90" s="78"/>
      <c r="Q90" s="103"/>
      <c r="R90" s="103"/>
      <c r="S90" s="103"/>
      <c r="T90" s="103"/>
      <c r="U90" s="103"/>
      <c r="V90" s="78"/>
      <c r="W90" s="78"/>
      <c r="X90" s="78"/>
      <c r="Y90" s="79"/>
      <c r="Z90" s="79"/>
      <c r="AA90" s="78"/>
      <c r="AB90" s="78"/>
      <c r="AC90" s="78"/>
      <c r="AD90" s="78"/>
      <c r="AE90" s="78"/>
      <c r="AF90" s="78"/>
      <c r="AG90" s="78"/>
      <c r="AH90" s="78"/>
      <c r="AI90" s="78"/>
      <c r="AJ90" s="78"/>
      <c r="AK90" s="78"/>
      <c r="AL90" s="78"/>
      <c r="AM90" s="81"/>
      <c r="AN90" s="78"/>
    </row>
    <row r="91" spans="1:40" ht="13.5" customHeight="1">
      <c r="A91" s="78"/>
      <c r="B91" s="78"/>
      <c r="C91" s="81"/>
      <c r="D91" s="78"/>
      <c r="E91" s="78"/>
      <c r="F91" s="78"/>
      <c r="G91" s="78"/>
      <c r="H91" s="78"/>
      <c r="I91" s="78"/>
      <c r="J91" s="78"/>
      <c r="K91" s="78"/>
      <c r="L91" s="78"/>
      <c r="M91" s="78"/>
      <c r="N91" s="78"/>
      <c r="O91" s="78"/>
      <c r="P91" s="78"/>
      <c r="Q91" s="103"/>
      <c r="R91" s="103"/>
      <c r="S91" s="103"/>
      <c r="T91" s="103"/>
      <c r="U91" s="103"/>
      <c r="V91" s="78"/>
      <c r="W91" s="78"/>
      <c r="X91" s="78"/>
      <c r="Y91" s="79"/>
      <c r="Z91" s="79"/>
      <c r="AA91" s="78"/>
      <c r="AB91" s="78"/>
      <c r="AC91" s="78"/>
      <c r="AD91" s="78"/>
      <c r="AE91" s="78"/>
      <c r="AF91" s="78"/>
      <c r="AG91" s="78"/>
      <c r="AH91" s="78"/>
      <c r="AI91" s="78"/>
      <c r="AJ91" s="78"/>
      <c r="AK91" s="78"/>
      <c r="AL91" s="78"/>
      <c r="AM91" s="81"/>
      <c r="AN91" s="78"/>
    </row>
    <row r="92" spans="1:40" ht="13.5" customHeight="1">
      <c r="A92" s="78"/>
      <c r="B92" s="78"/>
      <c r="C92" s="81"/>
      <c r="D92" s="78"/>
      <c r="E92" s="78"/>
      <c r="F92" s="78"/>
      <c r="G92" s="78"/>
      <c r="H92" s="78"/>
      <c r="I92" s="78"/>
      <c r="J92" s="78"/>
      <c r="K92" s="78"/>
      <c r="L92" s="78"/>
      <c r="M92" s="78"/>
      <c r="N92" s="78"/>
      <c r="O92" s="78"/>
      <c r="P92" s="78"/>
      <c r="Q92" s="103"/>
      <c r="R92" s="103"/>
      <c r="S92" s="103"/>
      <c r="T92" s="103"/>
      <c r="U92" s="103"/>
      <c r="V92" s="78"/>
      <c r="W92" s="78"/>
      <c r="X92" s="78"/>
      <c r="Y92" s="79"/>
      <c r="Z92" s="79"/>
      <c r="AA92" s="78"/>
      <c r="AB92" s="78"/>
      <c r="AC92" s="78"/>
      <c r="AD92" s="78"/>
      <c r="AE92" s="78"/>
      <c r="AF92" s="78"/>
      <c r="AG92" s="78"/>
      <c r="AH92" s="78"/>
      <c r="AI92" s="78"/>
      <c r="AJ92" s="78"/>
      <c r="AK92" s="78"/>
      <c r="AL92" s="78"/>
      <c r="AM92" s="81"/>
      <c r="AN92" s="78"/>
    </row>
    <row r="93" spans="1:40" ht="13.5" customHeight="1">
      <c r="A93" s="78"/>
      <c r="B93" s="78"/>
      <c r="C93" s="81"/>
      <c r="D93" s="78"/>
      <c r="E93" s="78"/>
      <c r="F93" s="78"/>
      <c r="G93" s="78"/>
      <c r="H93" s="78"/>
      <c r="I93" s="78"/>
      <c r="J93" s="78"/>
      <c r="K93" s="78"/>
      <c r="L93" s="78"/>
      <c r="M93" s="78"/>
      <c r="N93" s="78"/>
      <c r="O93" s="78"/>
      <c r="P93" s="78"/>
      <c r="Q93" s="103"/>
      <c r="R93" s="103"/>
      <c r="S93" s="103"/>
      <c r="T93" s="103"/>
      <c r="U93" s="103"/>
      <c r="V93" s="78"/>
      <c r="W93" s="78"/>
      <c r="X93" s="78"/>
      <c r="Y93" s="79"/>
      <c r="Z93" s="79"/>
      <c r="AA93" s="78"/>
      <c r="AB93" s="78"/>
      <c r="AC93" s="78"/>
      <c r="AD93" s="78"/>
      <c r="AE93" s="78"/>
      <c r="AF93" s="78"/>
      <c r="AG93" s="78"/>
      <c r="AH93" s="78"/>
      <c r="AI93" s="78"/>
      <c r="AJ93" s="78"/>
      <c r="AK93" s="78"/>
      <c r="AL93" s="78"/>
      <c r="AM93" s="81"/>
      <c r="AN93" s="78"/>
    </row>
    <row r="94" spans="1:40" ht="13.5" customHeight="1">
      <c r="A94" s="78"/>
      <c r="B94" s="78"/>
      <c r="C94" s="81"/>
      <c r="D94" s="78"/>
      <c r="E94" s="78"/>
      <c r="F94" s="78"/>
      <c r="G94" s="78"/>
      <c r="H94" s="78"/>
      <c r="I94" s="78"/>
      <c r="J94" s="78"/>
      <c r="K94" s="78"/>
      <c r="L94" s="78"/>
      <c r="M94" s="78"/>
      <c r="N94" s="78"/>
      <c r="O94" s="78"/>
      <c r="P94" s="78"/>
      <c r="Q94" s="103"/>
      <c r="R94" s="103"/>
      <c r="S94" s="103"/>
      <c r="T94" s="103"/>
      <c r="U94" s="103"/>
      <c r="V94" s="78"/>
      <c r="W94" s="78"/>
      <c r="X94" s="78"/>
      <c r="Y94" s="79"/>
      <c r="Z94" s="79"/>
      <c r="AA94" s="78"/>
      <c r="AB94" s="78"/>
      <c r="AC94" s="78"/>
      <c r="AD94" s="78"/>
      <c r="AE94" s="78"/>
      <c r="AF94" s="78"/>
      <c r="AG94" s="78"/>
      <c r="AH94" s="78"/>
      <c r="AI94" s="78"/>
      <c r="AJ94" s="78"/>
      <c r="AK94" s="78"/>
      <c r="AL94" s="78"/>
      <c r="AM94" s="81"/>
      <c r="AN94" s="78"/>
    </row>
    <row r="95" spans="1:40" ht="13.5" customHeight="1">
      <c r="A95" s="78"/>
      <c r="B95" s="78"/>
      <c r="C95" s="81"/>
      <c r="D95" s="78"/>
      <c r="E95" s="78"/>
      <c r="F95" s="78"/>
      <c r="G95" s="78"/>
      <c r="H95" s="78"/>
      <c r="I95" s="78"/>
      <c r="J95" s="78"/>
      <c r="K95" s="78"/>
      <c r="L95" s="78"/>
      <c r="M95" s="78"/>
      <c r="N95" s="78"/>
      <c r="O95" s="78"/>
      <c r="P95" s="78"/>
      <c r="Q95" s="103"/>
      <c r="R95" s="103"/>
      <c r="S95" s="103"/>
      <c r="T95" s="103"/>
      <c r="U95" s="103"/>
      <c r="V95" s="78"/>
      <c r="W95" s="78"/>
      <c r="X95" s="78"/>
      <c r="Y95" s="79"/>
      <c r="Z95" s="79"/>
      <c r="AA95" s="78"/>
      <c r="AB95" s="78"/>
      <c r="AC95" s="78"/>
      <c r="AD95" s="78"/>
      <c r="AE95" s="78"/>
      <c r="AF95" s="78"/>
      <c r="AG95" s="78"/>
      <c r="AH95" s="78"/>
      <c r="AI95" s="78"/>
      <c r="AJ95" s="78"/>
      <c r="AK95" s="78"/>
      <c r="AL95" s="78"/>
      <c r="AM95" s="81"/>
      <c r="AN95" s="78"/>
    </row>
    <row r="96" spans="1:40" ht="13.5" customHeight="1">
      <c r="A96" s="78"/>
      <c r="B96" s="78"/>
      <c r="C96" s="81"/>
      <c r="D96" s="78"/>
      <c r="E96" s="78"/>
      <c r="F96" s="78"/>
      <c r="G96" s="78"/>
      <c r="H96" s="78"/>
      <c r="I96" s="78"/>
      <c r="J96" s="78"/>
      <c r="K96" s="78"/>
      <c r="L96" s="78"/>
      <c r="M96" s="78"/>
      <c r="N96" s="78"/>
      <c r="O96" s="78"/>
      <c r="P96" s="78"/>
      <c r="Q96" s="103"/>
      <c r="R96" s="103"/>
      <c r="S96" s="103"/>
      <c r="T96" s="103"/>
      <c r="U96" s="103"/>
      <c r="V96" s="78"/>
      <c r="W96" s="78"/>
      <c r="X96" s="78"/>
      <c r="Y96" s="79"/>
      <c r="Z96" s="79"/>
      <c r="AA96" s="78"/>
      <c r="AB96" s="78"/>
      <c r="AC96" s="78"/>
      <c r="AD96" s="78"/>
      <c r="AE96" s="78"/>
      <c r="AF96" s="78"/>
      <c r="AG96" s="78"/>
      <c r="AH96" s="78"/>
      <c r="AI96" s="78"/>
      <c r="AJ96" s="78"/>
      <c r="AK96" s="78"/>
      <c r="AL96" s="78"/>
      <c r="AM96" s="81"/>
      <c r="AN96" s="78"/>
    </row>
    <row r="97" spans="1:40" ht="13.5" customHeight="1">
      <c r="A97" s="78"/>
      <c r="B97" s="78"/>
      <c r="C97" s="81"/>
      <c r="D97" s="78"/>
      <c r="E97" s="78"/>
      <c r="F97" s="78"/>
      <c r="G97" s="78"/>
      <c r="H97" s="78"/>
      <c r="I97" s="78"/>
      <c r="J97" s="78"/>
      <c r="K97" s="78"/>
      <c r="L97" s="78"/>
      <c r="M97" s="78"/>
      <c r="N97" s="78"/>
      <c r="O97" s="78"/>
      <c r="P97" s="78"/>
      <c r="Q97" s="103"/>
      <c r="R97" s="103"/>
      <c r="S97" s="103"/>
      <c r="T97" s="103"/>
      <c r="U97" s="103"/>
      <c r="V97" s="78"/>
      <c r="W97" s="78"/>
      <c r="X97" s="78"/>
      <c r="Y97" s="79"/>
      <c r="Z97" s="79"/>
      <c r="AA97" s="78"/>
      <c r="AB97" s="78"/>
      <c r="AC97" s="78"/>
      <c r="AD97" s="78"/>
      <c r="AE97" s="78"/>
      <c r="AF97" s="78"/>
      <c r="AG97" s="78"/>
      <c r="AH97" s="78"/>
      <c r="AI97" s="78"/>
      <c r="AJ97" s="78"/>
      <c r="AK97" s="78"/>
      <c r="AL97" s="78"/>
      <c r="AM97" s="81"/>
      <c r="AN97" s="78"/>
    </row>
    <row r="98" spans="1:40" ht="13.5" customHeight="1">
      <c r="A98" s="78"/>
      <c r="B98" s="78"/>
      <c r="C98" s="81"/>
      <c r="D98" s="78"/>
      <c r="E98" s="78"/>
      <c r="F98" s="78"/>
      <c r="G98" s="78"/>
      <c r="H98" s="78"/>
      <c r="I98" s="78"/>
      <c r="J98" s="78"/>
      <c r="K98" s="78"/>
      <c r="L98" s="78"/>
      <c r="M98" s="78"/>
      <c r="N98" s="78"/>
      <c r="O98" s="78"/>
      <c r="P98" s="78"/>
      <c r="Q98" s="103"/>
      <c r="R98" s="103"/>
      <c r="S98" s="103"/>
      <c r="T98" s="103"/>
      <c r="U98" s="103"/>
      <c r="V98" s="78"/>
      <c r="W98" s="78"/>
      <c r="X98" s="78"/>
      <c r="Y98" s="79"/>
      <c r="Z98" s="79"/>
      <c r="AA98" s="78"/>
      <c r="AB98" s="78"/>
      <c r="AC98" s="78"/>
      <c r="AD98" s="78"/>
      <c r="AE98" s="78"/>
      <c r="AF98" s="78"/>
      <c r="AG98" s="78"/>
      <c r="AH98" s="78"/>
      <c r="AI98" s="78"/>
      <c r="AJ98" s="78"/>
      <c r="AK98" s="78"/>
      <c r="AL98" s="78"/>
      <c r="AM98" s="81"/>
      <c r="AN98" s="78"/>
    </row>
    <row r="99" spans="1:40" ht="13.5" customHeight="1">
      <c r="A99" s="78"/>
      <c r="B99" s="78"/>
      <c r="C99" s="81"/>
      <c r="D99" s="78"/>
      <c r="E99" s="78"/>
      <c r="F99" s="78"/>
      <c r="G99" s="78"/>
      <c r="H99" s="78"/>
      <c r="I99" s="78"/>
      <c r="J99" s="78"/>
      <c r="K99" s="78"/>
      <c r="L99" s="78"/>
      <c r="M99" s="78"/>
      <c r="N99" s="78"/>
      <c r="O99" s="78"/>
      <c r="P99" s="78"/>
      <c r="Q99" s="103"/>
      <c r="R99" s="103"/>
      <c r="S99" s="103"/>
      <c r="T99" s="103"/>
      <c r="U99" s="103"/>
      <c r="V99" s="78"/>
      <c r="W99" s="78"/>
      <c r="X99" s="78"/>
      <c r="Y99" s="79"/>
      <c r="Z99" s="79"/>
      <c r="AA99" s="78"/>
      <c r="AB99" s="78"/>
      <c r="AC99" s="78"/>
      <c r="AD99" s="78"/>
      <c r="AE99" s="78"/>
      <c r="AF99" s="78"/>
      <c r="AG99" s="78"/>
      <c r="AH99" s="78"/>
      <c r="AI99" s="78"/>
      <c r="AJ99" s="78"/>
      <c r="AK99" s="78"/>
      <c r="AL99" s="78"/>
      <c r="AM99" s="81"/>
      <c r="AN99" s="78"/>
    </row>
    <row r="100" spans="1:40" ht="13.5" customHeight="1">
      <c r="A100" s="78"/>
      <c r="B100" s="78"/>
      <c r="C100" s="81"/>
      <c r="D100" s="78"/>
      <c r="E100" s="78"/>
      <c r="F100" s="78"/>
      <c r="G100" s="78"/>
      <c r="H100" s="78"/>
      <c r="I100" s="78"/>
      <c r="J100" s="78"/>
      <c r="K100" s="78"/>
      <c r="L100" s="78"/>
      <c r="M100" s="78"/>
      <c r="N100" s="78"/>
      <c r="O100" s="78"/>
      <c r="P100" s="78"/>
      <c r="Q100" s="103"/>
      <c r="R100" s="103"/>
      <c r="S100" s="103"/>
      <c r="T100" s="103"/>
      <c r="U100" s="103"/>
      <c r="V100" s="78"/>
      <c r="W100" s="78"/>
      <c r="X100" s="78"/>
      <c r="Y100" s="79"/>
      <c r="Z100" s="79"/>
      <c r="AA100" s="78"/>
      <c r="AB100" s="78"/>
      <c r="AC100" s="78"/>
      <c r="AD100" s="78"/>
      <c r="AE100" s="78"/>
      <c r="AF100" s="78"/>
      <c r="AG100" s="78"/>
      <c r="AH100" s="78"/>
      <c r="AI100" s="78"/>
      <c r="AJ100" s="78"/>
      <c r="AK100" s="78"/>
      <c r="AL100" s="78"/>
      <c r="AM100" s="81"/>
      <c r="AN100" s="78"/>
    </row>
  </sheetData>
  <mergeCells count="20">
    <mergeCell ref="A1:AM1"/>
    <mergeCell ref="A2:AM2"/>
    <mergeCell ref="D3:Q3"/>
    <mergeCell ref="R3:U3"/>
    <mergeCell ref="AB3:AI3"/>
    <mergeCell ref="X3:X4"/>
    <mergeCell ref="Y3:Y4"/>
    <mergeCell ref="Z3:Z4"/>
    <mergeCell ref="AA3:AA4"/>
    <mergeCell ref="AJ3:AJ4"/>
    <mergeCell ref="A8:Q8"/>
    <mergeCell ref="A9:B9"/>
    <mergeCell ref="AL9:AM9"/>
    <mergeCell ref="A3:A4"/>
    <mergeCell ref="B3:B4"/>
    <mergeCell ref="C3:C4"/>
    <mergeCell ref="V3:V4"/>
    <mergeCell ref="AM3:AM4"/>
    <mergeCell ref="AK3:AL3"/>
    <mergeCell ref="W3:W4"/>
  </mergeCells>
  <conditionalFormatting sqref="J11">
    <cfRule type="cellIs" dxfId="16" priority="2" stopIfTrue="1" operator="equal">
      <formula>"ER"</formula>
    </cfRule>
  </conditionalFormatting>
  <conditionalFormatting sqref="J7:L7">
    <cfRule type="cellIs" dxfId="15" priority="1" stopIfTrue="1" operator="equal">
      <formula>"ER"</formula>
    </cfRule>
  </conditionalFormatting>
  <conditionalFormatting sqref="J5:N6">
    <cfRule type="cellIs" dxfId="14" priority="3" stopIfTrue="1" operator="equal">
      <formula>"ER"</formula>
    </cfRule>
  </conditionalFormatting>
  <conditionalFormatting sqref="K15">
    <cfRule type="cellIs" dxfId="13" priority="4" stopIfTrue="1" operator="equal">
      <formula>"ER"</formula>
    </cfRule>
  </conditionalFormatting>
  <printOptions horizontalCentered="1"/>
  <pageMargins left="0" right="0" top="0.23622047244094499" bottom="0.74803149606299202" header="0" footer="0"/>
  <pageSetup paperSize="9" scale="52"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70990-AFB1-41FE-A53D-2E170C2B855B}">
  <sheetPr>
    <tabColor theme="9" tint="-0.499984740745262"/>
    <pageSetUpPr fitToPage="1"/>
  </sheetPr>
  <dimension ref="A1:XFD22"/>
  <sheetViews>
    <sheetView topLeftCell="B1" zoomScale="70" zoomScaleNormal="70" zoomScaleSheetLayoutView="150" zoomScalePageLayoutView="35" workbookViewId="0">
      <pane ySplit="4" topLeftCell="A5" activePane="bottomLeft" state="frozen"/>
      <selection pane="bottomLeft" activeCell="D9" sqref="D9"/>
    </sheetView>
  </sheetViews>
  <sheetFormatPr defaultColWidth="9.1796875" defaultRowHeight="29.25" customHeight="1"/>
  <cols>
    <col min="1" max="1" width="7" style="331" customWidth="1"/>
    <col min="2" max="2" width="27.81640625" style="331" bestFit="1" customWidth="1"/>
    <col min="3" max="3" width="16.26953125" style="331" bestFit="1" customWidth="1"/>
    <col min="4" max="4" width="14.1796875" style="331" bestFit="1" customWidth="1"/>
    <col min="5" max="7" width="15.453125" style="331" customWidth="1"/>
    <col min="8" max="8" width="12" style="331" customWidth="1"/>
    <col min="9" max="9" width="14.453125" style="331" customWidth="1"/>
    <col min="10" max="10" width="14.26953125" style="331" customWidth="1"/>
    <col min="11" max="11" width="16" style="331" customWidth="1"/>
    <col min="12" max="12" width="15.81640625" style="331" customWidth="1"/>
    <col min="13" max="13" width="15.453125" style="331" customWidth="1"/>
    <col min="14" max="14" width="45.81640625" style="336" customWidth="1"/>
    <col min="15" max="15" width="22.7265625" style="330" bestFit="1" customWidth="1"/>
    <col min="16" max="16384" width="9.1796875" style="331"/>
  </cols>
  <sheetData>
    <row r="1" spans="1:15" ht="29.25" customHeight="1">
      <c r="A1" s="805" t="s">
        <v>0</v>
      </c>
      <c r="B1" s="806"/>
      <c r="C1" s="806"/>
      <c r="D1" s="806"/>
      <c r="E1" s="806"/>
      <c r="F1" s="806"/>
      <c r="G1" s="806"/>
      <c r="H1" s="806"/>
      <c r="I1" s="806"/>
      <c r="J1" s="806"/>
      <c r="K1" s="806"/>
      <c r="L1" s="806"/>
      <c r="M1" s="806"/>
      <c r="N1" s="807"/>
    </row>
    <row r="2" spans="1:15" ht="29.25" customHeight="1">
      <c r="A2" s="808" t="s">
        <v>578</v>
      </c>
      <c r="B2" s="809"/>
      <c r="C2" s="809"/>
      <c r="D2" s="809"/>
      <c r="E2" s="809"/>
      <c r="F2" s="809"/>
      <c r="G2" s="809"/>
      <c r="H2" s="809"/>
      <c r="I2" s="809"/>
      <c r="J2" s="809"/>
      <c r="K2" s="809"/>
      <c r="L2" s="809"/>
      <c r="M2" s="809"/>
      <c r="N2" s="810"/>
    </row>
    <row r="3" spans="1:15" ht="29.25" customHeight="1">
      <c r="A3" s="808" t="s">
        <v>209</v>
      </c>
      <c r="B3" s="809"/>
      <c r="C3" s="809"/>
      <c r="D3" s="809"/>
      <c r="E3" s="809"/>
      <c r="F3" s="809"/>
      <c r="G3" s="809"/>
      <c r="H3" s="809"/>
      <c r="I3" s="809"/>
      <c r="J3" s="809"/>
      <c r="K3" s="809"/>
      <c r="L3" s="809"/>
      <c r="M3" s="809"/>
      <c r="N3" s="810"/>
    </row>
    <row r="4" spans="1:15" s="336" customFormat="1" ht="55.5">
      <c r="A4" s="332" t="s">
        <v>39</v>
      </c>
      <c r="B4" s="333" t="s">
        <v>40</v>
      </c>
      <c r="C4" s="333" t="s">
        <v>41</v>
      </c>
      <c r="D4" s="333" t="s">
        <v>217</v>
      </c>
      <c r="E4" s="333" t="s">
        <v>218</v>
      </c>
      <c r="F4" s="333" t="s">
        <v>219</v>
      </c>
      <c r="G4" s="333" t="s">
        <v>220</v>
      </c>
      <c r="H4" s="333" t="s">
        <v>221</v>
      </c>
      <c r="I4" s="333" t="s">
        <v>222</v>
      </c>
      <c r="J4" s="333" t="s">
        <v>223</v>
      </c>
      <c r="K4" s="333" t="s">
        <v>224</v>
      </c>
      <c r="L4" s="333" t="s">
        <v>225</v>
      </c>
      <c r="M4" s="333" t="s">
        <v>50</v>
      </c>
      <c r="N4" s="334" t="s">
        <v>52</v>
      </c>
      <c r="O4" s="335"/>
    </row>
    <row r="5" spans="1:15" s="344" customFormat="1" ht="41.25" customHeight="1">
      <c r="A5" s="337">
        <v>1</v>
      </c>
      <c r="B5" s="544" t="s">
        <v>226</v>
      </c>
      <c r="C5" s="338" t="s">
        <v>227</v>
      </c>
      <c r="D5" s="339">
        <v>20000</v>
      </c>
      <c r="E5" s="338">
        <v>7</v>
      </c>
      <c r="F5" s="338">
        <v>1</v>
      </c>
      <c r="G5" s="340">
        <v>0</v>
      </c>
      <c r="H5" s="341"/>
      <c r="I5" s="340">
        <v>0</v>
      </c>
      <c r="J5" s="340">
        <v>0</v>
      </c>
      <c r="K5" s="340">
        <f>D5/8*F5</f>
        <v>2500</v>
      </c>
      <c r="L5" s="303">
        <v>0</v>
      </c>
      <c r="M5" s="339">
        <f>ROUND(D5-J5-K5-L5,0)</f>
        <v>17500</v>
      </c>
      <c r="N5" s="342" t="s">
        <v>553</v>
      </c>
      <c r="O5" s="343" t="s">
        <v>228</v>
      </c>
    </row>
    <row r="6" spans="1:15" s="344" customFormat="1" ht="41.25" customHeight="1">
      <c r="A6" s="337">
        <v>2</v>
      </c>
      <c r="B6" s="544" t="s">
        <v>229</v>
      </c>
      <c r="C6" s="338" t="s">
        <v>230</v>
      </c>
      <c r="D6" s="339">
        <v>12500</v>
      </c>
      <c r="E6" s="338">
        <v>1</v>
      </c>
      <c r="F6" s="338">
        <v>1</v>
      </c>
      <c r="G6" s="340">
        <v>0</v>
      </c>
      <c r="H6" s="341"/>
      <c r="I6" s="340">
        <v>0</v>
      </c>
      <c r="J6" s="340">
        <v>0</v>
      </c>
      <c r="K6" s="340">
        <f t="shared" ref="K6:K9" si="0">D6/8*F6</f>
        <v>1562.5</v>
      </c>
      <c r="L6" s="303">
        <v>0</v>
      </c>
      <c r="M6" s="339">
        <f t="shared" ref="M6:M18" si="1">ROUND(D6-J6-K6-L6,0)</f>
        <v>10938</v>
      </c>
      <c r="N6" s="342" t="s">
        <v>553</v>
      </c>
      <c r="O6" s="343" t="s">
        <v>231</v>
      </c>
    </row>
    <row r="7" spans="1:15" s="344" customFormat="1" ht="37">
      <c r="A7" s="337">
        <v>3</v>
      </c>
      <c r="B7" s="544" t="s">
        <v>232</v>
      </c>
      <c r="C7" s="341" t="s">
        <v>233</v>
      </c>
      <c r="D7" s="339">
        <v>13000</v>
      </c>
      <c r="E7" s="338">
        <v>7</v>
      </c>
      <c r="F7" s="338">
        <v>0</v>
      </c>
      <c r="G7" s="340">
        <v>0</v>
      </c>
      <c r="H7" s="341"/>
      <c r="I7" s="340">
        <v>0</v>
      </c>
      <c r="J7" s="340">
        <v>0</v>
      </c>
      <c r="K7" s="340">
        <f>D7/8*F7</f>
        <v>0</v>
      </c>
      <c r="L7" s="303">
        <v>0</v>
      </c>
      <c r="M7" s="339">
        <f t="shared" si="1"/>
        <v>13000</v>
      </c>
      <c r="N7" s="342" t="s">
        <v>553</v>
      </c>
      <c r="O7" s="343" t="s">
        <v>234</v>
      </c>
    </row>
    <row r="8" spans="1:15" s="344" customFormat="1" ht="41.25" customHeight="1">
      <c r="A8" s="337">
        <v>4</v>
      </c>
      <c r="B8" s="544" t="s">
        <v>235</v>
      </c>
      <c r="C8" s="338" t="s">
        <v>236</v>
      </c>
      <c r="D8" s="339">
        <v>12000</v>
      </c>
      <c r="E8" s="338">
        <v>7</v>
      </c>
      <c r="F8" s="338">
        <v>0</v>
      </c>
      <c r="G8" s="340">
        <v>0</v>
      </c>
      <c r="H8" s="341"/>
      <c r="I8" s="340">
        <v>0</v>
      </c>
      <c r="J8" s="340">
        <v>0</v>
      </c>
      <c r="K8" s="340">
        <f t="shared" si="0"/>
        <v>0</v>
      </c>
      <c r="L8" s="303">
        <v>0</v>
      </c>
      <c r="M8" s="339">
        <f t="shared" si="1"/>
        <v>12000</v>
      </c>
      <c r="N8" s="342" t="s">
        <v>553</v>
      </c>
      <c r="O8" s="343" t="s">
        <v>234</v>
      </c>
    </row>
    <row r="9" spans="1:15" s="344" customFormat="1" ht="41.25" customHeight="1">
      <c r="A9" s="337">
        <v>5</v>
      </c>
      <c r="B9" s="544" t="s">
        <v>237</v>
      </c>
      <c r="C9" s="338" t="s">
        <v>238</v>
      </c>
      <c r="D9" s="339">
        <v>13000</v>
      </c>
      <c r="E9" s="338">
        <v>7</v>
      </c>
      <c r="F9" s="338">
        <v>0</v>
      </c>
      <c r="G9" s="340">
        <v>0</v>
      </c>
      <c r="H9" s="341"/>
      <c r="I9" s="340">
        <v>0</v>
      </c>
      <c r="J9" s="340">
        <v>0</v>
      </c>
      <c r="K9" s="340">
        <f t="shared" si="0"/>
        <v>0</v>
      </c>
      <c r="L9" s="303">
        <v>0</v>
      </c>
      <c r="M9" s="339">
        <f t="shared" si="1"/>
        <v>13000</v>
      </c>
      <c r="N9" s="342" t="s">
        <v>587</v>
      </c>
      <c r="O9" s="345" t="s">
        <v>239</v>
      </c>
    </row>
    <row r="10" spans="1:15" s="344" customFormat="1" ht="37">
      <c r="A10" s="337">
        <v>6</v>
      </c>
      <c r="B10" s="544" t="s">
        <v>237</v>
      </c>
      <c r="C10" s="338" t="s">
        <v>240</v>
      </c>
      <c r="D10" s="339">
        <v>11000</v>
      </c>
      <c r="E10" s="338">
        <v>8</v>
      </c>
      <c r="F10" s="338">
        <v>0</v>
      </c>
      <c r="G10" s="340">
        <v>0</v>
      </c>
      <c r="H10" s="341"/>
      <c r="I10" s="340">
        <v>0</v>
      </c>
      <c r="J10" s="340">
        <v>0</v>
      </c>
      <c r="K10" s="340">
        <f>D10/8*F10</f>
        <v>0</v>
      </c>
      <c r="L10" s="303">
        <v>0</v>
      </c>
      <c r="M10" s="339">
        <f t="shared" si="1"/>
        <v>11000</v>
      </c>
      <c r="N10" s="342" t="s">
        <v>553</v>
      </c>
      <c r="O10" s="345" t="s">
        <v>239</v>
      </c>
    </row>
    <row r="11" spans="1:15" s="344" customFormat="1" ht="37">
      <c r="A11" s="337">
        <v>7</v>
      </c>
      <c r="B11" s="544" t="s">
        <v>241</v>
      </c>
      <c r="C11" s="338" t="s">
        <v>242</v>
      </c>
      <c r="D11" s="339">
        <v>14000</v>
      </c>
      <c r="E11" s="338">
        <v>7</v>
      </c>
      <c r="F11" s="338">
        <v>0</v>
      </c>
      <c r="G11" s="340">
        <v>0</v>
      </c>
      <c r="H11" s="341"/>
      <c r="I11" s="340">
        <v>0</v>
      </c>
      <c r="J11" s="340">
        <v>0</v>
      </c>
      <c r="K11" s="340">
        <f>D11/8*F11</f>
        <v>0</v>
      </c>
      <c r="L11" s="303">
        <v>0</v>
      </c>
      <c r="M11" s="339">
        <f t="shared" si="1"/>
        <v>14000</v>
      </c>
      <c r="N11" s="342" t="s">
        <v>553</v>
      </c>
      <c r="O11" s="345" t="s">
        <v>243</v>
      </c>
    </row>
    <row r="12" spans="1:15" s="344" customFormat="1" ht="37">
      <c r="A12" s="337">
        <v>8</v>
      </c>
      <c r="B12" s="544" t="s">
        <v>244</v>
      </c>
      <c r="C12" s="338" t="s">
        <v>245</v>
      </c>
      <c r="D12" s="339">
        <v>12000</v>
      </c>
      <c r="E12" s="338">
        <v>8</v>
      </c>
      <c r="F12" s="338">
        <v>0</v>
      </c>
      <c r="G12" s="340">
        <v>0</v>
      </c>
      <c r="H12" s="341"/>
      <c r="I12" s="340">
        <v>0</v>
      </c>
      <c r="J12" s="340">
        <v>0</v>
      </c>
      <c r="K12" s="340">
        <f t="shared" ref="K12:K15" si="2">D12/8*F12</f>
        <v>0</v>
      </c>
      <c r="L12" s="303">
        <v>0</v>
      </c>
      <c r="M12" s="339">
        <f t="shared" si="1"/>
        <v>12000</v>
      </c>
      <c r="N12" s="342" t="s">
        <v>553</v>
      </c>
      <c r="O12" s="345" t="s">
        <v>246</v>
      </c>
    </row>
    <row r="13" spans="1:15" s="344" customFormat="1" ht="37">
      <c r="A13" s="337">
        <v>9</v>
      </c>
      <c r="B13" s="544" t="s">
        <v>247</v>
      </c>
      <c r="C13" s="338" t="s">
        <v>248</v>
      </c>
      <c r="D13" s="339">
        <v>17000</v>
      </c>
      <c r="E13" s="338">
        <v>8</v>
      </c>
      <c r="F13" s="338">
        <v>0</v>
      </c>
      <c r="G13" s="340">
        <v>0</v>
      </c>
      <c r="H13" s="341"/>
      <c r="I13" s="340">
        <v>0</v>
      </c>
      <c r="J13" s="340">
        <v>0</v>
      </c>
      <c r="K13" s="340">
        <f t="shared" si="2"/>
        <v>0</v>
      </c>
      <c r="L13" s="303">
        <v>0</v>
      </c>
      <c r="M13" s="339">
        <f t="shared" si="1"/>
        <v>17000</v>
      </c>
      <c r="N13" s="342" t="s">
        <v>553</v>
      </c>
      <c r="O13" s="345" t="s">
        <v>249</v>
      </c>
    </row>
    <row r="14" spans="1:15" s="344" customFormat="1" ht="37">
      <c r="A14" s="337">
        <v>10</v>
      </c>
      <c r="B14" s="544" t="s">
        <v>250</v>
      </c>
      <c r="C14" s="338" t="s">
        <v>251</v>
      </c>
      <c r="D14" s="339">
        <v>20500</v>
      </c>
      <c r="E14" s="338">
        <v>8</v>
      </c>
      <c r="F14" s="338">
        <v>0</v>
      </c>
      <c r="G14" s="340">
        <v>0</v>
      </c>
      <c r="H14" s="341"/>
      <c r="I14" s="340">
        <v>0</v>
      </c>
      <c r="J14" s="340">
        <v>0</v>
      </c>
      <c r="K14" s="340">
        <f t="shared" si="2"/>
        <v>0</v>
      </c>
      <c r="L14" s="303">
        <v>0</v>
      </c>
      <c r="M14" s="339">
        <f t="shared" si="1"/>
        <v>20500</v>
      </c>
      <c r="N14" s="342" t="s">
        <v>553</v>
      </c>
      <c r="O14" s="345" t="s">
        <v>252</v>
      </c>
    </row>
    <row r="15" spans="1:15" s="347" customFormat="1" ht="37">
      <c r="A15" s="337">
        <v>11</v>
      </c>
      <c r="B15" s="544" t="s">
        <v>253</v>
      </c>
      <c r="C15" s="338" t="s">
        <v>254</v>
      </c>
      <c r="D15" s="339">
        <v>18000</v>
      </c>
      <c r="E15" s="338">
        <v>8</v>
      </c>
      <c r="F15" s="338">
        <v>0</v>
      </c>
      <c r="G15" s="340">
        <v>0</v>
      </c>
      <c r="H15" s="341"/>
      <c r="I15" s="340">
        <v>0</v>
      </c>
      <c r="J15" s="340">
        <v>0</v>
      </c>
      <c r="K15" s="340">
        <f t="shared" si="2"/>
        <v>0</v>
      </c>
      <c r="L15" s="303">
        <v>0</v>
      </c>
      <c r="M15" s="339">
        <f t="shared" si="1"/>
        <v>18000</v>
      </c>
      <c r="N15" s="342" t="s">
        <v>553</v>
      </c>
      <c r="O15" s="346" t="s">
        <v>255</v>
      </c>
    </row>
    <row r="16" spans="1:15" s="316" customFormat="1" ht="54" customHeight="1">
      <c r="A16" s="337">
        <v>12</v>
      </c>
      <c r="B16" s="545" t="s">
        <v>289</v>
      </c>
      <c r="C16" s="310" t="s">
        <v>290</v>
      </c>
      <c r="D16" s="339">
        <v>26000</v>
      </c>
      <c r="E16" s="338">
        <v>19</v>
      </c>
      <c r="F16" s="338">
        <v>0</v>
      </c>
      <c r="G16" s="340">
        <v>0</v>
      </c>
      <c r="H16" s="341"/>
      <c r="I16" s="340">
        <v>0</v>
      </c>
      <c r="J16" s="340">
        <v>0</v>
      </c>
      <c r="K16" s="340">
        <f>D16/31*F16</f>
        <v>0</v>
      </c>
      <c r="L16" s="303">
        <v>0</v>
      </c>
      <c r="M16" s="339">
        <f t="shared" si="1"/>
        <v>26000</v>
      </c>
      <c r="N16" s="342" t="s">
        <v>554</v>
      </c>
      <c r="O16" s="348" t="s">
        <v>291</v>
      </c>
    </row>
    <row r="17" spans="1:15 16384:16384" s="347" customFormat="1" ht="74">
      <c r="A17" s="337">
        <v>13</v>
      </c>
      <c r="B17" s="545" t="s">
        <v>295</v>
      </c>
      <c r="C17" s="310" t="s">
        <v>296</v>
      </c>
      <c r="D17" s="339">
        <v>12000</v>
      </c>
      <c r="E17" s="338">
        <v>6</v>
      </c>
      <c r="F17" s="338">
        <v>1</v>
      </c>
      <c r="G17" s="340">
        <v>0</v>
      </c>
      <c r="H17" s="341"/>
      <c r="I17" s="340">
        <v>0</v>
      </c>
      <c r="J17" s="340">
        <v>0</v>
      </c>
      <c r="K17" s="340">
        <f>D17/31*F17</f>
        <v>387.09677419354841</v>
      </c>
      <c r="L17" s="303">
        <v>0</v>
      </c>
      <c r="M17" s="339">
        <f t="shared" si="1"/>
        <v>11613</v>
      </c>
      <c r="N17" s="342" t="s">
        <v>555</v>
      </c>
      <c r="O17" s="349" t="s">
        <v>551</v>
      </c>
    </row>
    <row r="18" spans="1:15 16384:16384" s="347" customFormat="1" ht="42">
      <c r="A18" s="337">
        <v>14</v>
      </c>
      <c r="B18" s="545" t="s">
        <v>280</v>
      </c>
      <c r="C18" s="310" t="s">
        <v>281</v>
      </c>
      <c r="D18" s="339">
        <v>20000</v>
      </c>
      <c r="E18" s="338">
        <v>18</v>
      </c>
      <c r="F18" s="338">
        <v>0</v>
      </c>
      <c r="G18" s="340">
        <v>0</v>
      </c>
      <c r="H18" s="341"/>
      <c r="I18" s="340">
        <v>0</v>
      </c>
      <c r="J18" s="340">
        <v>0</v>
      </c>
      <c r="K18" s="340">
        <f>D18/31*F18</f>
        <v>0</v>
      </c>
      <c r="L18" s="303">
        <v>0</v>
      </c>
      <c r="M18" s="339">
        <f t="shared" si="1"/>
        <v>20000</v>
      </c>
      <c r="N18" s="342" t="s">
        <v>554</v>
      </c>
      <c r="O18" s="349" t="s">
        <v>282</v>
      </c>
    </row>
    <row r="19" spans="1:15 16384:16384" ht="48" customHeight="1">
      <c r="A19" s="811" t="s">
        <v>32</v>
      </c>
      <c r="B19" s="812"/>
      <c r="C19" s="812"/>
      <c r="D19" s="350">
        <f>SUM(D5:D18)</f>
        <v>221000</v>
      </c>
      <c r="E19" s="350">
        <f>SUM(E5:E18)</f>
        <v>119</v>
      </c>
      <c r="F19" s="350">
        <f t="shared" ref="F19:M19" si="3">SUM(F5:F18)</f>
        <v>3</v>
      </c>
      <c r="G19" s="350">
        <f t="shared" si="3"/>
        <v>0</v>
      </c>
      <c r="H19" s="350">
        <f t="shared" si="3"/>
        <v>0</v>
      </c>
      <c r="I19" s="350">
        <f t="shared" si="3"/>
        <v>0</v>
      </c>
      <c r="J19" s="350">
        <f t="shared" si="3"/>
        <v>0</v>
      </c>
      <c r="K19" s="350">
        <f t="shared" si="3"/>
        <v>4449.5967741935483</v>
      </c>
      <c r="L19" s="350">
        <f t="shared" si="3"/>
        <v>0</v>
      </c>
      <c r="M19" s="350">
        <f t="shared" si="3"/>
        <v>216551</v>
      </c>
      <c r="N19" s="351"/>
      <c r="XFD19" s="352">
        <f>SUM(D19:XFC19)</f>
        <v>442122.59677419357</v>
      </c>
    </row>
    <row r="20" spans="1:15 16384:16384" ht="112" customHeight="1" thickBot="1">
      <c r="A20" s="813" t="s">
        <v>256</v>
      </c>
      <c r="B20" s="814"/>
      <c r="C20" s="814"/>
      <c r="D20" s="814"/>
      <c r="E20" s="814"/>
      <c r="F20" s="814"/>
      <c r="G20" s="814"/>
      <c r="H20" s="814"/>
      <c r="I20" s="814"/>
      <c r="J20" s="814"/>
      <c r="K20" s="814"/>
      <c r="L20" s="814"/>
      <c r="M20" s="814"/>
      <c r="N20" s="815"/>
    </row>
    <row r="22" spans="1:15 16384:16384" ht="29.25" customHeight="1">
      <c r="M22" s="331" t="s">
        <v>257</v>
      </c>
    </row>
  </sheetData>
  <mergeCells count="5">
    <mergeCell ref="A1:N1"/>
    <mergeCell ref="A2:N2"/>
    <mergeCell ref="A3:N3"/>
    <mergeCell ref="A19:C19"/>
    <mergeCell ref="A20:N20"/>
  </mergeCells>
  <conditionalFormatting sqref="G5:G18">
    <cfRule type="cellIs" dxfId="12" priority="2" stopIfTrue="1" operator="equal">
      <formula>"ER"</formula>
    </cfRule>
  </conditionalFormatting>
  <conditionalFormatting sqref="H21:H75">
    <cfRule type="cellIs" dxfId="11" priority="8" stopIfTrue="1" operator="equal">
      <formula>"ER"</formula>
    </cfRule>
  </conditionalFormatting>
  <conditionalFormatting sqref="J5:L18">
    <cfRule type="cellIs" dxfId="10" priority="1" stopIfTrue="1" operator="equal">
      <formula>"ER"</formula>
    </cfRule>
  </conditionalFormatting>
  <conditionalFormatting sqref="J21:L75">
    <cfRule type="cellIs" dxfId="9" priority="7" stopIfTrue="1" operator="equal">
      <formula>"ER"</formula>
    </cfRule>
  </conditionalFormatting>
  <printOptions horizontalCentered="1"/>
  <pageMargins left="0" right="0" top="0.23622047244094499" bottom="0" header="0.31496062992126" footer="0"/>
  <pageSetup paperSize="9" scale="58" fitToHeight="0" orientation="landscape" horizontalDpi="360" verticalDpi="360" r:id="rId1"/>
  <rowBreaks count="2" manualBreakCount="2">
    <brk id="26" max="16383" man="1"/>
    <brk id="35" max="1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80DC1-E082-4DC7-A43A-36B2C9447C5E}">
  <sheetPr>
    <tabColor theme="9" tint="-0.499984740745262"/>
    <pageSetUpPr fitToPage="1"/>
  </sheetPr>
  <dimension ref="A1:L17"/>
  <sheetViews>
    <sheetView zoomScale="55" zoomScaleNormal="55" zoomScaleSheetLayoutView="55" zoomScalePageLayoutView="35" workbookViewId="0">
      <pane ySplit="3" topLeftCell="A11" activePane="bottomLeft" state="frozen"/>
      <selection pane="bottomLeft" activeCell="E15" sqref="E15:G15"/>
    </sheetView>
  </sheetViews>
  <sheetFormatPr defaultColWidth="9.1796875" defaultRowHeight="54" customHeight="1"/>
  <cols>
    <col min="1" max="1" width="7.1796875" style="304" bestFit="1" customWidth="1"/>
    <col min="2" max="2" width="27.1796875" style="304" bestFit="1" customWidth="1"/>
    <col min="3" max="3" width="25.7265625" style="329" customWidth="1"/>
    <col min="4" max="4" width="16" style="304" bestFit="1" customWidth="1"/>
    <col min="5" max="5" width="17.7265625" style="304" customWidth="1"/>
    <col min="6" max="6" width="17.453125" style="304" bestFit="1" customWidth="1"/>
    <col min="7" max="7" width="16.81640625" style="304" bestFit="1" customWidth="1"/>
    <col min="8" max="8" width="15.54296875" style="304" customWidth="1"/>
    <col min="9" max="9" width="21.7265625" style="304" bestFit="1" customWidth="1"/>
    <col min="10" max="10" width="18.1796875" style="327" bestFit="1" customWidth="1"/>
    <col min="11" max="11" width="62" style="304" customWidth="1"/>
    <col min="12" max="12" width="44.26953125" style="328" customWidth="1"/>
    <col min="13" max="16384" width="9.1796875" style="304"/>
  </cols>
  <sheetData>
    <row r="1" spans="1:12" ht="54" customHeight="1" thickBot="1">
      <c r="A1" s="816" t="s">
        <v>0</v>
      </c>
      <c r="B1" s="817"/>
      <c r="C1" s="817"/>
      <c r="D1" s="817"/>
      <c r="E1" s="817"/>
      <c r="F1" s="817"/>
      <c r="G1" s="817"/>
      <c r="H1" s="817"/>
      <c r="I1" s="817"/>
      <c r="J1" s="817"/>
      <c r="K1" s="818"/>
      <c r="L1" s="305"/>
    </row>
    <row r="2" spans="1:12" ht="54" customHeight="1">
      <c r="A2" s="819" t="s">
        <v>579</v>
      </c>
      <c r="B2" s="820"/>
      <c r="C2" s="820"/>
      <c r="D2" s="820"/>
      <c r="E2" s="820"/>
      <c r="F2" s="820"/>
      <c r="G2" s="820"/>
      <c r="H2" s="820"/>
      <c r="I2" s="820"/>
      <c r="J2" s="820"/>
      <c r="K2" s="821"/>
      <c r="L2" s="305"/>
    </row>
    <row r="3" spans="1:12" ht="84">
      <c r="A3" s="306" t="s">
        <v>39</v>
      </c>
      <c r="B3" s="495" t="s">
        <v>40</v>
      </c>
      <c r="C3" s="495" t="s">
        <v>41</v>
      </c>
      <c r="D3" s="496" t="s">
        <v>217</v>
      </c>
      <c r="E3" s="496" t="s">
        <v>277</v>
      </c>
      <c r="F3" s="496" t="s">
        <v>259</v>
      </c>
      <c r="G3" s="496" t="s">
        <v>278</v>
      </c>
      <c r="H3" s="496" t="s">
        <v>279</v>
      </c>
      <c r="I3" s="496" t="s">
        <v>264</v>
      </c>
      <c r="J3" s="307" t="s">
        <v>50</v>
      </c>
      <c r="K3" s="308" t="s">
        <v>52</v>
      </c>
      <c r="L3" s="305"/>
    </row>
    <row r="4" spans="1:12" s="316" customFormat="1" ht="47.5" customHeight="1">
      <c r="A4" s="309">
        <v>1</v>
      </c>
      <c r="B4" s="545" t="s">
        <v>283</v>
      </c>
      <c r="C4" s="310" t="s">
        <v>284</v>
      </c>
      <c r="D4" s="311">
        <f>E4*1600</f>
        <v>57600</v>
      </c>
      <c r="E4" s="312">
        <v>36</v>
      </c>
      <c r="F4" s="313">
        <f t="shared" ref="F4:F12" si="0">D4/30</f>
        <v>1920</v>
      </c>
      <c r="G4" s="313">
        <v>0</v>
      </c>
      <c r="H4" s="313">
        <v>0</v>
      </c>
      <c r="I4" s="314">
        <f>F4*G4</f>
        <v>0</v>
      </c>
      <c r="J4" s="314">
        <f>ROUND(D4-I4-H4,0)</f>
        <v>57600</v>
      </c>
      <c r="K4" s="315" t="s">
        <v>588</v>
      </c>
      <c r="L4" s="445" t="s">
        <v>285</v>
      </c>
    </row>
    <row r="5" spans="1:12" s="316" customFormat="1" ht="47.5" customHeight="1">
      <c r="A5" s="309">
        <v>3</v>
      </c>
      <c r="B5" s="545" t="s">
        <v>292</v>
      </c>
      <c r="C5" s="317" t="s">
        <v>293</v>
      </c>
      <c r="D5" s="311">
        <f>E5*1200</f>
        <v>44591.999999999993</v>
      </c>
      <c r="E5" s="313">
        <v>37.159999999999997</v>
      </c>
      <c r="F5" s="313">
        <f t="shared" si="0"/>
        <v>1486.3999999999999</v>
      </c>
      <c r="G5" s="313">
        <v>0</v>
      </c>
      <c r="H5" s="313">
        <v>0</v>
      </c>
      <c r="I5" s="314">
        <f t="shared" ref="I5:I13" si="1">F5*G5</f>
        <v>0</v>
      </c>
      <c r="J5" s="314">
        <f t="shared" ref="J5:J13" si="2">ROUND(D5-I5-H5,0)</f>
        <v>44592</v>
      </c>
      <c r="K5" s="315" t="s">
        <v>589</v>
      </c>
      <c r="L5" s="445" t="s">
        <v>294</v>
      </c>
    </row>
    <row r="6" spans="1:12" s="316" customFormat="1" ht="47.5" customHeight="1">
      <c r="A6" s="309">
        <v>4</v>
      </c>
      <c r="B6" s="545" t="s">
        <v>297</v>
      </c>
      <c r="C6" s="310" t="s">
        <v>267</v>
      </c>
      <c r="D6" s="311">
        <f>20000</f>
        <v>20000</v>
      </c>
      <c r="E6" s="313">
        <v>20</v>
      </c>
      <c r="F6" s="313">
        <f t="shared" si="0"/>
        <v>666.66666666666663</v>
      </c>
      <c r="G6" s="546">
        <v>1</v>
      </c>
      <c r="H6" s="313"/>
      <c r="I6" s="314">
        <f t="shared" si="1"/>
        <v>666.66666666666663</v>
      </c>
      <c r="J6" s="314">
        <f t="shared" si="2"/>
        <v>19333</v>
      </c>
      <c r="K6" s="315" t="s">
        <v>594</v>
      </c>
      <c r="L6" s="445" t="s">
        <v>298</v>
      </c>
    </row>
    <row r="7" spans="1:12" s="316" customFormat="1" ht="63">
      <c r="A7" s="309">
        <v>5</v>
      </c>
      <c r="B7" s="318" t="s">
        <v>299</v>
      </c>
      <c r="C7" s="448" t="s">
        <v>300</v>
      </c>
      <c r="D7" s="311">
        <v>36000</v>
      </c>
      <c r="E7" s="313">
        <v>27</v>
      </c>
      <c r="F7" s="313">
        <f t="shared" si="0"/>
        <v>1200</v>
      </c>
      <c r="G7" s="313"/>
      <c r="H7" s="313"/>
      <c r="I7" s="314">
        <f t="shared" si="1"/>
        <v>0</v>
      </c>
      <c r="J7" s="314">
        <f t="shared" si="2"/>
        <v>36000</v>
      </c>
      <c r="K7" s="315" t="s">
        <v>593</v>
      </c>
      <c r="L7" s="445" t="s">
        <v>301</v>
      </c>
    </row>
    <row r="8" spans="1:12" s="316" customFormat="1" ht="47.5" customHeight="1">
      <c r="A8" s="309">
        <v>6</v>
      </c>
      <c r="B8" s="545" t="s">
        <v>302</v>
      </c>
      <c r="C8" s="310" t="s">
        <v>303</v>
      </c>
      <c r="D8" s="311">
        <v>44000</v>
      </c>
      <c r="E8" s="313">
        <v>30</v>
      </c>
      <c r="F8" s="313">
        <f>D8/30</f>
        <v>1466.6666666666667</v>
      </c>
      <c r="G8" s="313">
        <v>0</v>
      </c>
      <c r="H8" s="313"/>
      <c r="I8" s="314">
        <f t="shared" si="1"/>
        <v>0</v>
      </c>
      <c r="J8" s="314">
        <f t="shared" si="2"/>
        <v>44000</v>
      </c>
      <c r="K8" s="315"/>
      <c r="L8" s="445" t="s">
        <v>304</v>
      </c>
    </row>
    <row r="9" spans="1:12" s="316" customFormat="1" ht="47.5" customHeight="1">
      <c r="A9" s="309">
        <v>7</v>
      </c>
      <c r="B9" s="318" t="s">
        <v>266</v>
      </c>
      <c r="C9" s="310" t="s">
        <v>267</v>
      </c>
      <c r="D9" s="311">
        <v>29000</v>
      </c>
      <c r="E9" s="313">
        <v>12</v>
      </c>
      <c r="F9" s="313">
        <f t="shared" si="0"/>
        <v>966.66666666666663</v>
      </c>
      <c r="G9" s="313"/>
      <c r="H9" s="313"/>
      <c r="I9" s="314">
        <f t="shared" si="1"/>
        <v>0</v>
      </c>
      <c r="J9" s="314">
        <f t="shared" si="2"/>
        <v>29000</v>
      </c>
      <c r="K9" s="315"/>
      <c r="L9" s="445" t="s">
        <v>268</v>
      </c>
    </row>
    <row r="10" spans="1:12" s="316" customFormat="1" ht="47.5" customHeight="1">
      <c r="A10" s="309">
        <v>8</v>
      </c>
      <c r="B10" s="318" t="s">
        <v>269</v>
      </c>
      <c r="C10" s="310" t="s">
        <v>105</v>
      </c>
      <c r="D10" s="311">
        <v>46000</v>
      </c>
      <c r="E10" s="313">
        <v>11</v>
      </c>
      <c r="F10" s="313">
        <f t="shared" si="0"/>
        <v>1533.3333333333333</v>
      </c>
      <c r="G10" s="313"/>
      <c r="H10" s="313"/>
      <c r="I10" s="314">
        <f t="shared" si="1"/>
        <v>0</v>
      </c>
      <c r="J10" s="314">
        <f t="shared" si="2"/>
        <v>46000</v>
      </c>
      <c r="K10" s="315"/>
      <c r="L10" s="446" t="s">
        <v>270</v>
      </c>
    </row>
    <row r="11" spans="1:12" s="316" customFormat="1" ht="47.5" customHeight="1">
      <c r="A11" s="309">
        <v>9</v>
      </c>
      <c r="B11" s="318" t="s">
        <v>271</v>
      </c>
      <c r="C11" s="310" t="s">
        <v>272</v>
      </c>
      <c r="D11" s="311">
        <f>450*E11</f>
        <v>2700</v>
      </c>
      <c r="E11" s="313">
        <v>6</v>
      </c>
      <c r="F11" s="313">
        <f t="shared" si="0"/>
        <v>90</v>
      </c>
      <c r="G11" s="313">
        <v>0</v>
      </c>
      <c r="H11" s="313"/>
      <c r="I11" s="314">
        <f t="shared" si="1"/>
        <v>0</v>
      </c>
      <c r="J11" s="314">
        <f t="shared" si="2"/>
        <v>2700</v>
      </c>
      <c r="K11" s="822" t="s">
        <v>273</v>
      </c>
      <c r="L11" s="447" t="s">
        <v>274</v>
      </c>
    </row>
    <row r="12" spans="1:12" s="316" customFormat="1" ht="47.5" customHeight="1">
      <c r="A12" s="309">
        <v>11</v>
      </c>
      <c r="B12" s="318" t="s">
        <v>275</v>
      </c>
      <c r="C12" s="310" t="s">
        <v>272</v>
      </c>
      <c r="D12" s="311">
        <f>450*E12</f>
        <v>0</v>
      </c>
      <c r="E12" s="313">
        <v>0</v>
      </c>
      <c r="F12" s="313">
        <f t="shared" si="0"/>
        <v>0</v>
      </c>
      <c r="G12" s="313">
        <v>0</v>
      </c>
      <c r="H12" s="313"/>
      <c r="I12" s="314">
        <f t="shared" si="1"/>
        <v>0</v>
      </c>
      <c r="J12" s="314">
        <f t="shared" si="2"/>
        <v>0</v>
      </c>
      <c r="K12" s="823"/>
      <c r="L12" s="447" t="s">
        <v>276</v>
      </c>
    </row>
    <row r="13" spans="1:12" s="316" customFormat="1" ht="47.5" customHeight="1">
      <c r="A13" s="309">
        <v>12</v>
      </c>
      <c r="B13" s="318" t="s">
        <v>590</v>
      </c>
      <c r="C13" s="310" t="s">
        <v>591</v>
      </c>
      <c r="D13" s="311">
        <f>20000/9*3</f>
        <v>6666.6666666666661</v>
      </c>
      <c r="E13" s="313">
        <v>2</v>
      </c>
      <c r="F13" s="313">
        <f>D13/9</f>
        <v>740.74074074074065</v>
      </c>
      <c r="G13" s="313">
        <v>0</v>
      </c>
      <c r="H13" s="313"/>
      <c r="I13" s="314">
        <f t="shared" si="1"/>
        <v>0</v>
      </c>
      <c r="J13" s="314">
        <f t="shared" si="2"/>
        <v>6667</v>
      </c>
      <c r="K13" s="502" t="s">
        <v>595</v>
      </c>
      <c r="L13" s="447"/>
    </row>
    <row r="14" spans="1:12" s="322" customFormat="1" ht="47.5" customHeight="1">
      <c r="A14" s="824" t="s">
        <v>32</v>
      </c>
      <c r="B14" s="825"/>
      <c r="C14" s="825"/>
      <c r="D14" s="319">
        <f>SUM(D4:D13)</f>
        <v>286558.66666666669</v>
      </c>
      <c r="E14" s="319">
        <f>SUM(E4:E13)</f>
        <v>181.16</v>
      </c>
      <c r="F14" s="319">
        <f>SUM(F4:F12)</f>
        <v>9329.7333333333336</v>
      </c>
      <c r="G14" s="319">
        <f>SUM(G4:G12)</f>
        <v>1</v>
      </c>
      <c r="H14" s="319">
        <f>SUM(H4:H12)</f>
        <v>0</v>
      </c>
      <c r="I14" s="319">
        <f>SUM(I4:I12)</f>
        <v>666.66666666666663</v>
      </c>
      <c r="J14" s="319">
        <f>SUM(J4:J12)</f>
        <v>279225</v>
      </c>
      <c r="K14" s="320"/>
      <c r="L14" s="321"/>
    </row>
    <row r="15" spans="1:12" s="326" customFormat="1" ht="89.25" customHeight="1" thickBot="1">
      <c r="A15" s="826" t="s">
        <v>34</v>
      </c>
      <c r="B15" s="827"/>
      <c r="C15" s="323"/>
      <c r="D15" s="323"/>
      <c r="E15" s="827" t="s">
        <v>112</v>
      </c>
      <c r="F15" s="827"/>
      <c r="G15" s="827"/>
      <c r="H15" s="323"/>
      <c r="I15" s="323"/>
      <c r="J15" s="323"/>
      <c r="K15" s="324" t="s">
        <v>37</v>
      </c>
      <c r="L15" s="325"/>
    </row>
    <row r="17" spans="3:3" ht="54" customHeight="1">
      <c r="C17" s="304"/>
    </row>
  </sheetData>
  <mergeCells count="6">
    <mergeCell ref="A1:K1"/>
    <mergeCell ref="A2:K2"/>
    <mergeCell ref="K11:K12"/>
    <mergeCell ref="A14:C14"/>
    <mergeCell ref="A15:B15"/>
    <mergeCell ref="E15:G15"/>
  </mergeCells>
  <conditionalFormatting sqref="J4:J13 J16:J72">
    <cfRule type="cellIs" dxfId="8" priority="2" stopIfTrue="1" operator="equal">
      <formula>"ER"</formula>
    </cfRule>
  </conditionalFormatting>
  <printOptions horizontalCentered="1"/>
  <pageMargins left="0" right="0" top="0.23622047244094499" bottom="0" header="0.31496062992126" footer="0"/>
  <pageSetup paperSize="9" scale="58" fitToHeight="0" orientation="landscape" horizontalDpi="360" verticalDpi="360" r:id="rId1"/>
  <rowBreaks count="3" manualBreakCount="3">
    <brk id="23" max="16383" man="1"/>
    <brk id="34" max="8" man="1"/>
    <brk id="50"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85623"/>
    <pageSetUpPr fitToPage="1"/>
  </sheetPr>
  <dimension ref="A1:AN98"/>
  <sheetViews>
    <sheetView zoomScale="70" zoomScaleNormal="70" workbookViewId="0">
      <pane ySplit="4" topLeftCell="A6" activePane="bottomLeft" state="frozen"/>
      <selection pane="bottomLeft" activeCell="A8" sqref="A7:XFD8"/>
    </sheetView>
  </sheetViews>
  <sheetFormatPr defaultColWidth="16.81640625" defaultRowHeight="15" customHeight="1" outlineLevelCol="1"/>
  <cols>
    <col min="1" max="1" width="5.1796875" customWidth="1"/>
    <col min="2" max="2" width="25" customWidth="1"/>
    <col min="3" max="3" width="18" customWidth="1"/>
    <col min="4" max="5" width="6" customWidth="1" outlineLevel="1"/>
    <col min="6" max="6" width="5.81640625" customWidth="1" outlineLevel="1"/>
    <col min="7" max="7" width="8.1796875" customWidth="1" outlineLevel="1"/>
    <col min="8" max="11" width="6" customWidth="1" outlineLevel="1"/>
    <col min="12" max="12" width="8.1796875" customWidth="1" outlineLevel="1"/>
    <col min="13" max="13" width="8.7265625" customWidth="1" outlineLevel="1"/>
    <col min="14" max="16" width="6" customWidth="1" outlineLevel="1"/>
    <col min="17" max="17" width="8.26953125" customWidth="1" outlineLevel="1"/>
    <col min="18" max="18" width="10.1796875" customWidth="1" outlineLevel="1"/>
    <col min="19" max="21" width="10.7265625" customWidth="1" outlineLevel="1"/>
    <col min="22" max="23" width="15.7265625" customWidth="1" outlineLevel="1"/>
    <col min="24" max="24" width="10.7265625" customWidth="1" outlineLevel="1"/>
    <col min="25" max="25" width="12.81640625" customWidth="1" outlineLevel="1"/>
    <col min="26" max="26" width="10.7265625" customWidth="1" outlineLevel="1"/>
    <col min="27" max="27" width="12.81640625" customWidth="1" outlineLevel="1"/>
    <col min="28" max="28" width="10.7265625" customWidth="1" outlineLevel="1"/>
    <col min="29" max="30" width="8.453125" customWidth="1" outlineLevel="1"/>
    <col min="31" max="31" width="9.26953125" customWidth="1" outlineLevel="1"/>
    <col min="32" max="35" width="10.7265625" customWidth="1" outlineLevel="1"/>
    <col min="36" max="36" width="13.26953125" customWidth="1"/>
    <col min="37" max="38" width="10.7265625" customWidth="1"/>
    <col min="39" max="39" width="22.7265625" customWidth="1"/>
    <col min="40" max="40" width="23.26953125" customWidth="1"/>
  </cols>
  <sheetData>
    <row r="1" spans="1:40" ht="20.25" customHeight="1">
      <c r="A1" s="836" t="s">
        <v>0</v>
      </c>
      <c r="B1" s="634"/>
      <c r="C1" s="634"/>
      <c r="D1" s="634"/>
      <c r="E1" s="634"/>
      <c r="F1" s="634"/>
      <c r="G1" s="634"/>
      <c r="H1" s="634"/>
      <c r="I1" s="634"/>
      <c r="J1" s="634"/>
      <c r="K1" s="634"/>
      <c r="L1" s="634"/>
      <c r="M1" s="634"/>
      <c r="N1" s="634"/>
      <c r="O1" s="634"/>
      <c r="P1" s="634"/>
      <c r="Q1" s="634"/>
      <c r="R1" s="634"/>
      <c r="S1" s="634"/>
      <c r="T1" s="634"/>
      <c r="U1" s="634"/>
      <c r="V1" s="634"/>
      <c r="W1" s="634"/>
      <c r="X1" s="634"/>
      <c r="Y1" s="634"/>
      <c r="Z1" s="634"/>
      <c r="AA1" s="634"/>
      <c r="AB1" s="634"/>
      <c r="AC1" s="634"/>
      <c r="AD1" s="634"/>
      <c r="AE1" s="634"/>
      <c r="AF1" s="634"/>
      <c r="AG1" s="634"/>
      <c r="AH1" s="634"/>
      <c r="AI1" s="634"/>
      <c r="AJ1" s="634"/>
      <c r="AK1" s="634"/>
      <c r="AL1" s="634"/>
      <c r="AM1" s="635"/>
      <c r="AN1" s="78"/>
    </row>
    <row r="2" spans="1:40" ht="20.25" customHeight="1">
      <c r="A2" s="837" t="s">
        <v>580</v>
      </c>
      <c r="B2" s="637"/>
      <c r="C2" s="637"/>
      <c r="D2" s="637"/>
      <c r="E2" s="637"/>
      <c r="F2" s="637"/>
      <c r="G2" s="637"/>
      <c r="H2" s="637"/>
      <c r="I2" s="637"/>
      <c r="J2" s="637"/>
      <c r="K2" s="637"/>
      <c r="L2" s="637"/>
      <c r="M2" s="637"/>
      <c r="N2" s="637"/>
      <c r="O2" s="637"/>
      <c r="P2" s="637"/>
      <c r="Q2" s="637"/>
      <c r="R2" s="637"/>
      <c r="S2" s="637"/>
      <c r="T2" s="637"/>
      <c r="U2" s="637"/>
      <c r="V2" s="637"/>
      <c r="W2" s="637"/>
      <c r="X2" s="637"/>
      <c r="Y2" s="637"/>
      <c r="Z2" s="637"/>
      <c r="AA2" s="637"/>
      <c r="AB2" s="637"/>
      <c r="AC2" s="637"/>
      <c r="AD2" s="637"/>
      <c r="AE2" s="637"/>
      <c r="AF2" s="637"/>
      <c r="AG2" s="637"/>
      <c r="AH2" s="637"/>
      <c r="AI2" s="637"/>
      <c r="AJ2" s="637"/>
      <c r="AK2" s="637"/>
      <c r="AL2" s="637"/>
      <c r="AM2" s="638"/>
      <c r="AN2" s="78"/>
    </row>
    <row r="3" spans="1:40" ht="20.25" customHeight="1">
      <c r="A3" s="831" t="s">
        <v>39</v>
      </c>
      <c r="B3" s="832" t="s">
        <v>40</v>
      </c>
      <c r="C3" s="832" t="s">
        <v>41</v>
      </c>
      <c r="D3" s="834" t="s">
        <v>42</v>
      </c>
      <c r="E3" s="637"/>
      <c r="F3" s="637"/>
      <c r="G3" s="637"/>
      <c r="H3" s="637"/>
      <c r="I3" s="637"/>
      <c r="J3" s="637"/>
      <c r="K3" s="637"/>
      <c r="L3" s="637"/>
      <c r="M3" s="637"/>
      <c r="N3" s="637"/>
      <c r="O3" s="637"/>
      <c r="P3" s="637"/>
      <c r="Q3" s="628"/>
      <c r="R3" s="838" t="s">
        <v>43</v>
      </c>
      <c r="S3" s="637"/>
      <c r="T3" s="637"/>
      <c r="U3" s="628"/>
      <c r="V3" s="832" t="s">
        <v>44</v>
      </c>
      <c r="W3" s="621" t="s">
        <v>45</v>
      </c>
      <c r="X3" s="832" t="s">
        <v>46</v>
      </c>
      <c r="Y3" s="839" t="s">
        <v>47</v>
      </c>
      <c r="Z3" s="839" t="s">
        <v>48</v>
      </c>
      <c r="AA3" s="833" t="s">
        <v>49</v>
      </c>
      <c r="AB3" s="834" t="s">
        <v>6</v>
      </c>
      <c r="AC3" s="637"/>
      <c r="AD3" s="637"/>
      <c r="AE3" s="637"/>
      <c r="AF3" s="637"/>
      <c r="AG3" s="637"/>
      <c r="AH3" s="637"/>
      <c r="AI3" s="628"/>
      <c r="AJ3" s="833" t="s">
        <v>50</v>
      </c>
      <c r="AK3" s="834" t="s">
        <v>51</v>
      </c>
      <c r="AL3" s="628"/>
      <c r="AM3" s="835" t="s">
        <v>52</v>
      </c>
      <c r="AN3" s="81"/>
    </row>
    <row r="4" spans="1:40" ht="126" customHeight="1">
      <c r="A4" s="620"/>
      <c r="B4" s="622"/>
      <c r="C4" s="622"/>
      <c r="D4" s="186" t="s">
        <v>53</v>
      </c>
      <c r="E4" s="186" t="s">
        <v>54</v>
      </c>
      <c r="F4" s="186" t="s">
        <v>55</v>
      </c>
      <c r="G4" s="186" t="s">
        <v>56</v>
      </c>
      <c r="H4" s="186" t="s">
        <v>57</v>
      </c>
      <c r="I4" s="186" t="s">
        <v>58</v>
      </c>
      <c r="J4" s="186" t="s">
        <v>59</v>
      </c>
      <c r="K4" s="186" t="s">
        <v>305</v>
      </c>
      <c r="L4" s="186" t="s">
        <v>60</v>
      </c>
      <c r="M4" s="186" t="s">
        <v>62</v>
      </c>
      <c r="N4" s="186" t="s">
        <v>63</v>
      </c>
      <c r="O4" s="186" t="s">
        <v>64</v>
      </c>
      <c r="P4" s="122" t="s">
        <v>65</v>
      </c>
      <c r="Q4" s="187" t="s">
        <v>66</v>
      </c>
      <c r="R4" s="188" t="s">
        <v>67</v>
      </c>
      <c r="S4" s="188" t="s">
        <v>68</v>
      </c>
      <c r="T4" s="189" t="s">
        <v>69</v>
      </c>
      <c r="U4" s="190" t="s">
        <v>70</v>
      </c>
      <c r="V4" s="622"/>
      <c r="W4" s="622"/>
      <c r="X4" s="622"/>
      <c r="Y4" s="622"/>
      <c r="Z4" s="622"/>
      <c r="AA4" s="622"/>
      <c r="AB4" s="191" t="s">
        <v>71</v>
      </c>
      <c r="AC4" s="3" t="s">
        <v>72</v>
      </c>
      <c r="AD4" s="191" t="s">
        <v>11</v>
      </c>
      <c r="AE4" s="191" t="s">
        <v>12</v>
      </c>
      <c r="AF4" s="3" t="s">
        <v>13</v>
      </c>
      <c r="AG4" s="191" t="s">
        <v>74</v>
      </c>
      <c r="AH4" s="191" t="s">
        <v>75</v>
      </c>
      <c r="AI4" s="192" t="s">
        <v>32</v>
      </c>
      <c r="AJ4" s="622"/>
      <c r="AK4" s="191" t="s">
        <v>76</v>
      </c>
      <c r="AL4" s="191" t="s">
        <v>77</v>
      </c>
      <c r="AM4" s="630"/>
      <c r="AN4" s="84"/>
    </row>
    <row r="5" spans="1:40" ht="51" customHeight="1">
      <c r="A5" s="107">
        <v>1</v>
      </c>
      <c r="B5" s="497" t="s">
        <v>78</v>
      </c>
      <c r="C5" s="86" t="s">
        <v>37</v>
      </c>
      <c r="D5" s="50">
        <v>30</v>
      </c>
      <c r="E5" s="499">
        <v>0</v>
      </c>
      <c r="F5" s="51">
        <f t="shared" ref="F5:F6" si="0">IF((E5/3)&gt;=1,TRUNC(E5/3,0),0)</f>
        <v>0</v>
      </c>
      <c r="G5" s="51">
        <f t="shared" ref="G5:G6" si="1">E5-F5*3</f>
        <v>0</v>
      </c>
      <c r="H5" s="499">
        <v>0</v>
      </c>
      <c r="I5" s="51">
        <f t="shared" ref="I5:I6" si="2">IF(H5&lt;1,H5,H5-1)</f>
        <v>0</v>
      </c>
      <c r="J5" s="51">
        <f t="shared" ref="J5:J6" si="3">H5-I5</f>
        <v>0</v>
      </c>
      <c r="K5" s="51">
        <v>0</v>
      </c>
      <c r="L5" s="499">
        <v>0</v>
      </c>
      <c r="M5" s="51">
        <v>0</v>
      </c>
      <c r="N5" s="51">
        <v>0</v>
      </c>
      <c r="O5" s="51">
        <v>0</v>
      </c>
      <c r="P5" s="52">
        <f t="shared" ref="P5:P6" si="4">L5+M5+N5+O5</f>
        <v>0</v>
      </c>
      <c r="Q5" s="53">
        <f t="shared" ref="Q5:Q6" si="5">(F5*0.5)+(I5*0.5)+M5+(N5*2)</f>
        <v>0</v>
      </c>
      <c r="R5" s="91"/>
      <c r="S5" s="91"/>
      <c r="T5" s="91"/>
      <c r="U5" s="91">
        <f t="shared" ref="U5:U6" si="6">R5-(S5+T5)</f>
        <v>0</v>
      </c>
      <c r="V5" s="90">
        <v>10000</v>
      </c>
      <c r="W5" s="90">
        <f t="shared" ref="W5:W6" si="7">V5</f>
        <v>10000</v>
      </c>
      <c r="X5" s="90">
        <v>0</v>
      </c>
      <c r="Y5" s="90">
        <f t="shared" ref="Y5:Y6" si="8">V5-AB5</f>
        <v>10000</v>
      </c>
      <c r="Z5" s="90">
        <f t="shared" ref="Z5:Z6" si="9">V5/D5</f>
        <v>333.33333333333331</v>
      </c>
      <c r="AA5" s="90">
        <f t="shared" ref="AA5:AA6" si="10">V5*45%</f>
        <v>4500</v>
      </c>
      <c r="AB5" s="65">
        <f t="shared" ref="AB5:AB6" si="11">Q5*Z5</f>
        <v>0</v>
      </c>
      <c r="AC5" s="65"/>
      <c r="AD5" s="65">
        <f t="shared" ref="AD5:AD6" si="12">(AC5)*Z5</f>
        <v>0</v>
      </c>
      <c r="AE5" s="90">
        <f t="shared" ref="AE5:AE6" si="13">T5</f>
        <v>0</v>
      </c>
      <c r="AF5" s="90"/>
      <c r="AG5" s="65">
        <v>0</v>
      </c>
      <c r="AH5" s="65">
        <v>0</v>
      </c>
      <c r="AI5" s="65">
        <f t="shared" ref="AI5:AI6" si="14">SUM(AB5:AH5)</f>
        <v>0</v>
      </c>
      <c r="AJ5" s="65">
        <f t="shared" ref="AJ5:AJ6" si="15">ROUND(SUM(W5:X5)-AI5,)</f>
        <v>10000</v>
      </c>
      <c r="AK5" s="65"/>
      <c r="AL5" s="65"/>
      <c r="AM5" s="193"/>
      <c r="AN5" s="194" t="s">
        <v>306</v>
      </c>
    </row>
    <row r="6" spans="1:40" ht="51" customHeight="1">
      <c r="A6" s="107">
        <v>2</v>
      </c>
      <c r="B6" s="498" t="s">
        <v>127</v>
      </c>
      <c r="C6" s="86" t="s">
        <v>307</v>
      </c>
      <c r="D6" s="50">
        <v>30</v>
      </c>
      <c r="E6" s="499">
        <v>0</v>
      </c>
      <c r="F6" s="195">
        <f t="shared" si="0"/>
        <v>0</v>
      </c>
      <c r="G6" s="195">
        <f t="shared" si="1"/>
        <v>0</v>
      </c>
      <c r="H6" s="500">
        <v>0</v>
      </c>
      <c r="I6" s="195">
        <f t="shared" si="2"/>
        <v>0</v>
      </c>
      <c r="J6" s="195">
        <f t="shared" si="3"/>
        <v>0</v>
      </c>
      <c r="K6" s="51">
        <v>0</v>
      </c>
      <c r="L6" s="499">
        <v>0</v>
      </c>
      <c r="M6" s="195">
        <v>0</v>
      </c>
      <c r="N6" s="195">
        <v>0</v>
      </c>
      <c r="O6" s="195">
        <v>0</v>
      </c>
      <c r="P6" s="196">
        <f t="shared" si="4"/>
        <v>0</v>
      </c>
      <c r="Q6" s="197">
        <f t="shared" si="5"/>
        <v>0</v>
      </c>
      <c r="R6" s="91"/>
      <c r="S6" s="91"/>
      <c r="T6" s="91"/>
      <c r="U6" s="91">
        <f t="shared" si="6"/>
        <v>0</v>
      </c>
      <c r="V6" s="90">
        <v>10000</v>
      </c>
      <c r="W6" s="90">
        <f t="shared" si="7"/>
        <v>10000</v>
      </c>
      <c r="X6" s="90">
        <v>0</v>
      </c>
      <c r="Y6" s="90">
        <f t="shared" si="8"/>
        <v>10000</v>
      </c>
      <c r="Z6" s="90">
        <f t="shared" si="9"/>
        <v>333.33333333333331</v>
      </c>
      <c r="AA6" s="90">
        <f t="shared" si="10"/>
        <v>4500</v>
      </c>
      <c r="AB6" s="65">
        <f t="shared" si="11"/>
        <v>0</v>
      </c>
      <c r="AC6" s="65"/>
      <c r="AD6" s="65">
        <f t="shared" si="12"/>
        <v>0</v>
      </c>
      <c r="AE6" s="90">
        <f t="shared" si="13"/>
        <v>0</v>
      </c>
      <c r="AF6" s="90"/>
      <c r="AG6" s="65">
        <v>0</v>
      </c>
      <c r="AH6" s="65">
        <v>0</v>
      </c>
      <c r="AI6" s="65">
        <f t="shared" si="14"/>
        <v>0</v>
      </c>
      <c r="AJ6" s="65">
        <f t="shared" si="15"/>
        <v>10000</v>
      </c>
      <c r="AK6" s="65"/>
      <c r="AL6" s="65"/>
      <c r="AM6" s="193"/>
      <c r="AN6" s="194" t="s">
        <v>153</v>
      </c>
    </row>
    <row r="7" spans="1:40" ht="51" customHeight="1">
      <c r="A7" s="828" t="s">
        <v>123</v>
      </c>
      <c r="B7" s="637"/>
      <c r="C7" s="637"/>
      <c r="D7" s="637"/>
      <c r="E7" s="637"/>
      <c r="F7" s="637"/>
      <c r="G7" s="637"/>
      <c r="H7" s="637"/>
      <c r="I7" s="637"/>
      <c r="J7" s="637"/>
      <c r="K7" s="637"/>
      <c r="L7" s="637"/>
      <c r="M7" s="637"/>
      <c r="N7" s="637"/>
      <c r="O7" s="637"/>
      <c r="P7" s="637"/>
      <c r="Q7" s="628"/>
      <c r="R7" s="198">
        <f>SUM(R5:R6)</f>
        <v>0</v>
      </c>
      <c r="S7" s="198">
        <f>SUM(S5:S6)</f>
        <v>0</v>
      </c>
      <c r="T7" s="198">
        <f>SUM(T5:T6)</f>
        <v>0</v>
      </c>
      <c r="U7" s="198">
        <f>SUM(U5:U6)</f>
        <v>0</v>
      </c>
      <c r="V7" s="198">
        <f>SUM(V5:V6)</f>
        <v>20000</v>
      </c>
      <c r="W7" s="198">
        <f>SUM(W5:W6)</f>
        <v>20000</v>
      </c>
      <c r="X7" s="198">
        <f>SUM(X5:X6)</f>
        <v>0</v>
      </c>
      <c r="Y7" s="198">
        <f>SUM(Y5:Y6)</f>
        <v>20000</v>
      </c>
      <c r="Z7" s="198">
        <f>SUM(Z5:Z6)</f>
        <v>666.66666666666663</v>
      </c>
      <c r="AA7" s="198">
        <f>SUM(AA5:AA6)</f>
        <v>9000</v>
      </c>
      <c r="AB7" s="198">
        <f>SUM(AB5:AB6)</f>
        <v>0</v>
      </c>
      <c r="AC7" s="198">
        <f>SUM(AC5:AC6)</f>
        <v>0</v>
      </c>
      <c r="AD7" s="198">
        <f>SUM(AD5:AD6)</f>
        <v>0</v>
      </c>
      <c r="AE7" s="198">
        <f>SUM(AE5:AE6)</f>
        <v>0</v>
      </c>
      <c r="AF7" s="198">
        <f>SUM(AF5:AF6)</f>
        <v>0</v>
      </c>
      <c r="AG7" s="198">
        <f>SUM(AG5:AG6)</f>
        <v>0</v>
      </c>
      <c r="AH7" s="198">
        <f>SUM(AH5:AH6)</f>
        <v>0</v>
      </c>
      <c r="AI7" s="198">
        <f>SUM(AI5:AI6)</f>
        <v>0</v>
      </c>
      <c r="AJ7" s="198">
        <f>SUM(AJ5:AJ6)</f>
        <v>20000</v>
      </c>
      <c r="AK7" s="198">
        <f>SUM(AK5:AK6)</f>
        <v>0</v>
      </c>
      <c r="AL7" s="198">
        <f>SUM(AL5:AL6)</f>
        <v>0</v>
      </c>
      <c r="AM7" s="199"/>
      <c r="AN7" s="31"/>
    </row>
    <row r="8" spans="1:40" ht="95.25" customHeight="1">
      <c r="A8" s="829" t="s">
        <v>34</v>
      </c>
      <c r="B8" s="770"/>
      <c r="C8" s="75"/>
      <c r="D8" s="75"/>
      <c r="E8" s="75"/>
      <c r="F8" s="75"/>
      <c r="G8" s="75"/>
      <c r="H8" s="75"/>
      <c r="I8" s="75"/>
      <c r="J8" s="75"/>
      <c r="K8" s="75"/>
      <c r="L8" s="75"/>
      <c r="M8" s="75"/>
      <c r="N8" s="75"/>
      <c r="O8" s="75"/>
      <c r="P8" s="75"/>
      <c r="Q8" s="75"/>
      <c r="R8" s="75"/>
      <c r="S8" s="75"/>
      <c r="T8" s="75"/>
      <c r="U8" s="830" t="s">
        <v>35</v>
      </c>
      <c r="V8" s="640"/>
      <c r="W8" s="640"/>
      <c r="X8" s="640"/>
      <c r="Y8" s="770"/>
      <c r="Z8" s="75"/>
      <c r="AA8" s="75"/>
      <c r="AB8" s="75"/>
      <c r="AC8" s="75"/>
      <c r="AD8" s="75"/>
      <c r="AE8" s="75"/>
      <c r="AF8" s="75"/>
      <c r="AG8" s="75"/>
      <c r="AH8" s="75"/>
      <c r="AI8" s="75"/>
      <c r="AJ8" s="75"/>
      <c r="AK8" s="830" t="s">
        <v>36</v>
      </c>
      <c r="AL8" s="640"/>
      <c r="AM8" s="772"/>
      <c r="AN8" s="200"/>
    </row>
    <row r="9" spans="1:40" ht="20.25" customHeight="1">
      <c r="A9" s="78"/>
      <c r="B9" s="78"/>
      <c r="C9" s="78"/>
      <c r="D9" s="78"/>
      <c r="E9" s="78"/>
      <c r="F9" s="78"/>
      <c r="G9" s="78"/>
      <c r="H9" s="78"/>
      <c r="I9" s="78"/>
      <c r="J9" s="78"/>
      <c r="K9" s="78"/>
      <c r="L9" s="78"/>
      <c r="M9" s="78"/>
      <c r="N9" s="78"/>
      <c r="O9" s="78"/>
      <c r="P9" s="78"/>
      <c r="Q9" s="78"/>
      <c r="R9" s="78"/>
      <c r="S9" s="78"/>
      <c r="T9" s="78"/>
      <c r="U9" s="78"/>
      <c r="V9" s="78"/>
      <c r="W9" s="78"/>
      <c r="X9" s="78"/>
      <c r="Y9" s="78"/>
      <c r="Z9" s="78"/>
      <c r="AA9" s="70"/>
      <c r="AB9" s="78"/>
      <c r="AC9" s="78"/>
      <c r="AD9" s="78"/>
      <c r="AE9" s="78"/>
      <c r="AF9" s="78"/>
      <c r="AG9" s="78"/>
      <c r="AH9" s="78"/>
      <c r="AI9" s="70"/>
      <c r="AJ9" s="78"/>
      <c r="AK9" s="78"/>
      <c r="AL9" s="78"/>
      <c r="AM9" s="78"/>
      <c r="AN9" s="78"/>
    </row>
    <row r="10" spans="1:40" ht="20.25" customHeight="1">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0"/>
      <c r="AL10" s="78"/>
      <c r="AM10" s="78"/>
      <c r="AN10" s="78"/>
    </row>
    <row r="11" spans="1:40" ht="20.25" customHeight="1">
      <c r="A11" s="78"/>
      <c r="B11" s="78"/>
      <c r="C11" s="78"/>
      <c r="D11" s="78"/>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0"/>
      <c r="AL11" s="78"/>
      <c r="AM11" s="78"/>
      <c r="AN11" s="78"/>
    </row>
    <row r="12" spans="1:40" ht="20.25" customHeight="1">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row>
    <row r="13" spans="1:40" ht="20.25" customHeight="1">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0"/>
      <c r="AK13" s="78"/>
      <c r="AL13" s="78"/>
      <c r="AM13" s="78"/>
      <c r="AN13" s="78"/>
    </row>
    <row r="14" spans="1:40" ht="20.25" customHeight="1">
      <c r="A14" s="78"/>
      <c r="B14" s="78"/>
      <c r="C14" s="78"/>
      <c r="D14" s="78"/>
      <c r="E14" s="78"/>
      <c r="F14" s="78"/>
      <c r="G14" s="78"/>
      <c r="H14" s="78"/>
      <c r="I14" s="78"/>
      <c r="J14" s="78"/>
      <c r="K14" s="78"/>
      <c r="L14" s="78"/>
      <c r="M14" s="78"/>
      <c r="N14" s="78"/>
      <c r="O14" s="78"/>
      <c r="P14" s="78"/>
      <c r="Q14" s="78"/>
      <c r="R14" s="78"/>
      <c r="S14" s="78"/>
      <c r="T14" s="78"/>
      <c r="U14" s="78"/>
      <c r="V14" s="70"/>
      <c r="W14" s="70"/>
      <c r="X14" s="70"/>
      <c r="Y14" s="78"/>
      <c r="Z14" s="78"/>
      <c r="AA14" s="78"/>
      <c r="AB14" s="78"/>
      <c r="AC14" s="78"/>
      <c r="AD14" s="78"/>
      <c r="AE14" s="78"/>
      <c r="AF14" s="78"/>
      <c r="AG14" s="78"/>
      <c r="AH14" s="78"/>
      <c r="AI14" s="78"/>
      <c r="AJ14" s="78"/>
      <c r="AK14" s="78"/>
      <c r="AL14" s="78"/>
      <c r="AM14" s="78"/>
      <c r="AN14" s="78"/>
    </row>
    <row r="15" spans="1:40" ht="20.25" customHeight="1">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row>
    <row r="16" spans="1:40" ht="20.25" customHeight="1">
      <c r="A16" s="78"/>
      <c r="B16" s="78"/>
      <c r="C16" s="78"/>
      <c r="D16" s="78"/>
      <c r="E16" s="78"/>
      <c r="F16" s="78"/>
      <c r="G16" s="78"/>
      <c r="H16" s="78"/>
      <c r="I16" s="78"/>
      <c r="J16" s="78"/>
      <c r="K16" s="78"/>
      <c r="L16" s="78"/>
      <c r="M16" s="78"/>
      <c r="N16" s="78"/>
      <c r="O16" s="78"/>
      <c r="P16" s="78"/>
      <c r="Q16" s="78"/>
      <c r="R16" s="78"/>
      <c r="S16" s="78"/>
      <c r="T16" s="78"/>
      <c r="U16" s="78"/>
      <c r="V16" s="70"/>
      <c r="W16" s="70"/>
      <c r="X16" s="70"/>
      <c r="Y16" s="78"/>
      <c r="Z16" s="78"/>
      <c r="AA16" s="78"/>
      <c r="AB16" s="78"/>
      <c r="AC16" s="78"/>
      <c r="AD16" s="78"/>
      <c r="AE16" s="78"/>
      <c r="AF16" s="78"/>
      <c r="AG16" s="78"/>
      <c r="AH16" s="78"/>
      <c r="AI16" s="78"/>
      <c r="AJ16" s="70"/>
      <c r="AK16" s="78"/>
      <c r="AL16" s="78"/>
      <c r="AM16" s="78"/>
      <c r="AN16" s="78"/>
    </row>
    <row r="17" spans="1:40" ht="20.25" customHeight="1">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row>
    <row r="18" spans="1:40" ht="20.25" customHeight="1">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row>
    <row r="19" spans="1:40" ht="20.25" customHeight="1">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row>
    <row r="20" spans="1:40" ht="20.25" customHeight="1">
      <c r="A20" s="78"/>
      <c r="B20" s="78"/>
      <c r="C20" s="81"/>
      <c r="D20" s="78"/>
      <c r="E20" s="78"/>
      <c r="F20" s="78"/>
      <c r="G20" s="78"/>
      <c r="H20" s="78"/>
      <c r="I20" s="78"/>
      <c r="J20" s="78"/>
      <c r="K20" s="78"/>
      <c r="L20" s="78"/>
      <c r="M20" s="78"/>
      <c r="N20" s="78"/>
      <c r="O20" s="78"/>
      <c r="P20" s="78"/>
      <c r="Q20" s="103"/>
      <c r="R20" s="103"/>
      <c r="S20" s="103"/>
      <c r="T20" s="103"/>
      <c r="U20" s="103"/>
      <c r="V20" s="78"/>
      <c r="W20" s="78"/>
      <c r="X20" s="78"/>
      <c r="Y20" s="79"/>
      <c r="Z20" s="79"/>
      <c r="AA20" s="78"/>
      <c r="AB20" s="78"/>
      <c r="AC20" s="78"/>
      <c r="AD20" s="78"/>
      <c r="AE20" s="78"/>
      <c r="AF20" s="78"/>
      <c r="AG20" s="78"/>
      <c r="AH20" s="78"/>
      <c r="AI20" s="78"/>
      <c r="AJ20" s="78"/>
      <c r="AK20" s="78"/>
      <c r="AL20" s="78"/>
      <c r="AM20" s="81"/>
      <c r="AN20" s="78"/>
    </row>
    <row r="21" spans="1:40" ht="20.25" customHeight="1">
      <c r="A21" s="78"/>
      <c r="B21" s="78"/>
      <c r="C21" s="81"/>
      <c r="D21" s="78"/>
      <c r="E21" s="78"/>
      <c r="F21" s="78"/>
      <c r="G21" s="78"/>
      <c r="H21" s="78"/>
      <c r="I21" s="78"/>
      <c r="J21" s="78"/>
      <c r="K21" s="78"/>
      <c r="L21" s="78"/>
      <c r="M21" s="78"/>
      <c r="N21" s="78"/>
      <c r="O21" s="78"/>
      <c r="P21" s="78"/>
      <c r="Q21" s="103"/>
      <c r="R21" s="103"/>
      <c r="S21" s="103"/>
      <c r="T21" s="103"/>
      <c r="U21" s="103"/>
      <c r="V21" s="78"/>
      <c r="W21" s="78"/>
      <c r="X21" s="78"/>
      <c r="Y21" s="79"/>
      <c r="Z21" s="79"/>
      <c r="AA21" s="78"/>
      <c r="AB21" s="78"/>
      <c r="AC21" s="78"/>
      <c r="AD21" s="78"/>
      <c r="AE21" s="78"/>
      <c r="AF21" s="78"/>
      <c r="AG21" s="78"/>
      <c r="AH21" s="78"/>
      <c r="AI21" s="78"/>
      <c r="AJ21" s="78"/>
      <c r="AK21" s="78"/>
      <c r="AL21" s="78"/>
      <c r="AM21" s="81"/>
      <c r="AN21" s="78"/>
    </row>
    <row r="22" spans="1:40" ht="20.25" customHeight="1">
      <c r="A22" s="78"/>
      <c r="B22" s="78"/>
      <c r="C22" s="81"/>
      <c r="D22" s="78"/>
      <c r="E22" s="78"/>
      <c r="F22" s="78"/>
      <c r="G22" s="78"/>
      <c r="H22" s="78"/>
      <c r="I22" s="78"/>
      <c r="J22" s="78"/>
      <c r="K22" s="78"/>
      <c r="L22" s="78"/>
      <c r="M22" s="78"/>
      <c r="N22" s="78"/>
      <c r="O22" s="78"/>
      <c r="P22" s="78"/>
      <c r="Q22" s="103"/>
      <c r="R22" s="103"/>
      <c r="S22" s="103"/>
      <c r="T22" s="103"/>
      <c r="U22" s="103"/>
      <c r="V22" s="78"/>
      <c r="W22" s="78"/>
      <c r="X22" s="78"/>
      <c r="Y22" s="79"/>
      <c r="Z22" s="79"/>
      <c r="AA22" s="78"/>
      <c r="AB22" s="78"/>
      <c r="AC22" s="78"/>
      <c r="AD22" s="78"/>
      <c r="AE22" s="78"/>
      <c r="AF22" s="78"/>
      <c r="AG22" s="78"/>
      <c r="AH22" s="78"/>
      <c r="AI22" s="78"/>
      <c r="AJ22" s="78"/>
      <c r="AK22" s="78"/>
      <c r="AL22" s="78"/>
      <c r="AM22" s="81"/>
      <c r="AN22" s="78"/>
    </row>
    <row r="23" spans="1:40" ht="20.25" customHeight="1">
      <c r="A23" s="78"/>
      <c r="B23" s="78"/>
      <c r="C23" s="81"/>
      <c r="D23" s="78"/>
      <c r="E23" s="78"/>
      <c r="F23" s="78"/>
      <c r="G23" s="78"/>
      <c r="H23" s="78"/>
      <c r="I23" s="78"/>
      <c r="J23" s="78"/>
      <c r="K23" s="78"/>
      <c r="L23" s="78"/>
      <c r="M23" s="78"/>
      <c r="N23" s="78"/>
      <c r="O23" s="78"/>
      <c r="P23" s="78"/>
      <c r="Q23" s="103"/>
      <c r="R23" s="103"/>
      <c r="S23" s="103"/>
      <c r="T23" s="103"/>
      <c r="U23" s="103"/>
      <c r="V23" s="78"/>
      <c r="W23" s="78"/>
      <c r="X23" s="78"/>
      <c r="Y23" s="79"/>
      <c r="Z23" s="79"/>
      <c r="AA23" s="78"/>
      <c r="AB23" s="78"/>
      <c r="AC23" s="78"/>
      <c r="AD23" s="78"/>
      <c r="AE23" s="78"/>
      <c r="AF23" s="78"/>
      <c r="AG23" s="78"/>
      <c r="AH23" s="78"/>
      <c r="AI23" s="78"/>
      <c r="AJ23" s="78"/>
      <c r="AK23" s="78"/>
      <c r="AL23" s="78"/>
      <c r="AM23" s="81"/>
      <c r="AN23" s="78"/>
    </row>
    <row r="24" spans="1:40" ht="20.25" customHeight="1">
      <c r="A24" s="78"/>
      <c r="B24" s="78"/>
      <c r="C24" s="81"/>
      <c r="D24" s="78"/>
      <c r="E24" s="78"/>
      <c r="F24" s="78"/>
      <c r="G24" s="78"/>
      <c r="H24" s="78"/>
      <c r="I24" s="78"/>
      <c r="J24" s="78"/>
      <c r="K24" s="78"/>
      <c r="L24" s="78"/>
      <c r="M24" s="78"/>
      <c r="N24" s="78"/>
      <c r="O24" s="78"/>
      <c r="P24" s="78"/>
      <c r="Q24" s="103"/>
      <c r="R24" s="103"/>
      <c r="S24" s="103"/>
      <c r="T24" s="103"/>
      <c r="U24" s="103"/>
      <c r="V24" s="78"/>
      <c r="W24" s="78"/>
      <c r="X24" s="78"/>
      <c r="Y24" s="79"/>
      <c r="Z24" s="79"/>
      <c r="AA24" s="78"/>
      <c r="AB24" s="78"/>
      <c r="AC24" s="78"/>
      <c r="AD24" s="78"/>
      <c r="AE24" s="78"/>
      <c r="AF24" s="78"/>
      <c r="AG24" s="78"/>
      <c r="AH24" s="78"/>
      <c r="AI24" s="78"/>
      <c r="AJ24" s="78"/>
      <c r="AK24" s="78"/>
      <c r="AL24" s="78"/>
      <c r="AM24" s="81"/>
      <c r="AN24" s="78"/>
    </row>
    <row r="25" spans="1:40" ht="20.25" customHeight="1">
      <c r="A25" s="78"/>
      <c r="B25" s="78"/>
      <c r="C25" s="81"/>
      <c r="D25" s="78"/>
      <c r="E25" s="78"/>
      <c r="F25" s="78"/>
      <c r="G25" s="78"/>
      <c r="H25" s="78"/>
      <c r="I25" s="78"/>
      <c r="J25" s="78"/>
      <c r="K25" s="78"/>
      <c r="L25" s="78"/>
      <c r="M25" s="78"/>
      <c r="N25" s="78"/>
      <c r="O25" s="78"/>
      <c r="P25" s="78"/>
      <c r="Q25" s="103"/>
      <c r="R25" s="103"/>
      <c r="S25" s="103"/>
      <c r="T25" s="103"/>
      <c r="U25" s="103"/>
      <c r="V25" s="78"/>
      <c r="W25" s="78"/>
      <c r="X25" s="78"/>
      <c r="Y25" s="79"/>
      <c r="Z25" s="79"/>
      <c r="AA25" s="78"/>
      <c r="AB25" s="78"/>
      <c r="AC25" s="78"/>
      <c r="AD25" s="78"/>
      <c r="AE25" s="78"/>
      <c r="AF25" s="78"/>
      <c r="AG25" s="78"/>
      <c r="AH25" s="78"/>
      <c r="AI25" s="78"/>
      <c r="AJ25" s="78"/>
      <c r="AK25" s="78"/>
      <c r="AL25" s="78"/>
      <c r="AM25" s="81"/>
      <c r="AN25" s="78"/>
    </row>
    <row r="26" spans="1:40" ht="20.25" customHeight="1">
      <c r="A26" s="78"/>
      <c r="B26" s="78"/>
      <c r="C26" s="81"/>
      <c r="D26" s="78"/>
      <c r="E26" s="78"/>
      <c r="F26" s="78"/>
      <c r="G26" s="78"/>
      <c r="H26" s="78"/>
      <c r="I26" s="78"/>
      <c r="J26" s="78"/>
      <c r="K26" s="78"/>
      <c r="L26" s="78"/>
      <c r="M26" s="78"/>
      <c r="N26" s="78"/>
      <c r="O26" s="78"/>
      <c r="P26" s="78"/>
      <c r="Q26" s="103"/>
      <c r="R26" s="103"/>
      <c r="S26" s="103"/>
      <c r="T26" s="103"/>
      <c r="U26" s="103"/>
      <c r="V26" s="78"/>
      <c r="W26" s="78"/>
      <c r="X26" s="78"/>
      <c r="Y26" s="79"/>
      <c r="Z26" s="79"/>
      <c r="AA26" s="78"/>
      <c r="AB26" s="78"/>
      <c r="AC26" s="78"/>
      <c r="AD26" s="78"/>
      <c r="AE26" s="78"/>
      <c r="AF26" s="78"/>
      <c r="AG26" s="78"/>
      <c r="AH26" s="78"/>
      <c r="AI26" s="78"/>
      <c r="AJ26" s="78"/>
      <c r="AK26" s="78"/>
      <c r="AL26" s="78"/>
      <c r="AM26" s="81"/>
      <c r="AN26" s="78"/>
    </row>
    <row r="27" spans="1:40" ht="20.25" customHeight="1">
      <c r="A27" s="78"/>
      <c r="B27" s="78"/>
      <c r="C27" s="81"/>
      <c r="D27" s="78"/>
      <c r="E27" s="78"/>
      <c r="F27" s="78"/>
      <c r="G27" s="78"/>
      <c r="H27" s="78"/>
      <c r="I27" s="78"/>
      <c r="J27" s="78"/>
      <c r="K27" s="78"/>
      <c r="L27" s="78"/>
      <c r="M27" s="78"/>
      <c r="N27" s="78"/>
      <c r="O27" s="78"/>
      <c r="P27" s="78"/>
      <c r="Q27" s="103"/>
      <c r="R27" s="103"/>
      <c r="S27" s="103"/>
      <c r="T27" s="103"/>
      <c r="U27" s="103"/>
      <c r="V27" s="78"/>
      <c r="W27" s="78"/>
      <c r="X27" s="78"/>
      <c r="Y27" s="79"/>
      <c r="Z27" s="79"/>
      <c r="AA27" s="78"/>
      <c r="AB27" s="78"/>
      <c r="AC27" s="78"/>
      <c r="AD27" s="78"/>
      <c r="AE27" s="78"/>
      <c r="AF27" s="78"/>
      <c r="AG27" s="78"/>
      <c r="AH27" s="78"/>
      <c r="AI27" s="78"/>
      <c r="AJ27" s="78"/>
      <c r="AK27" s="78"/>
      <c r="AL27" s="78"/>
      <c r="AM27" s="81"/>
      <c r="AN27" s="78"/>
    </row>
    <row r="28" spans="1:40" ht="20.25" customHeight="1">
      <c r="A28" s="78"/>
      <c r="B28" s="78"/>
      <c r="C28" s="81"/>
      <c r="D28" s="78"/>
      <c r="E28" s="78"/>
      <c r="F28" s="78"/>
      <c r="G28" s="78"/>
      <c r="H28" s="78"/>
      <c r="I28" s="78"/>
      <c r="J28" s="78"/>
      <c r="K28" s="78"/>
      <c r="L28" s="78"/>
      <c r="M28" s="78"/>
      <c r="N28" s="78"/>
      <c r="O28" s="78"/>
      <c r="P28" s="78"/>
      <c r="Q28" s="103"/>
      <c r="R28" s="103"/>
      <c r="S28" s="103"/>
      <c r="T28" s="103"/>
      <c r="U28" s="103"/>
      <c r="V28" s="78"/>
      <c r="W28" s="78"/>
      <c r="X28" s="78"/>
      <c r="Y28" s="79"/>
      <c r="Z28" s="79"/>
      <c r="AA28" s="78"/>
      <c r="AB28" s="78"/>
      <c r="AC28" s="78"/>
      <c r="AD28" s="78"/>
      <c r="AE28" s="78"/>
      <c r="AF28" s="78"/>
      <c r="AG28" s="78"/>
      <c r="AH28" s="78"/>
      <c r="AI28" s="78"/>
      <c r="AJ28" s="78"/>
      <c r="AK28" s="78"/>
      <c r="AL28" s="78"/>
      <c r="AM28" s="81"/>
      <c r="AN28" s="78"/>
    </row>
    <row r="29" spans="1:40" ht="20.25" customHeight="1">
      <c r="A29" s="78"/>
      <c r="B29" s="78"/>
      <c r="C29" s="81"/>
      <c r="D29" s="78"/>
      <c r="E29" s="78"/>
      <c r="F29" s="78"/>
      <c r="G29" s="78"/>
      <c r="H29" s="78"/>
      <c r="I29" s="78"/>
      <c r="J29" s="78"/>
      <c r="K29" s="78"/>
      <c r="L29" s="78"/>
      <c r="M29" s="78"/>
      <c r="N29" s="78"/>
      <c r="O29" s="78"/>
      <c r="P29" s="78"/>
      <c r="Q29" s="103"/>
      <c r="R29" s="103"/>
      <c r="S29" s="103"/>
      <c r="T29" s="103"/>
      <c r="U29" s="103"/>
      <c r="V29" s="78"/>
      <c r="W29" s="78"/>
      <c r="X29" s="78"/>
      <c r="Y29" s="79"/>
      <c r="Z29" s="79"/>
      <c r="AA29" s="78"/>
      <c r="AB29" s="78"/>
      <c r="AC29" s="78"/>
      <c r="AD29" s="78"/>
      <c r="AE29" s="78"/>
      <c r="AF29" s="78"/>
      <c r="AG29" s="78"/>
      <c r="AH29" s="78"/>
      <c r="AI29" s="78"/>
      <c r="AJ29" s="78"/>
      <c r="AK29" s="78"/>
      <c r="AL29" s="78"/>
      <c r="AM29" s="81"/>
      <c r="AN29" s="78"/>
    </row>
    <row r="30" spans="1:40" ht="20.25" customHeight="1">
      <c r="A30" s="78"/>
      <c r="B30" s="78"/>
      <c r="C30" s="81"/>
      <c r="D30" s="78"/>
      <c r="E30" s="78"/>
      <c r="F30" s="78"/>
      <c r="G30" s="78"/>
      <c r="H30" s="78"/>
      <c r="I30" s="78"/>
      <c r="J30" s="78"/>
      <c r="K30" s="78"/>
      <c r="L30" s="78"/>
      <c r="M30" s="78"/>
      <c r="N30" s="78"/>
      <c r="O30" s="78"/>
      <c r="P30" s="78"/>
      <c r="Q30" s="103"/>
      <c r="R30" s="103"/>
      <c r="S30" s="103"/>
      <c r="T30" s="103"/>
      <c r="U30" s="103"/>
      <c r="V30" s="78"/>
      <c r="W30" s="78"/>
      <c r="X30" s="78"/>
      <c r="Y30" s="79"/>
      <c r="Z30" s="79"/>
      <c r="AA30" s="78"/>
      <c r="AB30" s="78"/>
      <c r="AC30" s="78"/>
      <c r="AD30" s="78"/>
      <c r="AE30" s="78"/>
      <c r="AF30" s="78"/>
      <c r="AG30" s="78"/>
      <c r="AH30" s="78"/>
      <c r="AI30" s="78"/>
      <c r="AJ30" s="78"/>
      <c r="AK30" s="78"/>
      <c r="AL30" s="78"/>
      <c r="AM30" s="81"/>
      <c r="AN30" s="78"/>
    </row>
    <row r="31" spans="1:40" ht="20.25" customHeight="1">
      <c r="A31" s="78"/>
      <c r="B31" s="78"/>
      <c r="C31" s="81"/>
      <c r="D31" s="78"/>
      <c r="E31" s="78"/>
      <c r="F31" s="78"/>
      <c r="G31" s="78"/>
      <c r="H31" s="78"/>
      <c r="I31" s="78"/>
      <c r="J31" s="78"/>
      <c r="K31" s="78"/>
      <c r="L31" s="78"/>
      <c r="M31" s="78"/>
      <c r="N31" s="78"/>
      <c r="O31" s="78"/>
      <c r="P31" s="78"/>
      <c r="Q31" s="103"/>
      <c r="R31" s="103"/>
      <c r="S31" s="103"/>
      <c r="T31" s="103"/>
      <c r="U31" s="103"/>
      <c r="V31" s="78"/>
      <c r="W31" s="78"/>
      <c r="X31" s="78"/>
      <c r="Y31" s="79"/>
      <c r="Z31" s="79"/>
      <c r="AA31" s="78"/>
      <c r="AB31" s="78"/>
      <c r="AC31" s="78"/>
      <c r="AD31" s="78"/>
      <c r="AE31" s="78"/>
      <c r="AF31" s="78"/>
      <c r="AG31" s="78"/>
      <c r="AH31" s="78"/>
      <c r="AI31" s="78"/>
      <c r="AJ31" s="78"/>
      <c r="AK31" s="78"/>
      <c r="AL31" s="78"/>
      <c r="AM31" s="81"/>
      <c r="AN31" s="78"/>
    </row>
    <row r="32" spans="1:40" ht="20.25" customHeight="1">
      <c r="A32" s="78"/>
      <c r="B32" s="78"/>
      <c r="C32" s="81"/>
      <c r="D32" s="78"/>
      <c r="E32" s="78"/>
      <c r="F32" s="78"/>
      <c r="G32" s="78"/>
      <c r="H32" s="78"/>
      <c r="I32" s="78"/>
      <c r="J32" s="78"/>
      <c r="K32" s="78"/>
      <c r="L32" s="78"/>
      <c r="M32" s="78"/>
      <c r="N32" s="78"/>
      <c r="O32" s="78"/>
      <c r="P32" s="78"/>
      <c r="Q32" s="103"/>
      <c r="R32" s="103"/>
      <c r="S32" s="103"/>
      <c r="T32" s="103"/>
      <c r="U32" s="103"/>
      <c r="V32" s="78"/>
      <c r="W32" s="78"/>
      <c r="X32" s="78"/>
      <c r="Y32" s="79"/>
      <c r="Z32" s="79"/>
      <c r="AA32" s="78"/>
      <c r="AB32" s="78"/>
      <c r="AC32" s="78"/>
      <c r="AD32" s="78"/>
      <c r="AE32" s="78"/>
      <c r="AF32" s="78"/>
      <c r="AG32" s="78"/>
      <c r="AH32" s="78"/>
      <c r="AI32" s="78"/>
      <c r="AJ32" s="78"/>
      <c r="AK32" s="78"/>
      <c r="AL32" s="78"/>
      <c r="AM32" s="81"/>
      <c r="AN32" s="78"/>
    </row>
    <row r="33" spans="1:40" ht="20.25" customHeight="1">
      <c r="A33" s="78"/>
      <c r="B33" s="78"/>
      <c r="C33" s="81"/>
      <c r="D33" s="78"/>
      <c r="E33" s="78"/>
      <c r="F33" s="78"/>
      <c r="G33" s="78"/>
      <c r="H33" s="78"/>
      <c r="I33" s="78"/>
      <c r="J33" s="78"/>
      <c r="K33" s="78"/>
      <c r="L33" s="78"/>
      <c r="M33" s="78"/>
      <c r="N33" s="78"/>
      <c r="O33" s="78"/>
      <c r="P33" s="78"/>
      <c r="Q33" s="103"/>
      <c r="R33" s="103"/>
      <c r="S33" s="103"/>
      <c r="T33" s="103"/>
      <c r="U33" s="103"/>
      <c r="V33" s="78"/>
      <c r="W33" s="78"/>
      <c r="X33" s="78"/>
      <c r="Y33" s="79"/>
      <c r="Z33" s="79"/>
      <c r="AA33" s="78"/>
      <c r="AB33" s="78"/>
      <c r="AC33" s="78"/>
      <c r="AD33" s="78"/>
      <c r="AE33" s="78"/>
      <c r="AF33" s="78"/>
      <c r="AG33" s="78"/>
      <c r="AH33" s="78"/>
      <c r="AI33" s="78"/>
      <c r="AJ33" s="78"/>
      <c r="AK33" s="78"/>
      <c r="AL33" s="78"/>
      <c r="AM33" s="81"/>
      <c r="AN33" s="78"/>
    </row>
    <row r="34" spans="1:40" ht="20.25" customHeight="1">
      <c r="A34" s="78"/>
      <c r="B34" s="78"/>
      <c r="C34" s="81"/>
      <c r="D34" s="78"/>
      <c r="E34" s="78"/>
      <c r="F34" s="78"/>
      <c r="G34" s="78"/>
      <c r="H34" s="78"/>
      <c r="I34" s="78"/>
      <c r="J34" s="78"/>
      <c r="K34" s="78"/>
      <c r="L34" s="78"/>
      <c r="M34" s="78"/>
      <c r="N34" s="78"/>
      <c r="O34" s="78"/>
      <c r="P34" s="78"/>
      <c r="Q34" s="103"/>
      <c r="R34" s="103"/>
      <c r="S34" s="103"/>
      <c r="T34" s="103"/>
      <c r="U34" s="103"/>
      <c r="V34" s="78"/>
      <c r="W34" s="78"/>
      <c r="X34" s="78"/>
      <c r="Y34" s="79"/>
      <c r="Z34" s="79"/>
      <c r="AA34" s="78"/>
      <c r="AB34" s="78"/>
      <c r="AC34" s="78"/>
      <c r="AD34" s="78"/>
      <c r="AE34" s="78"/>
      <c r="AF34" s="78"/>
      <c r="AG34" s="78"/>
      <c r="AH34" s="78"/>
      <c r="AI34" s="78"/>
      <c r="AJ34" s="78"/>
      <c r="AK34" s="78"/>
      <c r="AL34" s="78"/>
      <c r="AM34" s="81"/>
      <c r="AN34" s="78"/>
    </row>
    <row r="35" spans="1:40" ht="20.25" customHeight="1">
      <c r="A35" s="78"/>
      <c r="B35" s="78"/>
      <c r="C35" s="81"/>
      <c r="D35" s="78"/>
      <c r="E35" s="78"/>
      <c r="F35" s="78"/>
      <c r="G35" s="78"/>
      <c r="H35" s="78"/>
      <c r="I35" s="78"/>
      <c r="J35" s="78"/>
      <c r="K35" s="78"/>
      <c r="L35" s="78"/>
      <c r="M35" s="78"/>
      <c r="N35" s="78"/>
      <c r="O35" s="78"/>
      <c r="P35" s="78"/>
      <c r="Q35" s="103"/>
      <c r="R35" s="103"/>
      <c r="S35" s="103"/>
      <c r="T35" s="103"/>
      <c r="U35" s="103"/>
      <c r="V35" s="78"/>
      <c r="W35" s="78"/>
      <c r="X35" s="78"/>
      <c r="Y35" s="79"/>
      <c r="Z35" s="79"/>
      <c r="AA35" s="78"/>
      <c r="AB35" s="78"/>
      <c r="AC35" s="78"/>
      <c r="AD35" s="78"/>
      <c r="AE35" s="78"/>
      <c r="AF35" s="78"/>
      <c r="AG35" s="78"/>
      <c r="AH35" s="78"/>
      <c r="AI35" s="78"/>
      <c r="AJ35" s="78"/>
      <c r="AK35" s="78"/>
      <c r="AL35" s="78"/>
      <c r="AM35" s="81"/>
      <c r="AN35" s="78"/>
    </row>
    <row r="36" spans="1:40" ht="20.25" customHeight="1">
      <c r="A36" s="78"/>
      <c r="B36" s="78"/>
      <c r="C36" s="81"/>
      <c r="D36" s="78"/>
      <c r="E36" s="78"/>
      <c r="F36" s="78"/>
      <c r="G36" s="78"/>
      <c r="H36" s="78"/>
      <c r="I36" s="78"/>
      <c r="J36" s="78"/>
      <c r="K36" s="78"/>
      <c r="L36" s="78"/>
      <c r="M36" s="78"/>
      <c r="N36" s="78"/>
      <c r="O36" s="78"/>
      <c r="P36" s="78"/>
      <c r="Q36" s="103"/>
      <c r="R36" s="103"/>
      <c r="S36" s="103"/>
      <c r="T36" s="103"/>
      <c r="U36" s="103"/>
      <c r="V36" s="78"/>
      <c r="W36" s="78"/>
      <c r="X36" s="78"/>
      <c r="Y36" s="79"/>
      <c r="Z36" s="79"/>
      <c r="AA36" s="78"/>
      <c r="AB36" s="78"/>
      <c r="AC36" s="78"/>
      <c r="AD36" s="78"/>
      <c r="AE36" s="78"/>
      <c r="AF36" s="78"/>
      <c r="AG36" s="78"/>
      <c r="AH36" s="78"/>
      <c r="AI36" s="78"/>
      <c r="AJ36" s="78"/>
      <c r="AK36" s="78"/>
      <c r="AL36" s="78"/>
      <c r="AM36" s="81"/>
      <c r="AN36" s="78"/>
    </row>
    <row r="37" spans="1:40" ht="20.25" customHeight="1">
      <c r="A37" s="78"/>
      <c r="B37" s="78"/>
      <c r="C37" s="81"/>
      <c r="D37" s="78"/>
      <c r="E37" s="78"/>
      <c r="F37" s="78"/>
      <c r="G37" s="78"/>
      <c r="H37" s="78"/>
      <c r="I37" s="78"/>
      <c r="J37" s="78"/>
      <c r="K37" s="78"/>
      <c r="L37" s="78"/>
      <c r="M37" s="78"/>
      <c r="N37" s="78"/>
      <c r="O37" s="78"/>
      <c r="P37" s="78"/>
      <c r="Q37" s="103"/>
      <c r="R37" s="103"/>
      <c r="S37" s="103"/>
      <c r="T37" s="103"/>
      <c r="U37" s="103"/>
      <c r="V37" s="78"/>
      <c r="W37" s="78"/>
      <c r="X37" s="78"/>
      <c r="Y37" s="79"/>
      <c r="Z37" s="79"/>
      <c r="AA37" s="78"/>
      <c r="AB37" s="78"/>
      <c r="AC37" s="78"/>
      <c r="AD37" s="78"/>
      <c r="AE37" s="78"/>
      <c r="AF37" s="78"/>
      <c r="AG37" s="78"/>
      <c r="AH37" s="78"/>
      <c r="AI37" s="78"/>
      <c r="AJ37" s="78"/>
      <c r="AK37" s="78"/>
      <c r="AL37" s="78"/>
      <c r="AM37" s="81"/>
      <c r="AN37" s="78"/>
    </row>
    <row r="38" spans="1:40" ht="20.25" customHeight="1">
      <c r="A38" s="78"/>
      <c r="B38" s="78"/>
      <c r="C38" s="81"/>
      <c r="D38" s="78"/>
      <c r="E38" s="78"/>
      <c r="F38" s="78"/>
      <c r="G38" s="78"/>
      <c r="H38" s="78"/>
      <c r="I38" s="78"/>
      <c r="J38" s="78"/>
      <c r="K38" s="78"/>
      <c r="L38" s="78"/>
      <c r="M38" s="78"/>
      <c r="N38" s="78"/>
      <c r="O38" s="78"/>
      <c r="P38" s="78"/>
      <c r="Q38" s="103"/>
      <c r="R38" s="103"/>
      <c r="S38" s="103"/>
      <c r="T38" s="103"/>
      <c r="U38" s="103"/>
      <c r="V38" s="78"/>
      <c r="W38" s="78"/>
      <c r="X38" s="78"/>
      <c r="Y38" s="79"/>
      <c r="Z38" s="79"/>
      <c r="AA38" s="78"/>
      <c r="AB38" s="78"/>
      <c r="AC38" s="78"/>
      <c r="AD38" s="78"/>
      <c r="AE38" s="78"/>
      <c r="AF38" s="78"/>
      <c r="AG38" s="78"/>
      <c r="AH38" s="78"/>
      <c r="AI38" s="78"/>
      <c r="AJ38" s="78"/>
      <c r="AK38" s="78"/>
      <c r="AL38" s="78"/>
      <c r="AM38" s="81"/>
      <c r="AN38" s="78"/>
    </row>
    <row r="39" spans="1:40" ht="20.25" customHeight="1">
      <c r="A39" s="78"/>
      <c r="B39" s="78"/>
      <c r="C39" s="81"/>
      <c r="D39" s="78"/>
      <c r="E39" s="78"/>
      <c r="F39" s="78"/>
      <c r="G39" s="78"/>
      <c r="H39" s="78"/>
      <c r="I39" s="78"/>
      <c r="J39" s="78"/>
      <c r="K39" s="78"/>
      <c r="L39" s="78"/>
      <c r="M39" s="78"/>
      <c r="N39" s="78"/>
      <c r="O39" s="78"/>
      <c r="P39" s="78"/>
      <c r="Q39" s="103"/>
      <c r="R39" s="103"/>
      <c r="S39" s="103"/>
      <c r="T39" s="103"/>
      <c r="U39" s="103"/>
      <c r="V39" s="78"/>
      <c r="W39" s="78"/>
      <c r="X39" s="78"/>
      <c r="Y39" s="79"/>
      <c r="Z39" s="79"/>
      <c r="AA39" s="78"/>
      <c r="AB39" s="78"/>
      <c r="AC39" s="78"/>
      <c r="AD39" s="78"/>
      <c r="AE39" s="78"/>
      <c r="AF39" s="78"/>
      <c r="AG39" s="78"/>
      <c r="AH39" s="78"/>
      <c r="AI39" s="78"/>
      <c r="AJ39" s="78"/>
      <c r="AK39" s="78"/>
      <c r="AL39" s="78"/>
      <c r="AM39" s="81"/>
      <c r="AN39" s="78"/>
    </row>
    <row r="40" spans="1:40" ht="20.25" customHeight="1">
      <c r="A40" s="78"/>
      <c r="B40" s="78"/>
      <c r="C40" s="81"/>
      <c r="D40" s="78"/>
      <c r="E40" s="78"/>
      <c r="F40" s="78"/>
      <c r="G40" s="78"/>
      <c r="H40" s="78"/>
      <c r="I40" s="78"/>
      <c r="J40" s="78"/>
      <c r="K40" s="78"/>
      <c r="L40" s="78"/>
      <c r="M40" s="78"/>
      <c r="N40" s="78"/>
      <c r="O40" s="78"/>
      <c r="P40" s="78"/>
      <c r="Q40" s="103"/>
      <c r="R40" s="103"/>
      <c r="S40" s="103"/>
      <c r="T40" s="103"/>
      <c r="U40" s="103"/>
      <c r="V40" s="78"/>
      <c r="W40" s="78"/>
      <c r="X40" s="78"/>
      <c r="Y40" s="79"/>
      <c r="Z40" s="79"/>
      <c r="AA40" s="78"/>
      <c r="AB40" s="78"/>
      <c r="AC40" s="78"/>
      <c r="AD40" s="78"/>
      <c r="AE40" s="78"/>
      <c r="AF40" s="78"/>
      <c r="AG40" s="78"/>
      <c r="AH40" s="78"/>
      <c r="AI40" s="78"/>
      <c r="AJ40" s="78"/>
      <c r="AK40" s="78"/>
      <c r="AL40" s="78"/>
      <c r="AM40" s="81"/>
      <c r="AN40" s="78"/>
    </row>
    <row r="41" spans="1:40" ht="20.25" customHeight="1">
      <c r="A41" s="78"/>
      <c r="B41" s="78"/>
      <c r="C41" s="81"/>
      <c r="D41" s="78"/>
      <c r="E41" s="78"/>
      <c r="F41" s="78"/>
      <c r="G41" s="78"/>
      <c r="H41" s="78"/>
      <c r="I41" s="78"/>
      <c r="J41" s="78"/>
      <c r="K41" s="78"/>
      <c r="L41" s="78"/>
      <c r="M41" s="78"/>
      <c r="N41" s="78"/>
      <c r="O41" s="78"/>
      <c r="P41" s="78"/>
      <c r="Q41" s="103"/>
      <c r="R41" s="103"/>
      <c r="S41" s="103"/>
      <c r="T41" s="103"/>
      <c r="U41" s="103"/>
      <c r="V41" s="78"/>
      <c r="W41" s="78"/>
      <c r="X41" s="78"/>
      <c r="Y41" s="79"/>
      <c r="Z41" s="79"/>
      <c r="AA41" s="78"/>
      <c r="AB41" s="78"/>
      <c r="AC41" s="78"/>
      <c r="AD41" s="78"/>
      <c r="AE41" s="78"/>
      <c r="AF41" s="78"/>
      <c r="AG41" s="78"/>
      <c r="AH41" s="78"/>
      <c r="AI41" s="78"/>
      <c r="AJ41" s="78"/>
      <c r="AK41" s="78"/>
      <c r="AL41" s="78"/>
      <c r="AM41" s="81"/>
      <c r="AN41" s="78"/>
    </row>
    <row r="42" spans="1:40" ht="20.25" customHeight="1">
      <c r="A42" s="78"/>
      <c r="B42" s="78"/>
      <c r="C42" s="81"/>
      <c r="D42" s="78"/>
      <c r="E42" s="78"/>
      <c r="F42" s="78"/>
      <c r="G42" s="78"/>
      <c r="H42" s="78"/>
      <c r="I42" s="78"/>
      <c r="J42" s="78"/>
      <c r="K42" s="78"/>
      <c r="L42" s="78"/>
      <c r="M42" s="78"/>
      <c r="N42" s="78"/>
      <c r="O42" s="78"/>
      <c r="P42" s="78"/>
      <c r="Q42" s="103"/>
      <c r="R42" s="103"/>
      <c r="S42" s="103"/>
      <c r="T42" s="103"/>
      <c r="U42" s="103"/>
      <c r="V42" s="78"/>
      <c r="W42" s="78"/>
      <c r="X42" s="78"/>
      <c r="Y42" s="79"/>
      <c r="Z42" s="79"/>
      <c r="AA42" s="78"/>
      <c r="AB42" s="78"/>
      <c r="AC42" s="78"/>
      <c r="AD42" s="78"/>
      <c r="AE42" s="78"/>
      <c r="AF42" s="78"/>
      <c r="AG42" s="78"/>
      <c r="AH42" s="78"/>
      <c r="AI42" s="78"/>
      <c r="AJ42" s="78"/>
      <c r="AK42" s="78"/>
      <c r="AL42" s="78"/>
      <c r="AM42" s="81"/>
      <c r="AN42" s="78"/>
    </row>
    <row r="43" spans="1:40" ht="20.25" customHeight="1">
      <c r="A43" s="78"/>
      <c r="B43" s="78"/>
      <c r="C43" s="81"/>
      <c r="D43" s="78"/>
      <c r="E43" s="78"/>
      <c r="F43" s="78"/>
      <c r="G43" s="78"/>
      <c r="H43" s="78"/>
      <c r="I43" s="78"/>
      <c r="J43" s="78"/>
      <c r="K43" s="78"/>
      <c r="L43" s="78"/>
      <c r="M43" s="78"/>
      <c r="N43" s="78"/>
      <c r="O43" s="78"/>
      <c r="P43" s="78"/>
      <c r="Q43" s="103"/>
      <c r="R43" s="103"/>
      <c r="S43" s="103"/>
      <c r="T43" s="103"/>
      <c r="U43" s="103"/>
      <c r="V43" s="78"/>
      <c r="W43" s="78"/>
      <c r="X43" s="78"/>
      <c r="Y43" s="79"/>
      <c r="Z43" s="79"/>
      <c r="AA43" s="78"/>
      <c r="AB43" s="78"/>
      <c r="AC43" s="78"/>
      <c r="AD43" s="78"/>
      <c r="AE43" s="78"/>
      <c r="AF43" s="78"/>
      <c r="AG43" s="78"/>
      <c r="AH43" s="78"/>
      <c r="AI43" s="78"/>
      <c r="AJ43" s="78"/>
      <c r="AK43" s="78"/>
      <c r="AL43" s="78"/>
      <c r="AM43" s="81"/>
      <c r="AN43" s="78"/>
    </row>
    <row r="44" spans="1:40" ht="20.25" customHeight="1">
      <c r="A44" s="78"/>
      <c r="B44" s="78"/>
      <c r="C44" s="81"/>
      <c r="D44" s="78"/>
      <c r="E44" s="78"/>
      <c r="F44" s="78"/>
      <c r="G44" s="78"/>
      <c r="H44" s="78"/>
      <c r="I44" s="78"/>
      <c r="J44" s="78"/>
      <c r="K44" s="78"/>
      <c r="L44" s="78"/>
      <c r="M44" s="78"/>
      <c r="N44" s="78"/>
      <c r="O44" s="78"/>
      <c r="P44" s="78"/>
      <c r="Q44" s="103"/>
      <c r="R44" s="103"/>
      <c r="S44" s="103"/>
      <c r="T44" s="103"/>
      <c r="U44" s="103"/>
      <c r="V44" s="78"/>
      <c r="W44" s="78"/>
      <c r="X44" s="78"/>
      <c r="Y44" s="79"/>
      <c r="Z44" s="79"/>
      <c r="AA44" s="78"/>
      <c r="AB44" s="78"/>
      <c r="AC44" s="78"/>
      <c r="AD44" s="78"/>
      <c r="AE44" s="78"/>
      <c r="AF44" s="78"/>
      <c r="AG44" s="78"/>
      <c r="AH44" s="78"/>
      <c r="AI44" s="78"/>
      <c r="AJ44" s="78"/>
      <c r="AK44" s="78"/>
      <c r="AL44" s="78"/>
      <c r="AM44" s="81"/>
      <c r="AN44" s="78"/>
    </row>
    <row r="45" spans="1:40" ht="20.25" customHeight="1">
      <c r="A45" s="78"/>
      <c r="B45" s="78"/>
      <c r="C45" s="81"/>
      <c r="D45" s="78"/>
      <c r="E45" s="78"/>
      <c r="F45" s="78"/>
      <c r="G45" s="78"/>
      <c r="H45" s="78"/>
      <c r="I45" s="78"/>
      <c r="J45" s="78"/>
      <c r="K45" s="78"/>
      <c r="L45" s="78"/>
      <c r="M45" s="78"/>
      <c r="N45" s="78"/>
      <c r="O45" s="78"/>
      <c r="P45" s="78"/>
      <c r="Q45" s="103"/>
      <c r="R45" s="103"/>
      <c r="S45" s="103"/>
      <c r="T45" s="103"/>
      <c r="U45" s="103"/>
      <c r="V45" s="78"/>
      <c r="W45" s="78"/>
      <c r="X45" s="78"/>
      <c r="Y45" s="79"/>
      <c r="Z45" s="79"/>
      <c r="AA45" s="78"/>
      <c r="AB45" s="78"/>
      <c r="AC45" s="78"/>
      <c r="AD45" s="78"/>
      <c r="AE45" s="78"/>
      <c r="AF45" s="78"/>
      <c r="AG45" s="78"/>
      <c r="AH45" s="78"/>
      <c r="AI45" s="78"/>
      <c r="AJ45" s="78"/>
      <c r="AK45" s="78"/>
      <c r="AL45" s="78"/>
      <c r="AM45" s="81"/>
      <c r="AN45" s="78"/>
    </row>
    <row r="46" spans="1:40" ht="20.25" customHeight="1">
      <c r="A46" s="78"/>
      <c r="B46" s="78"/>
      <c r="C46" s="81"/>
      <c r="D46" s="78"/>
      <c r="E46" s="78"/>
      <c r="F46" s="78"/>
      <c r="G46" s="78"/>
      <c r="H46" s="78"/>
      <c r="I46" s="78"/>
      <c r="J46" s="78"/>
      <c r="K46" s="78"/>
      <c r="L46" s="78"/>
      <c r="M46" s="78"/>
      <c r="N46" s="78"/>
      <c r="O46" s="78"/>
      <c r="P46" s="78"/>
      <c r="Q46" s="103"/>
      <c r="R46" s="103"/>
      <c r="S46" s="103"/>
      <c r="T46" s="103"/>
      <c r="U46" s="103"/>
      <c r="V46" s="78"/>
      <c r="W46" s="78"/>
      <c r="X46" s="78"/>
      <c r="Y46" s="79"/>
      <c r="Z46" s="79"/>
      <c r="AA46" s="78"/>
      <c r="AB46" s="78"/>
      <c r="AC46" s="78"/>
      <c r="AD46" s="78"/>
      <c r="AE46" s="78"/>
      <c r="AF46" s="78"/>
      <c r="AG46" s="78"/>
      <c r="AH46" s="78"/>
      <c r="AI46" s="78"/>
      <c r="AJ46" s="78"/>
      <c r="AK46" s="78"/>
      <c r="AL46" s="78"/>
      <c r="AM46" s="81"/>
      <c r="AN46" s="78"/>
    </row>
    <row r="47" spans="1:40" ht="20.25" customHeight="1">
      <c r="A47" s="78"/>
      <c r="B47" s="78"/>
      <c r="C47" s="81"/>
      <c r="D47" s="78"/>
      <c r="E47" s="78"/>
      <c r="F47" s="78"/>
      <c r="G47" s="78"/>
      <c r="H47" s="78"/>
      <c r="I47" s="78"/>
      <c r="J47" s="78"/>
      <c r="K47" s="78"/>
      <c r="L47" s="78"/>
      <c r="M47" s="78"/>
      <c r="N47" s="78"/>
      <c r="O47" s="78"/>
      <c r="P47" s="78"/>
      <c r="Q47" s="103"/>
      <c r="R47" s="103"/>
      <c r="S47" s="103"/>
      <c r="T47" s="103"/>
      <c r="U47" s="103"/>
      <c r="V47" s="78"/>
      <c r="W47" s="78"/>
      <c r="X47" s="78"/>
      <c r="Y47" s="79"/>
      <c r="Z47" s="79"/>
      <c r="AA47" s="78"/>
      <c r="AB47" s="78"/>
      <c r="AC47" s="78"/>
      <c r="AD47" s="78"/>
      <c r="AE47" s="78"/>
      <c r="AF47" s="78"/>
      <c r="AG47" s="78"/>
      <c r="AH47" s="78"/>
      <c r="AI47" s="78"/>
      <c r="AJ47" s="78"/>
      <c r="AK47" s="78"/>
      <c r="AL47" s="78"/>
      <c r="AM47" s="81"/>
      <c r="AN47" s="78"/>
    </row>
    <row r="48" spans="1:40" ht="20.25" customHeight="1">
      <c r="A48" s="78"/>
      <c r="B48" s="78"/>
      <c r="C48" s="81"/>
      <c r="D48" s="78"/>
      <c r="E48" s="78"/>
      <c r="F48" s="78"/>
      <c r="G48" s="78"/>
      <c r="H48" s="78"/>
      <c r="I48" s="78"/>
      <c r="J48" s="78"/>
      <c r="K48" s="78"/>
      <c r="L48" s="78"/>
      <c r="M48" s="78"/>
      <c r="N48" s="78"/>
      <c r="O48" s="78"/>
      <c r="P48" s="78"/>
      <c r="Q48" s="103"/>
      <c r="R48" s="103"/>
      <c r="S48" s="103"/>
      <c r="T48" s="103"/>
      <c r="U48" s="103"/>
      <c r="V48" s="78"/>
      <c r="W48" s="78"/>
      <c r="X48" s="78"/>
      <c r="Y48" s="79"/>
      <c r="Z48" s="79"/>
      <c r="AA48" s="78"/>
      <c r="AB48" s="78"/>
      <c r="AC48" s="78"/>
      <c r="AD48" s="78"/>
      <c r="AE48" s="78"/>
      <c r="AF48" s="78"/>
      <c r="AG48" s="78"/>
      <c r="AH48" s="78"/>
      <c r="AI48" s="78"/>
      <c r="AJ48" s="78"/>
      <c r="AK48" s="78"/>
      <c r="AL48" s="78"/>
      <c r="AM48" s="81"/>
      <c r="AN48" s="78"/>
    </row>
    <row r="49" spans="1:40" ht="20.25" customHeight="1">
      <c r="A49" s="78"/>
      <c r="B49" s="78"/>
      <c r="C49" s="81"/>
      <c r="D49" s="78"/>
      <c r="E49" s="78"/>
      <c r="F49" s="78"/>
      <c r="G49" s="78"/>
      <c r="H49" s="78"/>
      <c r="I49" s="78"/>
      <c r="J49" s="78"/>
      <c r="K49" s="78"/>
      <c r="L49" s="78"/>
      <c r="M49" s="78"/>
      <c r="N49" s="78"/>
      <c r="O49" s="78"/>
      <c r="P49" s="78"/>
      <c r="Q49" s="103"/>
      <c r="R49" s="103"/>
      <c r="S49" s="103"/>
      <c r="T49" s="103"/>
      <c r="U49" s="103"/>
      <c r="V49" s="78"/>
      <c r="W49" s="78"/>
      <c r="X49" s="78"/>
      <c r="Y49" s="79"/>
      <c r="Z49" s="79"/>
      <c r="AA49" s="78"/>
      <c r="AB49" s="78"/>
      <c r="AC49" s="78"/>
      <c r="AD49" s="78"/>
      <c r="AE49" s="78"/>
      <c r="AF49" s="78"/>
      <c r="AG49" s="78"/>
      <c r="AH49" s="78"/>
      <c r="AI49" s="78"/>
      <c r="AJ49" s="78"/>
      <c r="AK49" s="78"/>
      <c r="AL49" s="78"/>
      <c r="AM49" s="81"/>
      <c r="AN49" s="78"/>
    </row>
    <row r="50" spans="1:40" ht="20.25" customHeight="1">
      <c r="A50" s="78"/>
      <c r="B50" s="78"/>
      <c r="C50" s="81"/>
      <c r="D50" s="78"/>
      <c r="E50" s="78"/>
      <c r="F50" s="78"/>
      <c r="G50" s="78"/>
      <c r="H50" s="78"/>
      <c r="I50" s="78"/>
      <c r="J50" s="78"/>
      <c r="K50" s="78"/>
      <c r="L50" s="78"/>
      <c r="M50" s="78"/>
      <c r="N50" s="78"/>
      <c r="O50" s="78"/>
      <c r="P50" s="78"/>
      <c r="Q50" s="103"/>
      <c r="R50" s="103"/>
      <c r="S50" s="103"/>
      <c r="T50" s="103"/>
      <c r="U50" s="103"/>
      <c r="V50" s="78"/>
      <c r="W50" s="78"/>
      <c r="X50" s="78"/>
      <c r="Y50" s="79"/>
      <c r="Z50" s="79"/>
      <c r="AA50" s="78"/>
      <c r="AB50" s="78"/>
      <c r="AC50" s="78"/>
      <c r="AD50" s="78"/>
      <c r="AE50" s="78"/>
      <c r="AF50" s="78"/>
      <c r="AG50" s="78"/>
      <c r="AH50" s="78"/>
      <c r="AI50" s="78"/>
      <c r="AJ50" s="78"/>
      <c r="AK50" s="78"/>
      <c r="AL50" s="78"/>
      <c r="AM50" s="81"/>
      <c r="AN50" s="78"/>
    </row>
    <row r="51" spans="1:40" ht="20.25" customHeight="1">
      <c r="A51" s="78"/>
      <c r="B51" s="78"/>
      <c r="C51" s="81"/>
      <c r="D51" s="78"/>
      <c r="E51" s="78"/>
      <c r="F51" s="78"/>
      <c r="G51" s="78"/>
      <c r="H51" s="78"/>
      <c r="I51" s="78"/>
      <c r="J51" s="78"/>
      <c r="K51" s="78"/>
      <c r="L51" s="78"/>
      <c r="M51" s="78"/>
      <c r="N51" s="78"/>
      <c r="O51" s="78"/>
      <c r="P51" s="78"/>
      <c r="Q51" s="103"/>
      <c r="R51" s="103"/>
      <c r="S51" s="103"/>
      <c r="T51" s="103"/>
      <c r="U51" s="103"/>
      <c r="V51" s="78"/>
      <c r="W51" s="78"/>
      <c r="X51" s="78"/>
      <c r="Y51" s="79"/>
      <c r="Z51" s="79"/>
      <c r="AA51" s="78"/>
      <c r="AB51" s="78"/>
      <c r="AC51" s="78"/>
      <c r="AD51" s="78"/>
      <c r="AE51" s="78"/>
      <c r="AF51" s="78"/>
      <c r="AG51" s="78"/>
      <c r="AH51" s="78"/>
      <c r="AI51" s="78"/>
      <c r="AJ51" s="78"/>
      <c r="AK51" s="78"/>
      <c r="AL51" s="78"/>
      <c r="AM51" s="81"/>
      <c r="AN51" s="78"/>
    </row>
    <row r="52" spans="1:40" ht="20.25" customHeight="1">
      <c r="A52" s="78"/>
      <c r="B52" s="78"/>
      <c r="C52" s="81"/>
      <c r="D52" s="78"/>
      <c r="E52" s="78"/>
      <c r="F52" s="78"/>
      <c r="G52" s="78"/>
      <c r="H52" s="78"/>
      <c r="I52" s="78"/>
      <c r="J52" s="78"/>
      <c r="K52" s="78"/>
      <c r="L52" s="78"/>
      <c r="M52" s="78"/>
      <c r="N52" s="78"/>
      <c r="O52" s="78"/>
      <c r="P52" s="78"/>
      <c r="Q52" s="103"/>
      <c r="R52" s="103"/>
      <c r="S52" s="103"/>
      <c r="T52" s="103"/>
      <c r="U52" s="103"/>
      <c r="V52" s="78"/>
      <c r="W52" s="78"/>
      <c r="X52" s="78"/>
      <c r="Y52" s="79"/>
      <c r="Z52" s="79"/>
      <c r="AA52" s="78"/>
      <c r="AB52" s="78"/>
      <c r="AC52" s="78"/>
      <c r="AD52" s="78"/>
      <c r="AE52" s="78"/>
      <c r="AF52" s="78"/>
      <c r="AG52" s="78"/>
      <c r="AH52" s="78"/>
      <c r="AI52" s="78"/>
      <c r="AJ52" s="78"/>
      <c r="AK52" s="78"/>
      <c r="AL52" s="78"/>
      <c r="AM52" s="81"/>
      <c r="AN52" s="78"/>
    </row>
    <row r="53" spans="1:40" ht="20.25" customHeight="1">
      <c r="A53" s="78"/>
      <c r="B53" s="78"/>
      <c r="C53" s="81"/>
      <c r="D53" s="78"/>
      <c r="E53" s="78"/>
      <c r="F53" s="78"/>
      <c r="G53" s="78"/>
      <c r="H53" s="78"/>
      <c r="I53" s="78"/>
      <c r="J53" s="78"/>
      <c r="K53" s="78"/>
      <c r="L53" s="78"/>
      <c r="M53" s="78"/>
      <c r="N53" s="78"/>
      <c r="O53" s="78"/>
      <c r="P53" s="78"/>
      <c r="Q53" s="103"/>
      <c r="R53" s="103"/>
      <c r="S53" s="103"/>
      <c r="T53" s="103"/>
      <c r="U53" s="103"/>
      <c r="V53" s="78"/>
      <c r="W53" s="78"/>
      <c r="X53" s="78"/>
      <c r="Y53" s="79"/>
      <c r="Z53" s="79"/>
      <c r="AA53" s="78"/>
      <c r="AB53" s="78"/>
      <c r="AC53" s="78"/>
      <c r="AD53" s="78"/>
      <c r="AE53" s="78"/>
      <c r="AF53" s="78"/>
      <c r="AG53" s="78"/>
      <c r="AH53" s="78"/>
      <c r="AI53" s="78"/>
      <c r="AJ53" s="78"/>
      <c r="AK53" s="78"/>
      <c r="AL53" s="78"/>
      <c r="AM53" s="81"/>
      <c r="AN53" s="78"/>
    </row>
    <row r="54" spans="1:40" ht="20.25" customHeight="1">
      <c r="A54" s="78"/>
      <c r="B54" s="78"/>
      <c r="C54" s="81"/>
      <c r="D54" s="78"/>
      <c r="E54" s="78"/>
      <c r="F54" s="78"/>
      <c r="G54" s="78"/>
      <c r="H54" s="78"/>
      <c r="I54" s="78"/>
      <c r="J54" s="78"/>
      <c r="K54" s="78"/>
      <c r="L54" s="78"/>
      <c r="M54" s="78"/>
      <c r="N54" s="78"/>
      <c r="O54" s="78"/>
      <c r="P54" s="78"/>
      <c r="Q54" s="103"/>
      <c r="R54" s="103"/>
      <c r="S54" s="103"/>
      <c r="T54" s="103"/>
      <c r="U54" s="103"/>
      <c r="V54" s="78"/>
      <c r="W54" s="78"/>
      <c r="X54" s="78"/>
      <c r="Y54" s="79"/>
      <c r="Z54" s="79"/>
      <c r="AA54" s="78"/>
      <c r="AB54" s="78"/>
      <c r="AC54" s="78"/>
      <c r="AD54" s="78"/>
      <c r="AE54" s="78"/>
      <c r="AF54" s="78"/>
      <c r="AG54" s="78"/>
      <c r="AH54" s="78"/>
      <c r="AI54" s="78"/>
      <c r="AJ54" s="78"/>
      <c r="AK54" s="78"/>
      <c r="AL54" s="78"/>
      <c r="AM54" s="81"/>
      <c r="AN54" s="78"/>
    </row>
    <row r="55" spans="1:40" ht="20.25" customHeight="1">
      <c r="A55" s="78"/>
      <c r="B55" s="78"/>
      <c r="C55" s="81"/>
      <c r="D55" s="78"/>
      <c r="E55" s="78"/>
      <c r="F55" s="78"/>
      <c r="G55" s="78"/>
      <c r="H55" s="78"/>
      <c r="I55" s="78"/>
      <c r="J55" s="78"/>
      <c r="K55" s="78"/>
      <c r="L55" s="78"/>
      <c r="M55" s="78"/>
      <c r="N55" s="78"/>
      <c r="O55" s="78"/>
      <c r="P55" s="78"/>
      <c r="Q55" s="103"/>
      <c r="R55" s="103"/>
      <c r="S55" s="103"/>
      <c r="T55" s="103"/>
      <c r="U55" s="103"/>
      <c r="V55" s="78"/>
      <c r="W55" s="78"/>
      <c r="X55" s="78"/>
      <c r="Y55" s="79"/>
      <c r="Z55" s="79"/>
      <c r="AA55" s="78"/>
      <c r="AB55" s="78"/>
      <c r="AC55" s="78"/>
      <c r="AD55" s="78"/>
      <c r="AE55" s="78"/>
      <c r="AF55" s="78"/>
      <c r="AG55" s="78"/>
      <c r="AH55" s="78"/>
      <c r="AI55" s="78"/>
      <c r="AJ55" s="78"/>
      <c r="AK55" s="78"/>
      <c r="AL55" s="78"/>
      <c r="AM55" s="81"/>
      <c r="AN55" s="78"/>
    </row>
    <row r="56" spans="1:40" ht="20.25" customHeight="1">
      <c r="A56" s="78"/>
      <c r="B56" s="78"/>
      <c r="C56" s="81"/>
      <c r="D56" s="78"/>
      <c r="E56" s="78"/>
      <c r="F56" s="78"/>
      <c r="G56" s="78"/>
      <c r="H56" s="78"/>
      <c r="I56" s="78"/>
      <c r="J56" s="78"/>
      <c r="K56" s="78"/>
      <c r="L56" s="78"/>
      <c r="M56" s="78"/>
      <c r="N56" s="78"/>
      <c r="O56" s="78"/>
      <c r="P56" s="78"/>
      <c r="Q56" s="103"/>
      <c r="R56" s="103"/>
      <c r="S56" s="103"/>
      <c r="T56" s="103"/>
      <c r="U56" s="103"/>
      <c r="V56" s="78"/>
      <c r="W56" s="78"/>
      <c r="X56" s="78"/>
      <c r="Y56" s="79"/>
      <c r="Z56" s="79"/>
      <c r="AA56" s="78"/>
      <c r="AB56" s="78"/>
      <c r="AC56" s="78"/>
      <c r="AD56" s="78"/>
      <c r="AE56" s="78"/>
      <c r="AF56" s="78"/>
      <c r="AG56" s="78"/>
      <c r="AH56" s="78"/>
      <c r="AI56" s="78"/>
      <c r="AJ56" s="78"/>
      <c r="AK56" s="78"/>
      <c r="AL56" s="78"/>
      <c r="AM56" s="81"/>
      <c r="AN56" s="78"/>
    </row>
    <row r="57" spans="1:40" ht="20.25" customHeight="1">
      <c r="A57" s="78"/>
      <c r="B57" s="78"/>
      <c r="C57" s="81"/>
      <c r="D57" s="78"/>
      <c r="E57" s="78"/>
      <c r="F57" s="78"/>
      <c r="G57" s="78"/>
      <c r="H57" s="78"/>
      <c r="I57" s="78"/>
      <c r="J57" s="78"/>
      <c r="K57" s="78"/>
      <c r="L57" s="78"/>
      <c r="M57" s="78"/>
      <c r="N57" s="78"/>
      <c r="O57" s="78"/>
      <c r="P57" s="78"/>
      <c r="Q57" s="103"/>
      <c r="R57" s="103"/>
      <c r="S57" s="103"/>
      <c r="T57" s="103"/>
      <c r="U57" s="103"/>
      <c r="V57" s="78"/>
      <c r="W57" s="78"/>
      <c r="X57" s="78"/>
      <c r="Y57" s="79"/>
      <c r="Z57" s="79"/>
      <c r="AA57" s="78"/>
      <c r="AB57" s="78"/>
      <c r="AC57" s="78"/>
      <c r="AD57" s="78"/>
      <c r="AE57" s="78"/>
      <c r="AF57" s="78"/>
      <c r="AG57" s="78"/>
      <c r="AH57" s="78"/>
      <c r="AI57" s="78"/>
      <c r="AJ57" s="78"/>
      <c r="AK57" s="78"/>
      <c r="AL57" s="78"/>
      <c r="AM57" s="81"/>
      <c r="AN57" s="78"/>
    </row>
    <row r="58" spans="1:40" ht="20.25" customHeight="1">
      <c r="A58" s="78"/>
      <c r="B58" s="78"/>
      <c r="C58" s="81"/>
      <c r="D58" s="78"/>
      <c r="E58" s="78"/>
      <c r="F58" s="78"/>
      <c r="G58" s="78"/>
      <c r="H58" s="78"/>
      <c r="I58" s="78"/>
      <c r="J58" s="78"/>
      <c r="K58" s="78"/>
      <c r="L58" s="78"/>
      <c r="M58" s="78"/>
      <c r="N58" s="78"/>
      <c r="O58" s="78"/>
      <c r="P58" s="78"/>
      <c r="Q58" s="103"/>
      <c r="R58" s="103"/>
      <c r="S58" s="103"/>
      <c r="T58" s="103"/>
      <c r="U58" s="103"/>
      <c r="V58" s="78"/>
      <c r="W58" s="78"/>
      <c r="X58" s="78"/>
      <c r="Y58" s="79"/>
      <c r="Z58" s="79"/>
      <c r="AA58" s="78"/>
      <c r="AB58" s="78"/>
      <c r="AC58" s="78"/>
      <c r="AD58" s="78"/>
      <c r="AE58" s="78"/>
      <c r="AF58" s="78"/>
      <c r="AG58" s="78"/>
      <c r="AH58" s="78"/>
      <c r="AI58" s="78"/>
      <c r="AJ58" s="78"/>
      <c r="AK58" s="78"/>
      <c r="AL58" s="78"/>
      <c r="AM58" s="81"/>
      <c r="AN58" s="78"/>
    </row>
    <row r="59" spans="1:40" ht="20.25" customHeight="1">
      <c r="A59" s="78"/>
      <c r="B59" s="78"/>
      <c r="C59" s="81"/>
      <c r="D59" s="78"/>
      <c r="E59" s="78"/>
      <c r="F59" s="78"/>
      <c r="G59" s="78"/>
      <c r="H59" s="78"/>
      <c r="I59" s="78"/>
      <c r="J59" s="78"/>
      <c r="K59" s="78"/>
      <c r="L59" s="78"/>
      <c r="M59" s="78"/>
      <c r="N59" s="78"/>
      <c r="O59" s="78"/>
      <c r="P59" s="78"/>
      <c r="Q59" s="103"/>
      <c r="R59" s="103"/>
      <c r="S59" s="103"/>
      <c r="T59" s="103"/>
      <c r="U59" s="103"/>
      <c r="V59" s="78"/>
      <c r="W59" s="78"/>
      <c r="X59" s="78"/>
      <c r="Y59" s="79"/>
      <c r="Z59" s="79"/>
      <c r="AA59" s="78"/>
      <c r="AB59" s="78"/>
      <c r="AC59" s="78"/>
      <c r="AD59" s="78"/>
      <c r="AE59" s="78"/>
      <c r="AF59" s="78"/>
      <c r="AG59" s="78"/>
      <c r="AH59" s="78"/>
      <c r="AI59" s="78"/>
      <c r="AJ59" s="78"/>
      <c r="AK59" s="78"/>
      <c r="AL59" s="78"/>
      <c r="AM59" s="81"/>
      <c r="AN59" s="78"/>
    </row>
    <row r="60" spans="1:40" ht="20.25" customHeight="1">
      <c r="A60" s="78"/>
      <c r="B60" s="78"/>
      <c r="C60" s="81"/>
      <c r="D60" s="78"/>
      <c r="E60" s="78"/>
      <c r="F60" s="78"/>
      <c r="G60" s="78"/>
      <c r="H60" s="78"/>
      <c r="I60" s="78"/>
      <c r="J60" s="78"/>
      <c r="K60" s="78"/>
      <c r="L60" s="78"/>
      <c r="M60" s="78"/>
      <c r="N60" s="78"/>
      <c r="O60" s="78"/>
      <c r="P60" s="78"/>
      <c r="Q60" s="103"/>
      <c r="R60" s="103"/>
      <c r="S60" s="103"/>
      <c r="T60" s="103"/>
      <c r="U60" s="103"/>
      <c r="V60" s="78"/>
      <c r="W60" s="78"/>
      <c r="X60" s="78"/>
      <c r="Y60" s="79"/>
      <c r="Z60" s="79"/>
      <c r="AA60" s="78"/>
      <c r="AB60" s="78"/>
      <c r="AC60" s="78"/>
      <c r="AD60" s="78"/>
      <c r="AE60" s="78"/>
      <c r="AF60" s="78"/>
      <c r="AG60" s="78"/>
      <c r="AH60" s="78"/>
      <c r="AI60" s="78"/>
      <c r="AJ60" s="78"/>
      <c r="AK60" s="78"/>
      <c r="AL60" s="78"/>
      <c r="AM60" s="81"/>
      <c r="AN60" s="78"/>
    </row>
    <row r="61" spans="1:40" ht="20.25" customHeight="1">
      <c r="A61" s="78"/>
      <c r="B61" s="78"/>
      <c r="C61" s="81"/>
      <c r="D61" s="78"/>
      <c r="E61" s="78"/>
      <c r="F61" s="78"/>
      <c r="G61" s="78"/>
      <c r="H61" s="78"/>
      <c r="I61" s="78"/>
      <c r="J61" s="78"/>
      <c r="K61" s="78"/>
      <c r="L61" s="78"/>
      <c r="M61" s="78"/>
      <c r="N61" s="78"/>
      <c r="O61" s="78"/>
      <c r="P61" s="78"/>
      <c r="Q61" s="103"/>
      <c r="R61" s="103"/>
      <c r="S61" s="103"/>
      <c r="T61" s="103"/>
      <c r="U61" s="103"/>
      <c r="V61" s="78"/>
      <c r="W61" s="78"/>
      <c r="X61" s="78"/>
      <c r="Y61" s="79"/>
      <c r="Z61" s="79"/>
      <c r="AA61" s="78"/>
      <c r="AB61" s="78"/>
      <c r="AC61" s="78"/>
      <c r="AD61" s="78"/>
      <c r="AE61" s="78"/>
      <c r="AF61" s="78"/>
      <c r="AG61" s="78"/>
      <c r="AH61" s="78"/>
      <c r="AI61" s="78"/>
      <c r="AJ61" s="78"/>
      <c r="AK61" s="78"/>
      <c r="AL61" s="78"/>
      <c r="AM61" s="81"/>
      <c r="AN61" s="78"/>
    </row>
    <row r="62" spans="1:40" ht="20.25" customHeight="1">
      <c r="A62" s="78"/>
      <c r="B62" s="78"/>
      <c r="C62" s="81"/>
      <c r="D62" s="78"/>
      <c r="E62" s="78"/>
      <c r="F62" s="78"/>
      <c r="G62" s="78"/>
      <c r="H62" s="78"/>
      <c r="I62" s="78"/>
      <c r="J62" s="78"/>
      <c r="K62" s="78"/>
      <c r="L62" s="78"/>
      <c r="M62" s="78"/>
      <c r="N62" s="78"/>
      <c r="O62" s="78"/>
      <c r="P62" s="78"/>
      <c r="Q62" s="103"/>
      <c r="R62" s="103"/>
      <c r="S62" s="103"/>
      <c r="T62" s="103"/>
      <c r="U62" s="103"/>
      <c r="V62" s="78"/>
      <c r="W62" s="78"/>
      <c r="X62" s="78"/>
      <c r="Y62" s="79"/>
      <c r="Z62" s="79"/>
      <c r="AA62" s="78"/>
      <c r="AB62" s="78"/>
      <c r="AC62" s="78"/>
      <c r="AD62" s="78"/>
      <c r="AE62" s="78"/>
      <c r="AF62" s="78"/>
      <c r="AG62" s="78"/>
      <c r="AH62" s="78"/>
      <c r="AI62" s="78"/>
      <c r="AJ62" s="78"/>
      <c r="AK62" s="78"/>
      <c r="AL62" s="78"/>
      <c r="AM62" s="81"/>
      <c r="AN62" s="78"/>
    </row>
    <row r="63" spans="1:40" ht="20.25" customHeight="1">
      <c r="A63" s="78"/>
      <c r="B63" s="78"/>
      <c r="C63" s="81"/>
      <c r="D63" s="78"/>
      <c r="E63" s="78"/>
      <c r="F63" s="78"/>
      <c r="G63" s="78"/>
      <c r="H63" s="78"/>
      <c r="I63" s="78"/>
      <c r="J63" s="78"/>
      <c r="K63" s="78"/>
      <c r="L63" s="78"/>
      <c r="M63" s="78"/>
      <c r="N63" s="78"/>
      <c r="O63" s="78"/>
      <c r="P63" s="78"/>
      <c r="Q63" s="103"/>
      <c r="R63" s="103"/>
      <c r="S63" s="103"/>
      <c r="T63" s="103"/>
      <c r="U63" s="103"/>
      <c r="V63" s="78"/>
      <c r="W63" s="78"/>
      <c r="X63" s="78"/>
      <c r="Y63" s="79"/>
      <c r="Z63" s="79"/>
      <c r="AA63" s="78"/>
      <c r="AB63" s="78"/>
      <c r="AC63" s="78"/>
      <c r="AD63" s="78"/>
      <c r="AE63" s="78"/>
      <c r="AF63" s="78"/>
      <c r="AG63" s="78"/>
      <c r="AH63" s="78"/>
      <c r="AI63" s="78"/>
      <c r="AJ63" s="78"/>
      <c r="AK63" s="78"/>
      <c r="AL63" s="78"/>
      <c r="AM63" s="81"/>
      <c r="AN63" s="78"/>
    </row>
    <row r="64" spans="1:40" ht="20.25" customHeight="1">
      <c r="A64" s="78"/>
      <c r="B64" s="78"/>
      <c r="C64" s="81"/>
      <c r="D64" s="78"/>
      <c r="E64" s="78"/>
      <c r="F64" s="78"/>
      <c r="G64" s="78"/>
      <c r="H64" s="78"/>
      <c r="I64" s="78"/>
      <c r="J64" s="78"/>
      <c r="K64" s="78"/>
      <c r="L64" s="78"/>
      <c r="M64" s="78"/>
      <c r="N64" s="78"/>
      <c r="O64" s="78"/>
      <c r="P64" s="78"/>
      <c r="Q64" s="103"/>
      <c r="R64" s="103"/>
      <c r="S64" s="103"/>
      <c r="T64" s="103"/>
      <c r="U64" s="103"/>
      <c r="V64" s="78"/>
      <c r="W64" s="78"/>
      <c r="X64" s="78"/>
      <c r="Y64" s="79"/>
      <c r="Z64" s="79"/>
      <c r="AA64" s="78"/>
      <c r="AB64" s="78"/>
      <c r="AC64" s="78"/>
      <c r="AD64" s="78"/>
      <c r="AE64" s="78"/>
      <c r="AF64" s="78"/>
      <c r="AG64" s="78"/>
      <c r="AH64" s="78"/>
      <c r="AI64" s="78"/>
      <c r="AJ64" s="78"/>
      <c r="AK64" s="78"/>
      <c r="AL64" s="78"/>
      <c r="AM64" s="81"/>
      <c r="AN64" s="78"/>
    </row>
    <row r="65" spans="1:40" ht="20.25" customHeight="1">
      <c r="A65" s="78"/>
      <c r="B65" s="78"/>
      <c r="C65" s="81"/>
      <c r="D65" s="78"/>
      <c r="E65" s="78"/>
      <c r="F65" s="78"/>
      <c r="G65" s="78"/>
      <c r="H65" s="78"/>
      <c r="I65" s="78"/>
      <c r="J65" s="78"/>
      <c r="K65" s="78"/>
      <c r="L65" s="78"/>
      <c r="M65" s="78"/>
      <c r="N65" s="78"/>
      <c r="O65" s="78"/>
      <c r="P65" s="78"/>
      <c r="Q65" s="103"/>
      <c r="R65" s="103"/>
      <c r="S65" s="103"/>
      <c r="T65" s="103"/>
      <c r="U65" s="103"/>
      <c r="V65" s="78"/>
      <c r="W65" s="78"/>
      <c r="X65" s="78"/>
      <c r="Y65" s="79"/>
      <c r="Z65" s="79"/>
      <c r="AA65" s="78"/>
      <c r="AB65" s="78"/>
      <c r="AC65" s="78"/>
      <c r="AD65" s="78"/>
      <c r="AE65" s="78"/>
      <c r="AF65" s="78"/>
      <c r="AG65" s="78"/>
      <c r="AH65" s="78"/>
      <c r="AI65" s="78"/>
      <c r="AJ65" s="78"/>
      <c r="AK65" s="78"/>
      <c r="AL65" s="78"/>
      <c r="AM65" s="81"/>
      <c r="AN65" s="78"/>
    </row>
    <row r="66" spans="1:40" ht="20.25" customHeight="1">
      <c r="A66" s="78"/>
      <c r="B66" s="78"/>
      <c r="C66" s="81"/>
      <c r="D66" s="78"/>
      <c r="E66" s="78"/>
      <c r="F66" s="78"/>
      <c r="G66" s="78"/>
      <c r="H66" s="78"/>
      <c r="I66" s="78"/>
      <c r="J66" s="78"/>
      <c r="K66" s="78"/>
      <c r="L66" s="78"/>
      <c r="M66" s="78"/>
      <c r="N66" s="78"/>
      <c r="O66" s="78"/>
      <c r="P66" s="78"/>
      <c r="Q66" s="103"/>
      <c r="R66" s="103"/>
      <c r="S66" s="103"/>
      <c r="T66" s="103"/>
      <c r="U66" s="103"/>
      <c r="V66" s="78"/>
      <c r="W66" s="78"/>
      <c r="X66" s="78"/>
      <c r="Y66" s="79"/>
      <c r="Z66" s="79"/>
      <c r="AA66" s="78"/>
      <c r="AB66" s="78"/>
      <c r="AC66" s="78"/>
      <c r="AD66" s="78"/>
      <c r="AE66" s="78"/>
      <c r="AF66" s="78"/>
      <c r="AG66" s="78"/>
      <c r="AH66" s="78"/>
      <c r="AI66" s="78"/>
      <c r="AJ66" s="78"/>
      <c r="AK66" s="78"/>
      <c r="AL66" s="78"/>
      <c r="AM66" s="81"/>
      <c r="AN66" s="78"/>
    </row>
    <row r="67" spans="1:40" ht="20.25" customHeight="1">
      <c r="A67" s="78"/>
      <c r="B67" s="78"/>
      <c r="C67" s="81"/>
      <c r="D67" s="78"/>
      <c r="E67" s="78"/>
      <c r="F67" s="78"/>
      <c r="G67" s="78"/>
      <c r="H67" s="78"/>
      <c r="I67" s="78"/>
      <c r="J67" s="78"/>
      <c r="K67" s="78"/>
      <c r="L67" s="78"/>
      <c r="M67" s="78"/>
      <c r="N67" s="78"/>
      <c r="O67" s="78"/>
      <c r="P67" s="78"/>
      <c r="Q67" s="103"/>
      <c r="R67" s="103"/>
      <c r="S67" s="103"/>
      <c r="T67" s="103"/>
      <c r="U67" s="103"/>
      <c r="V67" s="78"/>
      <c r="W67" s="78"/>
      <c r="X67" s="78"/>
      <c r="Y67" s="79"/>
      <c r="Z67" s="79"/>
      <c r="AA67" s="78"/>
      <c r="AB67" s="78"/>
      <c r="AC67" s="78"/>
      <c r="AD67" s="78"/>
      <c r="AE67" s="78"/>
      <c r="AF67" s="78"/>
      <c r="AG67" s="78"/>
      <c r="AH67" s="78"/>
      <c r="AI67" s="78"/>
      <c r="AJ67" s="78"/>
      <c r="AK67" s="78"/>
      <c r="AL67" s="78"/>
      <c r="AM67" s="81"/>
      <c r="AN67" s="78"/>
    </row>
    <row r="68" spans="1:40" ht="20.25" customHeight="1">
      <c r="A68" s="78"/>
      <c r="B68" s="78"/>
      <c r="C68" s="81"/>
      <c r="D68" s="78"/>
      <c r="E68" s="78"/>
      <c r="F68" s="78"/>
      <c r="G68" s="78"/>
      <c r="H68" s="78"/>
      <c r="I68" s="78"/>
      <c r="J68" s="78"/>
      <c r="K68" s="78"/>
      <c r="L68" s="78"/>
      <c r="M68" s="78"/>
      <c r="N68" s="78"/>
      <c r="O68" s="78"/>
      <c r="P68" s="78"/>
      <c r="Q68" s="103"/>
      <c r="R68" s="103"/>
      <c r="S68" s="103"/>
      <c r="T68" s="103"/>
      <c r="U68" s="103"/>
      <c r="V68" s="78"/>
      <c r="W68" s="78"/>
      <c r="X68" s="78"/>
      <c r="Y68" s="79"/>
      <c r="Z68" s="79"/>
      <c r="AA68" s="78"/>
      <c r="AB68" s="78"/>
      <c r="AC68" s="78"/>
      <c r="AD68" s="78"/>
      <c r="AE68" s="78"/>
      <c r="AF68" s="78"/>
      <c r="AG68" s="78"/>
      <c r="AH68" s="78"/>
      <c r="AI68" s="78"/>
      <c r="AJ68" s="78"/>
      <c r="AK68" s="78"/>
      <c r="AL68" s="78"/>
      <c r="AM68" s="81"/>
      <c r="AN68" s="78"/>
    </row>
    <row r="69" spans="1:40" ht="20.25" customHeight="1">
      <c r="A69" s="78"/>
      <c r="B69" s="78"/>
      <c r="C69" s="81"/>
      <c r="D69" s="78"/>
      <c r="E69" s="78"/>
      <c r="F69" s="78"/>
      <c r="G69" s="78"/>
      <c r="H69" s="78"/>
      <c r="I69" s="78"/>
      <c r="J69" s="78"/>
      <c r="K69" s="78"/>
      <c r="L69" s="78"/>
      <c r="M69" s="78"/>
      <c r="N69" s="78"/>
      <c r="O69" s="78"/>
      <c r="P69" s="78"/>
      <c r="Q69" s="103"/>
      <c r="R69" s="103"/>
      <c r="S69" s="103"/>
      <c r="T69" s="103"/>
      <c r="U69" s="103"/>
      <c r="V69" s="78"/>
      <c r="W69" s="78"/>
      <c r="X69" s="78"/>
      <c r="Y69" s="79"/>
      <c r="Z69" s="79"/>
      <c r="AA69" s="78"/>
      <c r="AB69" s="78"/>
      <c r="AC69" s="78"/>
      <c r="AD69" s="78"/>
      <c r="AE69" s="78"/>
      <c r="AF69" s="78"/>
      <c r="AG69" s="78"/>
      <c r="AH69" s="78"/>
      <c r="AI69" s="78"/>
      <c r="AJ69" s="78"/>
      <c r="AK69" s="78"/>
      <c r="AL69" s="78"/>
      <c r="AM69" s="81"/>
      <c r="AN69" s="78"/>
    </row>
    <row r="70" spans="1:40" ht="20.25" customHeight="1">
      <c r="A70" s="78"/>
      <c r="B70" s="78"/>
      <c r="C70" s="81"/>
      <c r="D70" s="78"/>
      <c r="E70" s="78"/>
      <c r="F70" s="78"/>
      <c r="G70" s="78"/>
      <c r="H70" s="78"/>
      <c r="I70" s="78"/>
      <c r="J70" s="78"/>
      <c r="K70" s="78"/>
      <c r="L70" s="78"/>
      <c r="M70" s="78"/>
      <c r="N70" s="78"/>
      <c r="O70" s="78"/>
      <c r="P70" s="78"/>
      <c r="Q70" s="103"/>
      <c r="R70" s="103"/>
      <c r="S70" s="103"/>
      <c r="T70" s="103"/>
      <c r="U70" s="103"/>
      <c r="V70" s="78"/>
      <c r="W70" s="78"/>
      <c r="X70" s="78"/>
      <c r="Y70" s="79"/>
      <c r="Z70" s="79"/>
      <c r="AA70" s="78"/>
      <c r="AB70" s="78"/>
      <c r="AC70" s="78"/>
      <c r="AD70" s="78"/>
      <c r="AE70" s="78"/>
      <c r="AF70" s="78"/>
      <c r="AG70" s="78"/>
      <c r="AH70" s="78"/>
      <c r="AI70" s="78"/>
      <c r="AJ70" s="78"/>
      <c r="AK70" s="78"/>
      <c r="AL70" s="78"/>
      <c r="AM70" s="81"/>
      <c r="AN70" s="78"/>
    </row>
    <row r="71" spans="1:40" ht="20.25" customHeight="1">
      <c r="A71" s="78"/>
      <c r="B71" s="78"/>
      <c r="C71" s="81"/>
      <c r="D71" s="78"/>
      <c r="E71" s="78"/>
      <c r="F71" s="78"/>
      <c r="G71" s="78"/>
      <c r="H71" s="78"/>
      <c r="I71" s="78"/>
      <c r="J71" s="78"/>
      <c r="K71" s="78"/>
      <c r="L71" s="78"/>
      <c r="M71" s="78"/>
      <c r="N71" s="78"/>
      <c r="O71" s="78"/>
      <c r="P71" s="78"/>
      <c r="Q71" s="103"/>
      <c r="R71" s="103"/>
      <c r="S71" s="103"/>
      <c r="T71" s="103"/>
      <c r="U71" s="103"/>
      <c r="V71" s="78"/>
      <c r="W71" s="78"/>
      <c r="X71" s="78"/>
      <c r="Y71" s="79"/>
      <c r="Z71" s="79"/>
      <c r="AA71" s="78"/>
      <c r="AB71" s="78"/>
      <c r="AC71" s="78"/>
      <c r="AD71" s="78"/>
      <c r="AE71" s="78"/>
      <c r="AF71" s="78"/>
      <c r="AG71" s="78"/>
      <c r="AH71" s="78"/>
      <c r="AI71" s="78"/>
      <c r="AJ71" s="78"/>
      <c r="AK71" s="78"/>
      <c r="AL71" s="78"/>
      <c r="AM71" s="81"/>
      <c r="AN71" s="78"/>
    </row>
    <row r="72" spans="1:40" ht="20.25" customHeight="1">
      <c r="A72" s="78"/>
      <c r="B72" s="78"/>
      <c r="C72" s="81"/>
      <c r="D72" s="78"/>
      <c r="E72" s="78"/>
      <c r="F72" s="78"/>
      <c r="G72" s="78"/>
      <c r="H72" s="78"/>
      <c r="I72" s="78"/>
      <c r="J72" s="78"/>
      <c r="K72" s="78"/>
      <c r="L72" s="78"/>
      <c r="M72" s="78"/>
      <c r="N72" s="78"/>
      <c r="O72" s="78"/>
      <c r="P72" s="78"/>
      <c r="Q72" s="103"/>
      <c r="R72" s="103"/>
      <c r="S72" s="103"/>
      <c r="T72" s="103"/>
      <c r="U72" s="103"/>
      <c r="V72" s="78"/>
      <c r="W72" s="78"/>
      <c r="X72" s="78"/>
      <c r="Y72" s="79"/>
      <c r="Z72" s="79"/>
      <c r="AA72" s="78"/>
      <c r="AB72" s="78"/>
      <c r="AC72" s="78"/>
      <c r="AD72" s="78"/>
      <c r="AE72" s="78"/>
      <c r="AF72" s="78"/>
      <c r="AG72" s="78"/>
      <c r="AH72" s="78"/>
      <c r="AI72" s="78"/>
      <c r="AJ72" s="78"/>
      <c r="AK72" s="78"/>
      <c r="AL72" s="78"/>
      <c r="AM72" s="81"/>
      <c r="AN72" s="78"/>
    </row>
    <row r="73" spans="1:40" ht="20.25" customHeight="1">
      <c r="A73" s="78"/>
      <c r="B73" s="78"/>
      <c r="C73" s="81"/>
      <c r="D73" s="78"/>
      <c r="E73" s="78"/>
      <c r="F73" s="78"/>
      <c r="G73" s="78"/>
      <c r="H73" s="78"/>
      <c r="I73" s="78"/>
      <c r="J73" s="78"/>
      <c r="K73" s="78"/>
      <c r="L73" s="78"/>
      <c r="M73" s="78"/>
      <c r="N73" s="78"/>
      <c r="O73" s="78"/>
      <c r="P73" s="78"/>
      <c r="Q73" s="103"/>
      <c r="R73" s="103"/>
      <c r="S73" s="103"/>
      <c r="T73" s="103"/>
      <c r="U73" s="103"/>
      <c r="V73" s="78"/>
      <c r="W73" s="78"/>
      <c r="X73" s="78"/>
      <c r="Y73" s="79"/>
      <c r="Z73" s="79"/>
      <c r="AA73" s="78"/>
      <c r="AB73" s="78"/>
      <c r="AC73" s="78"/>
      <c r="AD73" s="78"/>
      <c r="AE73" s="78"/>
      <c r="AF73" s="78"/>
      <c r="AG73" s="78"/>
      <c r="AH73" s="78"/>
      <c r="AI73" s="78"/>
      <c r="AJ73" s="78"/>
      <c r="AK73" s="78"/>
      <c r="AL73" s="78"/>
      <c r="AM73" s="81"/>
      <c r="AN73" s="78"/>
    </row>
    <row r="74" spans="1:40" ht="20.25" customHeight="1">
      <c r="A74" s="78"/>
      <c r="B74" s="78"/>
      <c r="C74" s="81"/>
      <c r="D74" s="78"/>
      <c r="E74" s="78"/>
      <c r="F74" s="78"/>
      <c r="G74" s="78"/>
      <c r="H74" s="78"/>
      <c r="I74" s="78"/>
      <c r="J74" s="78"/>
      <c r="K74" s="78"/>
      <c r="L74" s="78"/>
      <c r="M74" s="78"/>
      <c r="N74" s="78"/>
      <c r="O74" s="78"/>
      <c r="P74" s="78"/>
      <c r="Q74" s="103"/>
      <c r="R74" s="103"/>
      <c r="S74" s="103"/>
      <c r="T74" s="103"/>
      <c r="U74" s="103"/>
      <c r="V74" s="78"/>
      <c r="W74" s="78"/>
      <c r="X74" s="78"/>
      <c r="Y74" s="79"/>
      <c r="Z74" s="79"/>
      <c r="AA74" s="78"/>
      <c r="AB74" s="78"/>
      <c r="AC74" s="78"/>
      <c r="AD74" s="78"/>
      <c r="AE74" s="78"/>
      <c r="AF74" s="78"/>
      <c r="AG74" s="78"/>
      <c r="AH74" s="78"/>
      <c r="AI74" s="78"/>
      <c r="AJ74" s="78"/>
      <c r="AK74" s="78"/>
      <c r="AL74" s="78"/>
      <c r="AM74" s="81"/>
      <c r="AN74" s="78"/>
    </row>
    <row r="75" spans="1:40" ht="20.25" customHeight="1">
      <c r="A75" s="78"/>
      <c r="B75" s="78"/>
      <c r="C75" s="81"/>
      <c r="D75" s="78"/>
      <c r="E75" s="78"/>
      <c r="F75" s="78"/>
      <c r="G75" s="78"/>
      <c r="H75" s="78"/>
      <c r="I75" s="78"/>
      <c r="J75" s="78"/>
      <c r="K75" s="78"/>
      <c r="L75" s="78"/>
      <c r="M75" s="78"/>
      <c r="N75" s="78"/>
      <c r="O75" s="78"/>
      <c r="P75" s="78"/>
      <c r="Q75" s="103"/>
      <c r="R75" s="103"/>
      <c r="S75" s="103"/>
      <c r="T75" s="103"/>
      <c r="U75" s="103"/>
      <c r="V75" s="78"/>
      <c r="W75" s="78"/>
      <c r="X75" s="78"/>
      <c r="Y75" s="79"/>
      <c r="Z75" s="79"/>
      <c r="AA75" s="78"/>
      <c r="AB75" s="78"/>
      <c r="AC75" s="78"/>
      <c r="AD75" s="78"/>
      <c r="AE75" s="78"/>
      <c r="AF75" s="78"/>
      <c r="AG75" s="78"/>
      <c r="AH75" s="78"/>
      <c r="AI75" s="78"/>
      <c r="AJ75" s="78"/>
      <c r="AK75" s="78"/>
      <c r="AL75" s="78"/>
      <c r="AM75" s="81"/>
      <c r="AN75" s="78"/>
    </row>
    <row r="76" spans="1:40" ht="20.25" customHeight="1">
      <c r="A76" s="78"/>
      <c r="B76" s="78"/>
      <c r="C76" s="81"/>
      <c r="D76" s="78"/>
      <c r="E76" s="78"/>
      <c r="F76" s="78"/>
      <c r="G76" s="78"/>
      <c r="H76" s="78"/>
      <c r="I76" s="78"/>
      <c r="J76" s="78"/>
      <c r="K76" s="78"/>
      <c r="L76" s="78"/>
      <c r="M76" s="78"/>
      <c r="N76" s="78"/>
      <c r="O76" s="78"/>
      <c r="P76" s="78"/>
      <c r="Q76" s="103"/>
      <c r="R76" s="103"/>
      <c r="S76" s="103"/>
      <c r="T76" s="103"/>
      <c r="U76" s="103"/>
      <c r="V76" s="78"/>
      <c r="W76" s="78"/>
      <c r="X76" s="78"/>
      <c r="Y76" s="79"/>
      <c r="Z76" s="79"/>
      <c r="AA76" s="78"/>
      <c r="AB76" s="78"/>
      <c r="AC76" s="78"/>
      <c r="AD76" s="78"/>
      <c r="AE76" s="78"/>
      <c r="AF76" s="78"/>
      <c r="AG76" s="78"/>
      <c r="AH76" s="78"/>
      <c r="AI76" s="78"/>
      <c r="AJ76" s="78"/>
      <c r="AK76" s="78"/>
      <c r="AL76" s="78"/>
      <c r="AM76" s="81"/>
      <c r="AN76" s="78"/>
    </row>
    <row r="77" spans="1:40" ht="20.25" customHeight="1">
      <c r="A77" s="78"/>
      <c r="B77" s="78"/>
      <c r="C77" s="81"/>
      <c r="D77" s="78"/>
      <c r="E77" s="78"/>
      <c r="F77" s="78"/>
      <c r="G77" s="78"/>
      <c r="H77" s="78"/>
      <c r="I77" s="78"/>
      <c r="J77" s="78"/>
      <c r="K77" s="78"/>
      <c r="L77" s="78"/>
      <c r="M77" s="78"/>
      <c r="N77" s="78"/>
      <c r="O77" s="78"/>
      <c r="P77" s="78"/>
      <c r="Q77" s="103"/>
      <c r="R77" s="103"/>
      <c r="S77" s="103"/>
      <c r="T77" s="103"/>
      <c r="U77" s="103"/>
      <c r="V77" s="78"/>
      <c r="W77" s="78"/>
      <c r="X77" s="78"/>
      <c r="Y77" s="79"/>
      <c r="Z77" s="79"/>
      <c r="AA77" s="78"/>
      <c r="AB77" s="78"/>
      <c r="AC77" s="78"/>
      <c r="AD77" s="78"/>
      <c r="AE77" s="78"/>
      <c r="AF77" s="78"/>
      <c r="AG77" s="78"/>
      <c r="AH77" s="78"/>
      <c r="AI77" s="78"/>
      <c r="AJ77" s="78"/>
      <c r="AK77" s="78"/>
      <c r="AL77" s="78"/>
      <c r="AM77" s="81"/>
      <c r="AN77" s="78"/>
    </row>
    <row r="78" spans="1:40" ht="20.25" customHeight="1">
      <c r="A78" s="78"/>
      <c r="B78" s="78"/>
      <c r="C78" s="81"/>
      <c r="D78" s="78"/>
      <c r="E78" s="78"/>
      <c r="F78" s="78"/>
      <c r="G78" s="78"/>
      <c r="H78" s="78"/>
      <c r="I78" s="78"/>
      <c r="J78" s="78"/>
      <c r="K78" s="78"/>
      <c r="L78" s="78"/>
      <c r="M78" s="78"/>
      <c r="N78" s="78"/>
      <c r="O78" s="78"/>
      <c r="P78" s="78"/>
      <c r="Q78" s="103"/>
      <c r="R78" s="103"/>
      <c r="S78" s="103"/>
      <c r="T78" s="103"/>
      <c r="U78" s="103"/>
      <c r="V78" s="78"/>
      <c r="W78" s="78"/>
      <c r="X78" s="78"/>
      <c r="Y78" s="79"/>
      <c r="Z78" s="79"/>
      <c r="AA78" s="78"/>
      <c r="AB78" s="78"/>
      <c r="AC78" s="78"/>
      <c r="AD78" s="78"/>
      <c r="AE78" s="78"/>
      <c r="AF78" s="78"/>
      <c r="AG78" s="78"/>
      <c r="AH78" s="78"/>
      <c r="AI78" s="78"/>
      <c r="AJ78" s="78"/>
      <c r="AK78" s="78"/>
      <c r="AL78" s="78"/>
      <c r="AM78" s="81"/>
      <c r="AN78" s="78"/>
    </row>
    <row r="79" spans="1:40" ht="20.25" customHeight="1">
      <c r="A79" s="78"/>
      <c r="B79" s="78"/>
      <c r="C79" s="81"/>
      <c r="D79" s="78"/>
      <c r="E79" s="78"/>
      <c r="F79" s="78"/>
      <c r="G79" s="78"/>
      <c r="H79" s="78"/>
      <c r="I79" s="78"/>
      <c r="J79" s="78"/>
      <c r="K79" s="78"/>
      <c r="L79" s="78"/>
      <c r="M79" s="78"/>
      <c r="N79" s="78"/>
      <c r="O79" s="78"/>
      <c r="P79" s="78"/>
      <c r="Q79" s="103"/>
      <c r="R79" s="103"/>
      <c r="S79" s="103"/>
      <c r="T79" s="103"/>
      <c r="U79" s="103"/>
      <c r="V79" s="78"/>
      <c r="W79" s="78"/>
      <c r="X79" s="78"/>
      <c r="Y79" s="79"/>
      <c r="Z79" s="79"/>
      <c r="AA79" s="78"/>
      <c r="AB79" s="78"/>
      <c r="AC79" s="78"/>
      <c r="AD79" s="78"/>
      <c r="AE79" s="78"/>
      <c r="AF79" s="78"/>
      <c r="AG79" s="78"/>
      <c r="AH79" s="78"/>
      <c r="AI79" s="78"/>
      <c r="AJ79" s="78"/>
      <c r="AK79" s="78"/>
      <c r="AL79" s="78"/>
      <c r="AM79" s="81"/>
      <c r="AN79" s="78"/>
    </row>
    <row r="80" spans="1:40" ht="20.25" customHeight="1">
      <c r="A80" s="78"/>
      <c r="B80" s="78"/>
      <c r="C80" s="81"/>
      <c r="D80" s="78"/>
      <c r="E80" s="78"/>
      <c r="F80" s="78"/>
      <c r="G80" s="78"/>
      <c r="H80" s="78"/>
      <c r="I80" s="78"/>
      <c r="J80" s="78"/>
      <c r="K80" s="78"/>
      <c r="L80" s="78"/>
      <c r="M80" s="78"/>
      <c r="N80" s="78"/>
      <c r="O80" s="78"/>
      <c r="P80" s="78"/>
      <c r="Q80" s="103"/>
      <c r="R80" s="103"/>
      <c r="S80" s="103"/>
      <c r="T80" s="103"/>
      <c r="U80" s="103"/>
      <c r="V80" s="78"/>
      <c r="W80" s="78"/>
      <c r="X80" s="78"/>
      <c r="Y80" s="79"/>
      <c r="Z80" s="79"/>
      <c r="AA80" s="78"/>
      <c r="AB80" s="78"/>
      <c r="AC80" s="78"/>
      <c r="AD80" s="78"/>
      <c r="AE80" s="78"/>
      <c r="AF80" s="78"/>
      <c r="AG80" s="78"/>
      <c r="AH80" s="78"/>
      <c r="AI80" s="78"/>
      <c r="AJ80" s="78"/>
      <c r="AK80" s="78"/>
      <c r="AL80" s="78"/>
      <c r="AM80" s="81"/>
      <c r="AN80" s="78"/>
    </row>
    <row r="81" spans="1:40" ht="20.25" customHeight="1">
      <c r="A81" s="78"/>
      <c r="B81" s="78"/>
      <c r="C81" s="81"/>
      <c r="D81" s="78"/>
      <c r="E81" s="78"/>
      <c r="F81" s="78"/>
      <c r="G81" s="78"/>
      <c r="H81" s="78"/>
      <c r="I81" s="78"/>
      <c r="J81" s="78"/>
      <c r="K81" s="78"/>
      <c r="L81" s="78"/>
      <c r="M81" s="78"/>
      <c r="N81" s="78"/>
      <c r="O81" s="78"/>
      <c r="P81" s="78"/>
      <c r="Q81" s="103"/>
      <c r="R81" s="103"/>
      <c r="S81" s="103"/>
      <c r="T81" s="103"/>
      <c r="U81" s="103"/>
      <c r="V81" s="78"/>
      <c r="W81" s="78"/>
      <c r="X81" s="78"/>
      <c r="Y81" s="79"/>
      <c r="Z81" s="79"/>
      <c r="AA81" s="78"/>
      <c r="AB81" s="78"/>
      <c r="AC81" s="78"/>
      <c r="AD81" s="78"/>
      <c r="AE81" s="78"/>
      <c r="AF81" s="78"/>
      <c r="AG81" s="78"/>
      <c r="AH81" s="78"/>
      <c r="AI81" s="78"/>
      <c r="AJ81" s="78"/>
      <c r="AK81" s="78"/>
      <c r="AL81" s="78"/>
      <c r="AM81" s="81"/>
      <c r="AN81" s="78"/>
    </row>
    <row r="82" spans="1:40" ht="20.25" customHeight="1">
      <c r="A82" s="78"/>
      <c r="B82" s="78"/>
      <c r="C82" s="81"/>
      <c r="D82" s="78"/>
      <c r="E82" s="78"/>
      <c r="F82" s="78"/>
      <c r="G82" s="78"/>
      <c r="H82" s="78"/>
      <c r="I82" s="78"/>
      <c r="J82" s="78"/>
      <c r="K82" s="78"/>
      <c r="L82" s="78"/>
      <c r="M82" s="78"/>
      <c r="N82" s="78"/>
      <c r="O82" s="78"/>
      <c r="P82" s="78"/>
      <c r="Q82" s="103"/>
      <c r="R82" s="103"/>
      <c r="S82" s="103"/>
      <c r="T82" s="103"/>
      <c r="U82" s="103"/>
      <c r="V82" s="78"/>
      <c r="W82" s="78"/>
      <c r="X82" s="78"/>
      <c r="Y82" s="79"/>
      <c r="Z82" s="79"/>
      <c r="AA82" s="78"/>
      <c r="AB82" s="78"/>
      <c r="AC82" s="78"/>
      <c r="AD82" s="78"/>
      <c r="AE82" s="78"/>
      <c r="AF82" s="78"/>
      <c r="AG82" s="78"/>
      <c r="AH82" s="78"/>
      <c r="AI82" s="78"/>
      <c r="AJ82" s="78"/>
      <c r="AK82" s="78"/>
      <c r="AL82" s="78"/>
      <c r="AM82" s="81"/>
      <c r="AN82" s="78"/>
    </row>
    <row r="83" spans="1:40" ht="20.25" customHeight="1">
      <c r="A83" s="78"/>
      <c r="B83" s="78"/>
      <c r="C83" s="81"/>
      <c r="D83" s="78"/>
      <c r="E83" s="78"/>
      <c r="F83" s="78"/>
      <c r="G83" s="78"/>
      <c r="H83" s="78"/>
      <c r="I83" s="78"/>
      <c r="J83" s="78"/>
      <c r="K83" s="78"/>
      <c r="L83" s="78"/>
      <c r="M83" s="78"/>
      <c r="N83" s="78"/>
      <c r="O83" s="78"/>
      <c r="P83" s="78"/>
      <c r="Q83" s="103"/>
      <c r="R83" s="103"/>
      <c r="S83" s="103"/>
      <c r="T83" s="103"/>
      <c r="U83" s="103"/>
      <c r="V83" s="78"/>
      <c r="W83" s="78"/>
      <c r="X83" s="78"/>
      <c r="Y83" s="79"/>
      <c r="Z83" s="79"/>
      <c r="AA83" s="78"/>
      <c r="AB83" s="78"/>
      <c r="AC83" s="78"/>
      <c r="AD83" s="78"/>
      <c r="AE83" s="78"/>
      <c r="AF83" s="78"/>
      <c r="AG83" s="78"/>
      <c r="AH83" s="78"/>
      <c r="AI83" s="78"/>
      <c r="AJ83" s="78"/>
      <c r="AK83" s="78"/>
      <c r="AL83" s="78"/>
      <c r="AM83" s="81"/>
      <c r="AN83" s="78"/>
    </row>
    <row r="84" spans="1:40" ht="20.25" customHeight="1">
      <c r="A84" s="78"/>
      <c r="B84" s="78"/>
      <c r="C84" s="81"/>
      <c r="D84" s="78"/>
      <c r="E84" s="78"/>
      <c r="F84" s="78"/>
      <c r="G84" s="78"/>
      <c r="H84" s="78"/>
      <c r="I84" s="78"/>
      <c r="J84" s="78"/>
      <c r="K84" s="78"/>
      <c r="L84" s="78"/>
      <c r="M84" s="78"/>
      <c r="N84" s="78"/>
      <c r="O84" s="78"/>
      <c r="P84" s="78"/>
      <c r="Q84" s="103"/>
      <c r="R84" s="103"/>
      <c r="S84" s="103"/>
      <c r="T84" s="103"/>
      <c r="U84" s="103"/>
      <c r="V84" s="78"/>
      <c r="W84" s="78"/>
      <c r="X84" s="78"/>
      <c r="Y84" s="79"/>
      <c r="Z84" s="79"/>
      <c r="AA84" s="78"/>
      <c r="AB84" s="78"/>
      <c r="AC84" s="78"/>
      <c r="AD84" s="78"/>
      <c r="AE84" s="78"/>
      <c r="AF84" s="78"/>
      <c r="AG84" s="78"/>
      <c r="AH84" s="78"/>
      <c r="AI84" s="78"/>
      <c r="AJ84" s="78"/>
      <c r="AK84" s="78"/>
      <c r="AL84" s="78"/>
      <c r="AM84" s="81"/>
      <c r="AN84" s="78"/>
    </row>
    <row r="85" spans="1:40" ht="20.25" customHeight="1">
      <c r="A85" s="78"/>
      <c r="B85" s="78"/>
      <c r="C85" s="81"/>
      <c r="D85" s="78"/>
      <c r="E85" s="78"/>
      <c r="F85" s="78"/>
      <c r="G85" s="78"/>
      <c r="H85" s="78"/>
      <c r="I85" s="78"/>
      <c r="J85" s="78"/>
      <c r="K85" s="78"/>
      <c r="L85" s="78"/>
      <c r="M85" s="78"/>
      <c r="N85" s="78"/>
      <c r="O85" s="78"/>
      <c r="P85" s="78"/>
      <c r="Q85" s="103"/>
      <c r="R85" s="103"/>
      <c r="S85" s="103"/>
      <c r="T85" s="103"/>
      <c r="U85" s="103"/>
      <c r="V85" s="78"/>
      <c r="W85" s="78"/>
      <c r="X85" s="78"/>
      <c r="Y85" s="79"/>
      <c r="Z85" s="79"/>
      <c r="AA85" s="78"/>
      <c r="AB85" s="78"/>
      <c r="AC85" s="78"/>
      <c r="AD85" s="78"/>
      <c r="AE85" s="78"/>
      <c r="AF85" s="78"/>
      <c r="AG85" s="78"/>
      <c r="AH85" s="78"/>
      <c r="AI85" s="78"/>
      <c r="AJ85" s="78"/>
      <c r="AK85" s="78"/>
      <c r="AL85" s="78"/>
      <c r="AM85" s="81"/>
      <c r="AN85" s="78"/>
    </row>
    <row r="86" spans="1:40" ht="20.25" customHeight="1">
      <c r="A86" s="78"/>
      <c r="B86" s="78"/>
      <c r="C86" s="81"/>
      <c r="D86" s="78"/>
      <c r="E86" s="78"/>
      <c r="F86" s="78"/>
      <c r="G86" s="78"/>
      <c r="H86" s="78"/>
      <c r="I86" s="78"/>
      <c r="J86" s="78"/>
      <c r="K86" s="78"/>
      <c r="L86" s="78"/>
      <c r="M86" s="78"/>
      <c r="N86" s="78"/>
      <c r="O86" s="78"/>
      <c r="P86" s="78"/>
      <c r="Q86" s="103"/>
      <c r="R86" s="103"/>
      <c r="S86" s="103"/>
      <c r="T86" s="103"/>
      <c r="U86" s="103"/>
      <c r="V86" s="78"/>
      <c r="W86" s="78"/>
      <c r="X86" s="78"/>
      <c r="Y86" s="79"/>
      <c r="Z86" s="79"/>
      <c r="AA86" s="78"/>
      <c r="AB86" s="78"/>
      <c r="AC86" s="78"/>
      <c r="AD86" s="78"/>
      <c r="AE86" s="78"/>
      <c r="AF86" s="78"/>
      <c r="AG86" s="78"/>
      <c r="AH86" s="78"/>
      <c r="AI86" s="78"/>
      <c r="AJ86" s="78"/>
      <c r="AK86" s="78"/>
      <c r="AL86" s="78"/>
      <c r="AM86" s="81"/>
      <c r="AN86" s="78"/>
    </row>
    <row r="87" spans="1:40" ht="20.25" customHeight="1">
      <c r="A87" s="78"/>
      <c r="B87" s="78"/>
      <c r="C87" s="81"/>
      <c r="D87" s="78"/>
      <c r="E87" s="78"/>
      <c r="F87" s="78"/>
      <c r="G87" s="78"/>
      <c r="H87" s="78"/>
      <c r="I87" s="78"/>
      <c r="J87" s="78"/>
      <c r="K87" s="78"/>
      <c r="L87" s="78"/>
      <c r="M87" s="78"/>
      <c r="N87" s="78"/>
      <c r="O87" s="78"/>
      <c r="P87" s="78"/>
      <c r="Q87" s="103"/>
      <c r="R87" s="103"/>
      <c r="S87" s="103"/>
      <c r="T87" s="103"/>
      <c r="U87" s="103"/>
      <c r="V87" s="78"/>
      <c r="W87" s="78"/>
      <c r="X87" s="78"/>
      <c r="Y87" s="79"/>
      <c r="Z87" s="79"/>
      <c r="AA87" s="78"/>
      <c r="AB87" s="78"/>
      <c r="AC87" s="78"/>
      <c r="AD87" s="78"/>
      <c r="AE87" s="78"/>
      <c r="AF87" s="78"/>
      <c r="AG87" s="78"/>
      <c r="AH87" s="78"/>
      <c r="AI87" s="78"/>
      <c r="AJ87" s="78"/>
      <c r="AK87" s="78"/>
      <c r="AL87" s="78"/>
      <c r="AM87" s="81"/>
      <c r="AN87" s="78"/>
    </row>
    <row r="88" spans="1:40" ht="20.25" customHeight="1">
      <c r="A88" s="78"/>
      <c r="B88" s="78"/>
      <c r="C88" s="81"/>
      <c r="D88" s="78"/>
      <c r="E88" s="78"/>
      <c r="F88" s="78"/>
      <c r="G88" s="78"/>
      <c r="H88" s="78"/>
      <c r="I88" s="78"/>
      <c r="J88" s="78"/>
      <c r="K88" s="78"/>
      <c r="L88" s="78"/>
      <c r="M88" s="78"/>
      <c r="N88" s="78"/>
      <c r="O88" s="78"/>
      <c r="P88" s="78"/>
      <c r="Q88" s="103"/>
      <c r="R88" s="103"/>
      <c r="S88" s="103"/>
      <c r="T88" s="103"/>
      <c r="U88" s="103"/>
      <c r="V88" s="78"/>
      <c r="W88" s="78"/>
      <c r="X88" s="78"/>
      <c r="Y88" s="79"/>
      <c r="Z88" s="79"/>
      <c r="AA88" s="78"/>
      <c r="AB88" s="78"/>
      <c r="AC88" s="78"/>
      <c r="AD88" s="78"/>
      <c r="AE88" s="78"/>
      <c r="AF88" s="78"/>
      <c r="AG88" s="78"/>
      <c r="AH88" s="78"/>
      <c r="AI88" s="78"/>
      <c r="AJ88" s="78"/>
      <c r="AK88" s="78"/>
      <c r="AL88" s="78"/>
      <c r="AM88" s="81"/>
      <c r="AN88" s="78"/>
    </row>
    <row r="89" spans="1:40" ht="20.25" customHeight="1">
      <c r="A89" s="78"/>
      <c r="B89" s="78"/>
      <c r="C89" s="81"/>
      <c r="D89" s="78"/>
      <c r="E89" s="78"/>
      <c r="F89" s="78"/>
      <c r="G89" s="78"/>
      <c r="H89" s="78"/>
      <c r="I89" s="78"/>
      <c r="J89" s="78"/>
      <c r="K89" s="78"/>
      <c r="L89" s="78"/>
      <c r="M89" s="78"/>
      <c r="N89" s="78"/>
      <c r="O89" s="78"/>
      <c r="P89" s="78"/>
      <c r="Q89" s="103"/>
      <c r="R89" s="103"/>
      <c r="S89" s="103"/>
      <c r="T89" s="103"/>
      <c r="U89" s="103"/>
      <c r="V89" s="78"/>
      <c r="W89" s="78"/>
      <c r="X89" s="78"/>
      <c r="Y89" s="79"/>
      <c r="Z89" s="79"/>
      <c r="AA89" s="78"/>
      <c r="AB89" s="78"/>
      <c r="AC89" s="78"/>
      <c r="AD89" s="78"/>
      <c r="AE89" s="78"/>
      <c r="AF89" s="78"/>
      <c r="AG89" s="78"/>
      <c r="AH89" s="78"/>
      <c r="AI89" s="78"/>
      <c r="AJ89" s="78"/>
      <c r="AK89" s="78"/>
      <c r="AL89" s="78"/>
      <c r="AM89" s="81"/>
      <c r="AN89" s="78"/>
    </row>
    <row r="90" spans="1:40" ht="20.25" customHeight="1">
      <c r="A90" s="78"/>
      <c r="B90" s="78"/>
      <c r="C90" s="81"/>
      <c r="D90" s="78"/>
      <c r="E90" s="78"/>
      <c r="F90" s="78"/>
      <c r="G90" s="78"/>
      <c r="H90" s="78"/>
      <c r="I90" s="78"/>
      <c r="J90" s="78"/>
      <c r="K90" s="78"/>
      <c r="L90" s="78"/>
      <c r="M90" s="78"/>
      <c r="N90" s="78"/>
      <c r="O90" s="78"/>
      <c r="P90" s="78"/>
      <c r="Q90" s="103"/>
      <c r="R90" s="103"/>
      <c r="S90" s="103"/>
      <c r="T90" s="103"/>
      <c r="U90" s="103"/>
      <c r="V90" s="78"/>
      <c r="W90" s="78"/>
      <c r="X90" s="78"/>
      <c r="Y90" s="79"/>
      <c r="Z90" s="79"/>
      <c r="AA90" s="78"/>
      <c r="AB90" s="78"/>
      <c r="AC90" s="78"/>
      <c r="AD90" s="78"/>
      <c r="AE90" s="78"/>
      <c r="AF90" s="78"/>
      <c r="AG90" s="78"/>
      <c r="AH90" s="78"/>
      <c r="AI90" s="78"/>
      <c r="AJ90" s="78"/>
      <c r="AK90" s="78"/>
      <c r="AL90" s="78"/>
      <c r="AM90" s="81"/>
      <c r="AN90" s="78"/>
    </row>
    <row r="91" spans="1:40" ht="20.25" customHeight="1">
      <c r="A91" s="78"/>
      <c r="B91" s="78"/>
      <c r="C91" s="81"/>
      <c r="D91" s="78"/>
      <c r="E91" s="78"/>
      <c r="F91" s="78"/>
      <c r="G91" s="78"/>
      <c r="H91" s="78"/>
      <c r="I91" s="78"/>
      <c r="J91" s="78"/>
      <c r="K91" s="78"/>
      <c r="L91" s="78"/>
      <c r="M91" s="78"/>
      <c r="N91" s="78"/>
      <c r="O91" s="78"/>
      <c r="P91" s="78"/>
      <c r="Q91" s="103"/>
      <c r="R91" s="103"/>
      <c r="S91" s="103"/>
      <c r="T91" s="103"/>
      <c r="U91" s="103"/>
      <c r="V91" s="78"/>
      <c r="W91" s="78"/>
      <c r="X91" s="78"/>
      <c r="Y91" s="79"/>
      <c r="Z91" s="79"/>
      <c r="AA91" s="78"/>
      <c r="AB91" s="78"/>
      <c r="AC91" s="78"/>
      <c r="AD91" s="78"/>
      <c r="AE91" s="78"/>
      <c r="AF91" s="78"/>
      <c r="AG91" s="78"/>
      <c r="AH91" s="78"/>
      <c r="AI91" s="78"/>
      <c r="AJ91" s="78"/>
      <c r="AK91" s="78"/>
      <c r="AL91" s="78"/>
      <c r="AM91" s="81"/>
      <c r="AN91" s="78"/>
    </row>
    <row r="92" spans="1:40" ht="20.25" customHeight="1">
      <c r="A92" s="78"/>
      <c r="B92" s="78"/>
      <c r="C92" s="81"/>
      <c r="D92" s="78"/>
      <c r="E92" s="78"/>
      <c r="F92" s="78"/>
      <c r="G92" s="78"/>
      <c r="H92" s="78"/>
      <c r="I92" s="78"/>
      <c r="J92" s="78"/>
      <c r="K92" s="78"/>
      <c r="L92" s="78"/>
      <c r="M92" s="78"/>
      <c r="N92" s="78"/>
      <c r="O92" s="78"/>
      <c r="P92" s="78"/>
      <c r="Q92" s="103"/>
      <c r="R92" s="103"/>
      <c r="S92" s="103"/>
      <c r="T92" s="103"/>
      <c r="U92" s="103"/>
      <c r="V92" s="78"/>
      <c r="W92" s="78"/>
      <c r="X92" s="78"/>
      <c r="Y92" s="79"/>
      <c r="Z92" s="79"/>
      <c r="AA92" s="78"/>
      <c r="AB92" s="78"/>
      <c r="AC92" s="78"/>
      <c r="AD92" s="78"/>
      <c r="AE92" s="78"/>
      <c r="AF92" s="78"/>
      <c r="AG92" s="78"/>
      <c r="AH92" s="78"/>
      <c r="AI92" s="78"/>
      <c r="AJ92" s="78"/>
      <c r="AK92" s="78"/>
      <c r="AL92" s="78"/>
      <c r="AM92" s="81"/>
      <c r="AN92" s="78"/>
    </row>
    <row r="93" spans="1:40" ht="20.25" customHeight="1">
      <c r="A93" s="78"/>
      <c r="B93" s="78"/>
      <c r="C93" s="81"/>
      <c r="D93" s="78"/>
      <c r="E93" s="78"/>
      <c r="F93" s="78"/>
      <c r="G93" s="78"/>
      <c r="H93" s="78"/>
      <c r="I93" s="78"/>
      <c r="J93" s="78"/>
      <c r="K93" s="78"/>
      <c r="L93" s="78"/>
      <c r="M93" s="78"/>
      <c r="N93" s="78"/>
      <c r="O93" s="78"/>
      <c r="P93" s="78"/>
      <c r="Q93" s="103"/>
      <c r="R93" s="103"/>
      <c r="S93" s="103"/>
      <c r="T93" s="103"/>
      <c r="U93" s="103"/>
      <c r="V93" s="78"/>
      <c r="W93" s="78"/>
      <c r="X93" s="78"/>
      <c r="Y93" s="79"/>
      <c r="Z93" s="79"/>
      <c r="AA93" s="78"/>
      <c r="AB93" s="78"/>
      <c r="AC93" s="78"/>
      <c r="AD93" s="78"/>
      <c r="AE93" s="78"/>
      <c r="AF93" s="78"/>
      <c r="AG93" s="78"/>
      <c r="AH93" s="78"/>
      <c r="AI93" s="78"/>
      <c r="AJ93" s="78"/>
      <c r="AK93" s="78"/>
      <c r="AL93" s="78"/>
      <c r="AM93" s="81"/>
      <c r="AN93" s="78"/>
    </row>
    <row r="94" spans="1:40" ht="20.25" customHeight="1">
      <c r="A94" s="78"/>
      <c r="B94" s="78"/>
      <c r="C94" s="81"/>
      <c r="D94" s="78"/>
      <c r="E94" s="78"/>
      <c r="F94" s="78"/>
      <c r="G94" s="78"/>
      <c r="H94" s="78"/>
      <c r="I94" s="78"/>
      <c r="J94" s="78"/>
      <c r="K94" s="78"/>
      <c r="L94" s="78"/>
      <c r="M94" s="78"/>
      <c r="N94" s="78"/>
      <c r="O94" s="78"/>
      <c r="P94" s="78"/>
      <c r="Q94" s="103"/>
      <c r="R94" s="103"/>
      <c r="S94" s="103"/>
      <c r="T94" s="103"/>
      <c r="U94" s="103"/>
      <c r="V94" s="78"/>
      <c r="W94" s="78"/>
      <c r="X94" s="78"/>
      <c r="Y94" s="79"/>
      <c r="Z94" s="79"/>
      <c r="AA94" s="78"/>
      <c r="AB94" s="78"/>
      <c r="AC94" s="78"/>
      <c r="AD94" s="78"/>
      <c r="AE94" s="78"/>
      <c r="AF94" s="78"/>
      <c r="AG94" s="78"/>
      <c r="AH94" s="78"/>
      <c r="AI94" s="78"/>
      <c r="AJ94" s="78"/>
      <c r="AK94" s="78"/>
      <c r="AL94" s="78"/>
      <c r="AM94" s="81"/>
      <c r="AN94" s="78"/>
    </row>
    <row r="95" spans="1:40" ht="20.25" customHeight="1">
      <c r="A95" s="78"/>
      <c r="B95" s="78"/>
      <c r="C95" s="81"/>
      <c r="D95" s="78"/>
      <c r="E95" s="78"/>
      <c r="F95" s="78"/>
      <c r="G95" s="78"/>
      <c r="H95" s="78"/>
      <c r="I95" s="78"/>
      <c r="J95" s="78"/>
      <c r="K95" s="78"/>
      <c r="L95" s="78"/>
      <c r="M95" s="78"/>
      <c r="N95" s="78"/>
      <c r="O95" s="78"/>
      <c r="P95" s="78"/>
      <c r="Q95" s="103"/>
      <c r="R95" s="103"/>
      <c r="S95" s="103"/>
      <c r="T95" s="103"/>
      <c r="U95" s="103"/>
      <c r="V95" s="78"/>
      <c r="W95" s="78"/>
      <c r="X95" s="78"/>
      <c r="Y95" s="79"/>
      <c r="Z95" s="79"/>
      <c r="AA95" s="78"/>
      <c r="AB95" s="78"/>
      <c r="AC95" s="78"/>
      <c r="AD95" s="78"/>
      <c r="AE95" s="78"/>
      <c r="AF95" s="78"/>
      <c r="AG95" s="78"/>
      <c r="AH95" s="78"/>
      <c r="AI95" s="78"/>
      <c r="AJ95" s="78"/>
      <c r="AK95" s="78"/>
      <c r="AL95" s="78"/>
      <c r="AM95" s="81"/>
      <c r="AN95" s="78"/>
    </row>
    <row r="96" spans="1:40" ht="20.25" customHeight="1">
      <c r="A96" s="78"/>
      <c r="B96" s="78"/>
      <c r="C96" s="81"/>
      <c r="D96" s="78"/>
      <c r="E96" s="78"/>
      <c r="F96" s="78"/>
      <c r="G96" s="78"/>
      <c r="H96" s="78"/>
      <c r="I96" s="78"/>
      <c r="J96" s="78"/>
      <c r="K96" s="78"/>
      <c r="L96" s="78"/>
      <c r="M96" s="78"/>
      <c r="N96" s="78"/>
      <c r="O96" s="78"/>
      <c r="P96" s="78"/>
      <c r="Q96" s="103"/>
      <c r="R96" s="103"/>
      <c r="S96" s="103"/>
      <c r="T96" s="103"/>
      <c r="U96" s="103"/>
      <c r="V96" s="78"/>
      <c r="W96" s="78"/>
      <c r="X96" s="78"/>
      <c r="Y96" s="79"/>
      <c r="Z96" s="79"/>
      <c r="AA96" s="78"/>
      <c r="AB96" s="78"/>
      <c r="AC96" s="78"/>
      <c r="AD96" s="78"/>
      <c r="AE96" s="78"/>
      <c r="AF96" s="78"/>
      <c r="AG96" s="78"/>
      <c r="AH96" s="78"/>
      <c r="AI96" s="78"/>
      <c r="AJ96" s="78"/>
      <c r="AK96" s="78"/>
      <c r="AL96" s="78"/>
      <c r="AM96" s="81"/>
      <c r="AN96" s="78"/>
    </row>
    <row r="97" spans="1:40" ht="20.25" customHeight="1">
      <c r="A97" s="78"/>
      <c r="B97" s="78"/>
      <c r="C97" s="81"/>
      <c r="D97" s="78"/>
      <c r="E97" s="78"/>
      <c r="F97" s="78"/>
      <c r="G97" s="78"/>
      <c r="H97" s="78"/>
      <c r="I97" s="78"/>
      <c r="J97" s="78"/>
      <c r="K97" s="78"/>
      <c r="L97" s="78"/>
      <c r="M97" s="78"/>
      <c r="N97" s="78"/>
      <c r="O97" s="78"/>
      <c r="P97" s="78"/>
      <c r="Q97" s="103"/>
      <c r="R97" s="103"/>
      <c r="S97" s="103"/>
      <c r="T97" s="103"/>
      <c r="U97" s="103"/>
      <c r="V97" s="78"/>
      <c r="W97" s="78"/>
      <c r="X97" s="78"/>
      <c r="Y97" s="79"/>
      <c r="Z97" s="79"/>
      <c r="AA97" s="78"/>
      <c r="AB97" s="78"/>
      <c r="AC97" s="78"/>
      <c r="AD97" s="78"/>
      <c r="AE97" s="78"/>
      <c r="AF97" s="78"/>
      <c r="AG97" s="78"/>
      <c r="AH97" s="78"/>
      <c r="AI97" s="78"/>
      <c r="AJ97" s="78"/>
      <c r="AK97" s="78"/>
      <c r="AL97" s="78"/>
      <c r="AM97" s="81"/>
      <c r="AN97" s="78"/>
    </row>
    <row r="98" spans="1:40" ht="20.25" customHeight="1">
      <c r="A98" s="78"/>
      <c r="B98" s="78"/>
      <c r="C98" s="81"/>
      <c r="D98" s="78"/>
      <c r="E98" s="78"/>
      <c r="F98" s="78"/>
      <c r="G98" s="78"/>
      <c r="H98" s="78"/>
      <c r="I98" s="78"/>
      <c r="J98" s="78"/>
      <c r="K98" s="78"/>
      <c r="L98" s="78"/>
      <c r="M98" s="78"/>
      <c r="N98" s="78"/>
      <c r="O98" s="78"/>
      <c r="P98" s="78"/>
      <c r="Q98" s="103"/>
      <c r="R98" s="103"/>
      <c r="S98" s="103"/>
      <c r="T98" s="103"/>
      <c r="U98" s="103"/>
      <c r="V98" s="78"/>
      <c r="W98" s="78"/>
      <c r="X98" s="78"/>
      <c r="Y98" s="79"/>
      <c r="Z98" s="79"/>
      <c r="AA98" s="78"/>
      <c r="AB98" s="78"/>
      <c r="AC98" s="78"/>
      <c r="AD98" s="78"/>
      <c r="AE98" s="78"/>
      <c r="AF98" s="78"/>
      <c r="AG98" s="78"/>
      <c r="AH98" s="78"/>
      <c r="AI98" s="78"/>
      <c r="AJ98" s="78"/>
      <c r="AK98" s="78"/>
      <c r="AL98" s="78"/>
      <c r="AM98" s="81"/>
      <c r="AN98" s="78"/>
    </row>
  </sheetData>
  <mergeCells count="21">
    <mergeCell ref="A1:AM1"/>
    <mergeCell ref="A2:AM2"/>
    <mergeCell ref="D3:Q3"/>
    <mergeCell ref="R3:U3"/>
    <mergeCell ref="AK3:AL3"/>
    <mergeCell ref="V3:V4"/>
    <mergeCell ref="X3:X4"/>
    <mergeCell ref="W3:W4"/>
    <mergeCell ref="Y3:Y4"/>
    <mergeCell ref="Z3:Z4"/>
    <mergeCell ref="A7:Q7"/>
    <mergeCell ref="A8:B8"/>
    <mergeCell ref="U8:Y8"/>
    <mergeCell ref="AK8:AM8"/>
    <mergeCell ref="A3:A4"/>
    <mergeCell ref="B3:B4"/>
    <mergeCell ref="C3:C4"/>
    <mergeCell ref="AA3:AA4"/>
    <mergeCell ref="AJ3:AJ4"/>
    <mergeCell ref="AB3:AI3"/>
    <mergeCell ref="AM3:AM4"/>
  </mergeCells>
  <conditionalFormatting sqref="J5:J6">
    <cfRule type="cellIs" dxfId="7" priority="1" stopIfTrue="1" operator="equal">
      <formula>"ER"</formula>
    </cfRule>
  </conditionalFormatting>
  <conditionalFormatting sqref="M5:N5">
    <cfRule type="cellIs" dxfId="6" priority="2" stopIfTrue="1" operator="equal">
      <formula>"ER"</formula>
    </cfRule>
  </conditionalFormatting>
  <printOptions horizontalCentered="1"/>
  <pageMargins left="0" right="0" top="0.23622047244094499" bottom="0" header="0" footer="0"/>
  <pageSetup paperSize="9" scale="45" fitToHeight="0" orientation="landscape"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85623"/>
    <pageSetUpPr fitToPage="1"/>
  </sheetPr>
  <dimension ref="A1:AF96"/>
  <sheetViews>
    <sheetView zoomScale="70" zoomScaleNormal="70" workbookViewId="0">
      <pane ySplit="3" topLeftCell="A4" activePane="bottomLeft" state="frozen"/>
      <selection pane="bottomLeft" activeCell="A9" sqref="A6:XFD9"/>
    </sheetView>
  </sheetViews>
  <sheetFormatPr defaultColWidth="16.81640625" defaultRowHeight="15" customHeight="1"/>
  <cols>
    <col min="1" max="1" width="7.26953125" customWidth="1"/>
    <col min="2" max="2" width="22.7265625" customWidth="1"/>
    <col min="3" max="3" width="17.7265625" customWidth="1"/>
    <col min="4" max="4" width="18.7265625" customWidth="1"/>
    <col min="5" max="6" width="22.7265625" customWidth="1"/>
    <col min="7" max="7" width="15.7265625" customWidth="1"/>
    <col min="8" max="8" width="24.26953125" customWidth="1"/>
    <col min="9" max="9" width="14.453125" customWidth="1"/>
    <col min="10" max="10" width="51.81640625" customWidth="1"/>
    <col min="11" max="11" width="26.1796875" customWidth="1"/>
    <col min="12" max="12" width="22" customWidth="1"/>
    <col min="13" max="13" width="11.453125" customWidth="1"/>
    <col min="14" max="14" width="10.7265625" customWidth="1"/>
    <col min="15" max="15" width="12.1796875" customWidth="1"/>
    <col min="16" max="32" width="10.7265625" customWidth="1"/>
  </cols>
  <sheetData>
    <row r="1" spans="1:32" ht="20.25" customHeight="1">
      <c r="A1" s="840" t="s">
        <v>567</v>
      </c>
      <c r="B1" s="634"/>
      <c r="C1" s="634"/>
      <c r="D1" s="634"/>
      <c r="E1" s="634"/>
      <c r="F1" s="634"/>
      <c r="G1" s="634"/>
      <c r="H1" s="634"/>
      <c r="I1" s="634"/>
      <c r="J1" s="635"/>
      <c r="K1" s="201"/>
      <c r="L1" s="201"/>
      <c r="M1" s="201"/>
      <c r="N1" s="201"/>
      <c r="O1" s="201"/>
      <c r="P1" s="201"/>
      <c r="Q1" s="201"/>
      <c r="R1" s="201"/>
      <c r="S1" s="201"/>
      <c r="T1" s="201"/>
      <c r="U1" s="201"/>
      <c r="V1" s="201"/>
      <c r="W1" s="201"/>
      <c r="X1" s="201"/>
      <c r="Y1" s="201"/>
      <c r="Z1" s="201"/>
      <c r="AA1" s="201"/>
      <c r="AB1" s="201"/>
      <c r="AC1" s="201"/>
      <c r="AD1" s="201"/>
      <c r="AE1" s="201"/>
      <c r="AF1" s="201"/>
    </row>
    <row r="2" spans="1:32" ht="20.25" customHeight="1">
      <c r="A2" s="841" t="s">
        <v>581</v>
      </c>
      <c r="B2" s="637"/>
      <c r="C2" s="637"/>
      <c r="D2" s="637"/>
      <c r="E2" s="637"/>
      <c r="F2" s="637"/>
      <c r="G2" s="637"/>
      <c r="H2" s="637"/>
      <c r="I2" s="637"/>
      <c r="J2" s="638"/>
      <c r="K2" s="202"/>
      <c r="L2" s="202"/>
      <c r="M2" s="201"/>
      <c r="N2" s="201"/>
      <c r="O2" s="201"/>
      <c r="P2" s="201"/>
      <c r="Q2" s="201"/>
      <c r="R2" s="201"/>
      <c r="S2" s="201"/>
      <c r="T2" s="201"/>
      <c r="U2" s="201"/>
      <c r="V2" s="201"/>
      <c r="W2" s="201"/>
      <c r="X2" s="201"/>
      <c r="Y2" s="201"/>
      <c r="Z2" s="201"/>
      <c r="AA2" s="201"/>
      <c r="AB2" s="201"/>
      <c r="AC2" s="201"/>
      <c r="AD2" s="201"/>
      <c r="AE2" s="201"/>
      <c r="AF2" s="201"/>
    </row>
    <row r="3" spans="1:32" ht="39" customHeight="1">
      <c r="A3" s="203" t="s">
        <v>39</v>
      </c>
      <c r="B3" s="204" t="s">
        <v>40</v>
      </c>
      <c r="C3" s="204" t="s">
        <v>41</v>
      </c>
      <c r="D3" s="205" t="s">
        <v>217</v>
      </c>
      <c r="E3" s="205" t="s">
        <v>308</v>
      </c>
      <c r="F3" s="205" t="s">
        <v>263</v>
      </c>
      <c r="G3" s="205" t="s">
        <v>264</v>
      </c>
      <c r="H3" s="205" t="s">
        <v>309</v>
      </c>
      <c r="I3" s="205" t="s">
        <v>50</v>
      </c>
      <c r="J3" s="206" t="s">
        <v>52</v>
      </c>
      <c r="K3" s="201"/>
      <c r="L3" s="201"/>
      <c r="M3" s="201"/>
      <c r="N3" s="201"/>
      <c r="O3" s="201"/>
      <c r="P3" s="201"/>
      <c r="Q3" s="201"/>
      <c r="R3" s="201"/>
      <c r="S3" s="201"/>
      <c r="T3" s="201"/>
      <c r="U3" s="201"/>
      <c r="V3" s="201"/>
      <c r="W3" s="201"/>
      <c r="X3" s="201"/>
      <c r="Y3" s="201"/>
      <c r="Z3" s="201"/>
      <c r="AA3" s="201"/>
      <c r="AB3" s="201"/>
      <c r="AC3" s="201"/>
      <c r="AD3" s="201"/>
      <c r="AE3" s="201"/>
      <c r="AF3" s="201"/>
    </row>
    <row r="4" spans="1:32" ht="51" customHeight="1">
      <c r="A4" s="107">
        <v>1</v>
      </c>
      <c r="B4" s="125" t="s">
        <v>286</v>
      </c>
      <c r="C4" s="89" t="s">
        <v>287</v>
      </c>
      <c r="D4" s="65">
        <f>E4*1200</f>
        <v>0</v>
      </c>
      <c r="E4" s="87">
        <v>0</v>
      </c>
      <c r="F4" s="65"/>
      <c r="G4" s="90">
        <v>0</v>
      </c>
      <c r="H4" s="207">
        <f>0*750</f>
        <v>0</v>
      </c>
      <c r="I4" s="90">
        <f t="shared" ref="I4:I5" si="0">ROUND((D4+H4)-G4,0)</f>
        <v>0</v>
      </c>
      <c r="J4" s="74" t="s">
        <v>310</v>
      </c>
      <c r="K4" s="185" t="s">
        <v>288</v>
      </c>
      <c r="L4" s="208"/>
      <c r="M4" s="208"/>
      <c r="N4" s="208"/>
      <c r="O4" s="208"/>
      <c r="P4" s="208"/>
      <c r="Q4" s="208"/>
      <c r="R4" s="208"/>
      <c r="S4" s="208"/>
      <c r="T4" s="208"/>
      <c r="U4" s="208"/>
      <c r="V4" s="208"/>
      <c r="W4" s="208"/>
      <c r="X4" s="208"/>
      <c r="Y4" s="208"/>
      <c r="Z4" s="208"/>
      <c r="AA4" s="208"/>
      <c r="AB4" s="208"/>
      <c r="AC4" s="208"/>
      <c r="AD4" s="208"/>
      <c r="AE4" s="208"/>
      <c r="AF4" s="208"/>
    </row>
    <row r="5" spans="1:32" ht="51" customHeight="1">
      <c r="A5" s="107">
        <v>2</v>
      </c>
      <c r="B5" s="125" t="s">
        <v>311</v>
      </c>
      <c r="C5" s="89" t="s">
        <v>293</v>
      </c>
      <c r="D5" s="65">
        <f>E5*1050</f>
        <v>0</v>
      </c>
      <c r="E5" s="87">
        <v>0</v>
      </c>
      <c r="F5" s="65"/>
      <c r="G5" s="90">
        <v>0</v>
      </c>
      <c r="H5" s="207"/>
      <c r="I5" s="90">
        <f t="shared" si="0"/>
        <v>0</v>
      </c>
      <c r="J5" s="74" t="s">
        <v>312</v>
      </c>
      <c r="K5" s="185" t="s">
        <v>294</v>
      </c>
      <c r="L5" s="208"/>
      <c r="M5" s="208"/>
      <c r="N5" s="208"/>
      <c r="O5" s="208"/>
      <c r="P5" s="208"/>
      <c r="Q5" s="208"/>
      <c r="R5" s="208"/>
      <c r="S5" s="208"/>
      <c r="T5" s="208"/>
      <c r="U5" s="208"/>
      <c r="V5" s="208"/>
      <c r="W5" s="208"/>
      <c r="X5" s="208"/>
      <c r="Y5" s="208"/>
      <c r="Z5" s="208"/>
      <c r="AA5" s="208"/>
      <c r="AB5" s="208"/>
      <c r="AC5" s="208"/>
      <c r="AD5" s="208"/>
      <c r="AE5" s="208"/>
      <c r="AF5" s="208"/>
    </row>
    <row r="6" spans="1:32" ht="51" customHeight="1">
      <c r="A6" s="841" t="s">
        <v>32</v>
      </c>
      <c r="B6" s="637"/>
      <c r="C6" s="628"/>
      <c r="D6" s="209">
        <f>SUM(D4:D5)</f>
        <v>0</v>
      </c>
      <c r="E6" s="209">
        <f>SUM(E4:E5)</f>
        <v>0</v>
      </c>
      <c r="F6" s="209">
        <f>SUM(F4:F5)</f>
        <v>0</v>
      </c>
      <c r="G6" s="209">
        <f>SUM(G4:G5)</f>
        <v>0</v>
      </c>
      <c r="H6" s="209">
        <f>SUM(H4:H5)</f>
        <v>0</v>
      </c>
      <c r="I6" s="209">
        <f>SUM(I4:I5)</f>
        <v>0</v>
      </c>
      <c r="J6" s="210"/>
      <c r="K6" s="211"/>
      <c r="L6" s="211"/>
      <c r="M6" s="211"/>
      <c r="N6" s="211"/>
      <c r="O6" s="211"/>
      <c r="P6" s="211"/>
      <c r="Q6" s="211"/>
      <c r="R6" s="211"/>
      <c r="S6" s="211"/>
      <c r="T6" s="211"/>
      <c r="U6" s="211"/>
      <c r="V6" s="211"/>
      <c r="W6" s="211"/>
      <c r="X6" s="211"/>
      <c r="Y6" s="211"/>
      <c r="Z6" s="211"/>
      <c r="AA6" s="211"/>
      <c r="AB6" s="211"/>
      <c r="AC6" s="211"/>
      <c r="AD6" s="211"/>
      <c r="AE6" s="211"/>
      <c r="AF6" s="211"/>
    </row>
    <row r="7" spans="1:32" ht="90.75" customHeight="1">
      <c r="A7" s="700" t="s">
        <v>313</v>
      </c>
      <c r="B7" s="640"/>
      <c r="C7" s="640"/>
      <c r="D7" s="640"/>
      <c r="E7" s="640"/>
      <c r="F7" s="640"/>
      <c r="G7" s="640"/>
      <c r="H7" s="640"/>
      <c r="I7" s="640"/>
      <c r="J7" s="772"/>
      <c r="K7" s="212"/>
      <c r="L7" s="212"/>
      <c r="M7" s="212"/>
      <c r="N7" s="212"/>
      <c r="O7" s="212"/>
      <c r="P7" s="212"/>
      <c r="Q7" s="212"/>
      <c r="R7" s="212"/>
      <c r="S7" s="212"/>
      <c r="T7" s="212"/>
      <c r="U7" s="212"/>
      <c r="V7" s="212"/>
      <c r="W7" s="212"/>
      <c r="X7" s="212"/>
      <c r="Y7" s="212"/>
      <c r="Z7" s="212"/>
      <c r="AA7" s="212"/>
      <c r="AB7" s="212"/>
      <c r="AC7" s="212"/>
      <c r="AD7" s="212"/>
      <c r="AE7" s="212"/>
      <c r="AF7" s="212"/>
    </row>
    <row r="8" spans="1:32" ht="20.25" customHeight="1">
      <c r="A8" s="201"/>
      <c r="B8" s="201"/>
      <c r="C8" s="213"/>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c r="AE8" s="201"/>
      <c r="AF8" s="201"/>
    </row>
    <row r="9" spans="1:32" ht="20.25" customHeight="1">
      <c r="A9" s="201"/>
      <c r="B9" s="201"/>
      <c r="C9" s="201"/>
      <c r="D9" s="201"/>
      <c r="E9" s="201"/>
      <c r="F9" s="201"/>
      <c r="G9" s="201"/>
      <c r="H9" s="201"/>
      <c r="I9" s="201"/>
      <c r="J9" s="201"/>
      <c r="K9" s="201"/>
      <c r="L9" s="201"/>
      <c r="M9" s="201"/>
      <c r="N9" s="201"/>
      <c r="O9" s="201"/>
      <c r="P9" s="201"/>
      <c r="Q9" s="201"/>
      <c r="R9" s="201"/>
      <c r="S9" s="201"/>
      <c r="T9" s="201"/>
      <c r="U9" s="201"/>
      <c r="V9" s="201"/>
      <c r="W9" s="201"/>
      <c r="X9" s="201"/>
      <c r="Y9" s="201"/>
      <c r="Z9" s="201"/>
      <c r="AA9" s="201"/>
      <c r="AB9" s="201"/>
      <c r="AC9" s="201"/>
      <c r="AD9" s="201"/>
      <c r="AE9" s="201"/>
      <c r="AF9" s="201"/>
    </row>
    <row r="10" spans="1:32" ht="20.25" customHeight="1">
      <c r="A10" s="201"/>
      <c r="B10" s="201"/>
      <c r="C10" s="213"/>
      <c r="D10" s="201"/>
      <c r="E10" s="201"/>
      <c r="F10" s="201"/>
      <c r="G10" s="201"/>
      <c r="H10" s="201"/>
      <c r="I10" s="201"/>
      <c r="J10" s="201"/>
      <c r="K10" s="201"/>
      <c r="L10" s="201"/>
      <c r="M10" s="201"/>
      <c r="N10" s="201"/>
      <c r="O10" s="201"/>
      <c r="P10" s="201"/>
      <c r="Q10" s="201"/>
      <c r="R10" s="201"/>
      <c r="S10" s="201"/>
      <c r="T10" s="201"/>
      <c r="U10" s="201"/>
      <c r="V10" s="201"/>
      <c r="W10" s="201"/>
      <c r="X10" s="201"/>
      <c r="Y10" s="201"/>
      <c r="Z10" s="201"/>
      <c r="AA10" s="201"/>
      <c r="AB10" s="201"/>
      <c r="AC10" s="201"/>
      <c r="AD10" s="201"/>
      <c r="AE10" s="201"/>
      <c r="AF10" s="201"/>
    </row>
    <row r="11" spans="1:32" ht="20.25" customHeight="1">
      <c r="A11" s="201"/>
      <c r="B11" s="201"/>
      <c r="C11" s="213"/>
      <c r="D11" s="201"/>
      <c r="E11" s="201"/>
      <c r="F11" s="201"/>
      <c r="G11" s="201"/>
      <c r="H11" s="201"/>
      <c r="I11" s="201"/>
      <c r="J11" s="201"/>
      <c r="K11" s="201"/>
      <c r="L11" s="201"/>
      <c r="M11" s="201"/>
      <c r="N11" s="201"/>
      <c r="O11" s="201"/>
      <c r="P11" s="201"/>
      <c r="Q11" s="201"/>
      <c r="R11" s="201"/>
      <c r="S11" s="201"/>
      <c r="T11" s="201"/>
      <c r="U11" s="201"/>
      <c r="V11" s="201"/>
      <c r="W11" s="201"/>
      <c r="X11" s="201"/>
      <c r="Y11" s="201"/>
      <c r="Z11" s="201"/>
      <c r="AA11" s="201"/>
      <c r="AB11" s="201"/>
      <c r="AC11" s="201"/>
      <c r="AD11" s="201"/>
      <c r="AE11" s="201"/>
      <c r="AF11" s="201"/>
    </row>
    <row r="12" spans="1:32" ht="20.25" customHeight="1">
      <c r="A12" s="201"/>
      <c r="B12" s="201"/>
      <c r="C12" s="213"/>
      <c r="D12" s="201"/>
      <c r="E12" s="201"/>
      <c r="F12" s="201"/>
      <c r="G12" s="201"/>
      <c r="H12" s="201"/>
      <c r="I12" s="201"/>
      <c r="J12" s="201"/>
      <c r="K12" s="201"/>
      <c r="L12" s="201"/>
      <c r="M12" s="201"/>
      <c r="N12" s="201"/>
      <c r="O12" s="201"/>
      <c r="P12" s="201"/>
      <c r="Q12" s="201"/>
      <c r="R12" s="201"/>
      <c r="S12" s="201"/>
      <c r="T12" s="201"/>
      <c r="U12" s="201"/>
      <c r="V12" s="201"/>
      <c r="W12" s="201"/>
      <c r="X12" s="201"/>
      <c r="Y12" s="201"/>
      <c r="Z12" s="201"/>
      <c r="AA12" s="201"/>
      <c r="AB12" s="201"/>
      <c r="AC12" s="201"/>
      <c r="AD12" s="201"/>
      <c r="AE12" s="201"/>
      <c r="AF12" s="201"/>
    </row>
    <row r="13" spans="1:32" ht="20.25" customHeight="1">
      <c r="A13" s="201"/>
      <c r="B13" s="201"/>
      <c r="C13" s="213"/>
      <c r="D13" s="201"/>
      <c r="E13" s="201"/>
      <c r="F13" s="201"/>
      <c r="G13" s="201"/>
      <c r="H13" s="201"/>
      <c r="I13" s="201"/>
      <c r="J13" s="201"/>
      <c r="K13" s="201"/>
      <c r="L13" s="201"/>
      <c r="M13" s="201"/>
      <c r="N13" s="201"/>
      <c r="O13" s="201"/>
      <c r="P13" s="201"/>
      <c r="Q13" s="201"/>
      <c r="R13" s="201"/>
      <c r="S13" s="201"/>
      <c r="T13" s="201"/>
      <c r="U13" s="201"/>
      <c r="V13" s="201"/>
      <c r="W13" s="201"/>
      <c r="X13" s="201"/>
      <c r="Y13" s="201"/>
      <c r="Z13" s="201"/>
      <c r="AA13" s="201"/>
      <c r="AB13" s="201"/>
      <c r="AC13" s="201"/>
      <c r="AD13" s="201"/>
      <c r="AE13" s="201"/>
      <c r="AF13" s="201"/>
    </row>
    <row r="14" spans="1:32" ht="20.25" customHeight="1">
      <c r="A14" s="201"/>
      <c r="B14" s="201"/>
      <c r="C14" s="213"/>
      <c r="D14" s="201"/>
      <c r="E14" s="201"/>
      <c r="F14" s="201"/>
      <c r="G14" s="201"/>
      <c r="H14" s="201"/>
      <c r="I14" s="201"/>
      <c r="J14" s="201"/>
      <c r="K14" s="201"/>
      <c r="L14" s="201"/>
      <c r="M14" s="201"/>
      <c r="N14" s="201"/>
      <c r="O14" s="201"/>
      <c r="P14" s="201"/>
      <c r="Q14" s="201"/>
      <c r="R14" s="201"/>
      <c r="S14" s="201"/>
      <c r="T14" s="201"/>
      <c r="U14" s="201"/>
      <c r="V14" s="201"/>
      <c r="W14" s="201"/>
      <c r="X14" s="201"/>
      <c r="Y14" s="201"/>
      <c r="Z14" s="201"/>
      <c r="AA14" s="201"/>
      <c r="AB14" s="201"/>
      <c r="AC14" s="201"/>
      <c r="AD14" s="201"/>
      <c r="AE14" s="201"/>
      <c r="AF14" s="201"/>
    </row>
    <row r="15" spans="1:32" ht="20.25" customHeight="1">
      <c r="A15" s="201"/>
      <c r="B15" s="201"/>
      <c r="C15" s="213"/>
      <c r="D15" s="201"/>
      <c r="E15" s="201"/>
      <c r="F15" s="201"/>
      <c r="G15" s="201"/>
      <c r="H15" s="201"/>
      <c r="I15" s="201"/>
      <c r="J15" s="201"/>
      <c r="K15" s="201"/>
      <c r="L15" s="201"/>
      <c r="M15" s="201"/>
      <c r="N15" s="201"/>
      <c r="O15" s="201"/>
      <c r="P15" s="201"/>
      <c r="Q15" s="201"/>
      <c r="R15" s="201"/>
      <c r="S15" s="201"/>
      <c r="T15" s="201"/>
      <c r="U15" s="201"/>
      <c r="V15" s="201"/>
      <c r="W15" s="201"/>
      <c r="X15" s="201"/>
      <c r="Y15" s="201"/>
      <c r="Z15" s="201"/>
      <c r="AA15" s="201"/>
      <c r="AB15" s="201"/>
      <c r="AC15" s="201"/>
      <c r="AD15" s="201"/>
      <c r="AE15" s="201"/>
      <c r="AF15" s="201"/>
    </row>
    <row r="16" spans="1:32" ht="20.25" customHeight="1">
      <c r="A16" s="201"/>
      <c r="B16" s="201"/>
      <c r="C16" s="213"/>
      <c r="D16" s="201"/>
      <c r="E16" s="201"/>
      <c r="F16" s="201"/>
      <c r="G16" s="201"/>
      <c r="H16" s="201"/>
      <c r="I16" s="201"/>
      <c r="J16" s="201"/>
      <c r="K16" s="201"/>
      <c r="L16" s="201"/>
      <c r="M16" s="201"/>
      <c r="N16" s="201"/>
      <c r="O16" s="201"/>
      <c r="P16" s="201"/>
      <c r="Q16" s="201"/>
      <c r="R16" s="201"/>
      <c r="S16" s="201"/>
      <c r="T16" s="201"/>
      <c r="U16" s="201"/>
      <c r="V16" s="201"/>
      <c r="W16" s="201"/>
      <c r="X16" s="201"/>
      <c r="Y16" s="201"/>
      <c r="Z16" s="201"/>
      <c r="AA16" s="201"/>
      <c r="AB16" s="201"/>
      <c r="AC16" s="201"/>
      <c r="AD16" s="201"/>
      <c r="AE16" s="201"/>
      <c r="AF16" s="201"/>
    </row>
    <row r="17" spans="1:32" ht="20.25" customHeight="1">
      <c r="A17" s="201"/>
      <c r="B17" s="201"/>
      <c r="C17" s="213"/>
      <c r="D17" s="201"/>
      <c r="E17" s="201"/>
      <c r="F17" s="201"/>
      <c r="G17" s="201"/>
      <c r="H17" s="201"/>
      <c r="I17" s="201"/>
      <c r="J17" s="201"/>
      <c r="K17" s="201"/>
      <c r="L17" s="201"/>
      <c r="M17" s="201"/>
      <c r="N17" s="201"/>
      <c r="O17" s="201"/>
      <c r="P17" s="201"/>
      <c r="Q17" s="201"/>
      <c r="R17" s="201"/>
      <c r="S17" s="201"/>
      <c r="T17" s="201"/>
      <c r="U17" s="201"/>
      <c r="V17" s="201"/>
      <c r="W17" s="201"/>
      <c r="X17" s="201"/>
      <c r="Y17" s="201"/>
      <c r="Z17" s="201"/>
      <c r="AA17" s="201"/>
      <c r="AB17" s="201"/>
      <c r="AC17" s="201"/>
      <c r="AD17" s="201"/>
      <c r="AE17" s="201"/>
      <c r="AF17" s="201"/>
    </row>
    <row r="18" spans="1:32" ht="20.25" customHeight="1">
      <c r="A18" s="201"/>
      <c r="B18" s="201"/>
      <c r="C18" s="213"/>
      <c r="D18" s="201"/>
      <c r="E18" s="201"/>
      <c r="F18" s="201"/>
      <c r="G18" s="201"/>
      <c r="H18" s="201"/>
      <c r="I18" s="201"/>
      <c r="J18" s="201"/>
      <c r="K18" s="201"/>
      <c r="L18" s="201"/>
      <c r="M18" s="201"/>
      <c r="N18" s="201"/>
      <c r="O18" s="201"/>
      <c r="P18" s="201"/>
      <c r="Q18" s="201"/>
      <c r="R18" s="201"/>
      <c r="S18" s="201"/>
      <c r="T18" s="201"/>
      <c r="U18" s="201"/>
      <c r="V18" s="201"/>
      <c r="W18" s="201"/>
      <c r="X18" s="201"/>
      <c r="Y18" s="201"/>
      <c r="Z18" s="201"/>
      <c r="AA18" s="201"/>
      <c r="AB18" s="201"/>
      <c r="AC18" s="201"/>
      <c r="AD18" s="201"/>
      <c r="AE18" s="201"/>
      <c r="AF18" s="201"/>
    </row>
    <row r="19" spans="1:32" ht="20.25" customHeight="1">
      <c r="A19" s="201"/>
      <c r="B19" s="201"/>
      <c r="C19" s="213"/>
      <c r="D19" s="201"/>
      <c r="E19" s="201"/>
      <c r="F19" s="201"/>
      <c r="G19" s="201"/>
      <c r="H19" s="201"/>
      <c r="I19" s="201"/>
      <c r="J19" s="201"/>
      <c r="K19" s="201"/>
      <c r="L19" s="201"/>
      <c r="M19" s="201"/>
      <c r="N19" s="201"/>
      <c r="O19" s="201"/>
      <c r="P19" s="201"/>
      <c r="Q19" s="201"/>
      <c r="R19" s="201"/>
      <c r="S19" s="201"/>
      <c r="T19" s="201"/>
      <c r="U19" s="201"/>
      <c r="V19" s="201"/>
      <c r="W19" s="201"/>
      <c r="X19" s="201"/>
      <c r="Y19" s="201"/>
      <c r="Z19" s="201"/>
      <c r="AA19" s="201"/>
      <c r="AB19" s="201"/>
      <c r="AC19" s="201"/>
      <c r="AD19" s="201"/>
      <c r="AE19" s="201"/>
      <c r="AF19" s="201"/>
    </row>
    <row r="20" spans="1:32" ht="20.25" customHeight="1">
      <c r="A20" s="201"/>
      <c r="B20" s="201"/>
      <c r="C20" s="213"/>
      <c r="D20" s="201"/>
      <c r="E20" s="201"/>
      <c r="F20" s="201"/>
      <c r="G20" s="201"/>
      <c r="H20" s="201"/>
      <c r="I20" s="201"/>
      <c r="J20" s="201"/>
      <c r="K20" s="201"/>
      <c r="L20" s="201"/>
      <c r="M20" s="201"/>
      <c r="N20" s="201"/>
      <c r="O20" s="201"/>
      <c r="P20" s="201"/>
      <c r="Q20" s="201"/>
      <c r="R20" s="201"/>
      <c r="S20" s="201"/>
      <c r="T20" s="201"/>
      <c r="U20" s="201"/>
      <c r="V20" s="201"/>
      <c r="W20" s="201"/>
      <c r="X20" s="201"/>
      <c r="Y20" s="201"/>
      <c r="Z20" s="201"/>
      <c r="AA20" s="201"/>
      <c r="AB20" s="201"/>
      <c r="AC20" s="201"/>
      <c r="AD20" s="201"/>
      <c r="AE20" s="201"/>
      <c r="AF20" s="201"/>
    </row>
    <row r="21" spans="1:32" ht="20.25" customHeight="1">
      <c r="A21" s="201"/>
      <c r="B21" s="201"/>
      <c r="C21" s="213"/>
      <c r="D21" s="201"/>
      <c r="E21" s="201"/>
      <c r="F21" s="201"/>
      <c r="G21" s="201"/>
      <c r="H21" s="201"/>
      <c r="I21" s="201"/>
      <c r="J21" s="201"/>
      <c r="K21" s="201"/>
      <c r="L21" s="201"/>
      <c r="M21" s="201"/>
      <c r="N21" s="201"/>
      <c r="O21" s="201"/>
      <c r="P21" s="201"/>
      <c r="Q21" s="201"/>
      <c r="R21" s="201"/>
      <c r="S21" s="201"/>
      <c r="T21" s="201"/>
      <c r="U21" s="201"/>
      <c r="V21" s="201"/>
      <c r="W21" s="201"/>
      <c r="X21" s="201"/>
      <c r="Y21" s="201"/>
      <c r="Z21" s="201"/>
      <c r="AA21" s="201"/>
      <c r="AB21" s="201"/>
      <c r="AC21" s="201"/>
      <c r="AD21" s="201"/>
      <c r="AE21" s="201"/>
      <c r="AF21" s="201"/>
    </row>
    <row r="22" spans="1:32" ht="20.25" customHeight="1">
      <c r="A22" s="201"/>
      <c r="B22" s="201"/>
      <c r="C22" s="213"/>
      <c r="D22" s="201"/>
      <c r="E22" s="201"/>
      <c r="F22" s="201"/>
      <c r="G22" s="201"/>
      <c r="H22" s="201"/>
      <c r="I22" s="201"/>
      <c r="J22" s="201"/>
      <c r="K22" s="201"/>
      <c r="L22" s="201"/>
      <c r="M22" s="201"/>
      <c r="N22" s="201"/>
      <c r="O22" s="201"/>
      <c r="P22" s="201"/>
      <c r="Q22" s="201"/>
      <c r="R22" s="201"/>
      <c r="S22" s="201"/>
      <c r="T22" s="201"/>
      <c r="U22" s="201"/>
      <c r="V22" s="201"/>
      <c r="W22" s="201"/>
      <c r="X22" s="201"/>
      <c r="Y22" s="201"/>
      <c r="Z22" s="201"/>
      <c r="AA22" s="201"/>
      <c r="AB22" s="201"/>
      <c r="AC22" s="201"/>
      <c r="AD22" s="201"/>
      <c r="AE22" s="201"/>
      <c r="AF22" s="201"/>
    </row>
    <row r="23" spans="1:32" ht="20.25" customHeight="1">
      <c r="A23" s="201"/>
      <c r="B23" s="201"/>
      <c r="C23" s="213"/>
      <c r="D23" s="201"/>
      <c r="E23" s="201"/>
      <c r="F23" s="201"/>
      <c r="G23" s="201"/>
      <c r="H23" s="201"/>
      <c r="I23" s="201"/>
      <c r="J23" s="201"/>
      <c r="K23" s="201"/>
      <c r="L23" s="201"/>
      <c r="M23" s="201"/>
      <c r="N23" s="201"/>
      <c r="O23" s="201"/>
      <c r="P23" s="201"/>
      <c r="Q23" s="201"/>
      <c r="R23" s="201"/>
      <c r="S23" s="201"/>
      <c r="T23" s="201"/>
      <c r="U23" s="201"/>
      <c r="V23" s="201"/>
      <c r="W23" s="201"/>
      <c r="X23" s="201"/>
      <c r="Y23" s="201"/>
      <c r="Z23" s="201"/>
      <c r="AA23" s="201"/>
      <c r="AB23" s="201"/>
      <c r="AC23" s="201"/>
      <c r="AD23" s="201"/>
      <c r="AE23" s="201"/>
      <c r="AF23" s="201"/>
    </row>
    <row r="24" spans="1:32" ht="20.25" customHeight="1">
      <c r="A24" s="201"/>
      <c r="B24" s="201"/>
      <c r="C24" s="213"/>
      <c r="D24" s="201"/>
      <c r="E24" s="201"/>
      <c r="F24" s="201"/>
      <c r="G24" s="201"/>
      <c r="H24" s="201"/>
      <c r="I24" s="201"/>
      <c r="J24" s="201"/>
      <c r="K24" s="201"/>
      <c r="L24" s="201"/>
      <c r="M24" s="201"/>
      <c r="N24" s="201"/>
      <c r="O24" s="201"/>
      <c r="P24" s="201"/>
      <c r="Q24" s="201"/>
      <c r="R24" s="201"/>
      <c r="S24" s="201"/>
      <c r="T24" s="201"/>
      <c r="U24" s="201"/>
      <c r="V24" s="201"/>
      <c r="W24" s="201"/>
      <c r="X24" s="201"/>
      <c r="Y24" s="201"/>
      <c r="Z24" s="201"/>
      <c r="AA24" s="201"/>
      <c r="AB24" s="201"/>
      <c r="AC24" s="201"/>
      <c r="AD24" s="201"/>
      <c r="AE24" s="201"/>
      <c r="AF24" s="201"/>
    </row>
    <row r="25" spans="1:32" ht="20.25" customHeight="1">
      <c r="A25" s="201"/>
      <c r="B25" s="201"/>
      <c r="C25" s="213"/>
      <c r="D25" s="201"/>
      <c r="E25" s="201"/>
      <c r="F25" s="201"/>
      <c r="G25" s="201"/>
      <c r="H25" s="201"/>
      <c r="I25" s="201"/>
      <c r="J25" s="201"/>
      <c r="K25" s="201"/>
      <c r="L25" s="201"/>
      <c r="M25" s="201"/>
      <c r="N25" s="201"/>
      <c r="O25" s="201"/>
      <c r="P25" s="201"/>
      <c r="Q25" s="201"/>
      <c r="R25" s="201"/>
      <c r="S25" s="201"/>
      <c r="T25" s="201"/>
      <c r="U25" s="201"/>
      <c r="V25" s="201"/>
      <c r="W25" s="201"/>
      <c r="X25" s="201"/>
      <c r="Y25" s="201"/>
      <c r="Z25" s="201"/>
      <c r="AA25" s="201"/>
      <c r="AB25" s="201"/>
      <c r="AC25" s="201"/>
      <c r="AD25" s="201"/>
      <c r="AE25" s="201"/>
      <c r="AF25" s="201"/>
    </row>
    <row r="26" spans="1:32" ht="20.25" customHeight="1">
      <c r="A26" s="201"/>
      <c r="B26" s="201"/>
      <c r="C26" s="213"/>
      <c r="D26" s="201"/>
      <c r="E26" s="201"/>
      <c r="F26" s="201"/>
      <c r="G26" s="201"/>
      <c r="H26" s="201"/>
      <c r="I26" s="201"/>
      <c r="J26" s="201"/>
      <c r="K26" s="201"/>
      <c r="L26" s="201"/>
      <c r="M26" s="201"/>
      <c r="N26" s="201"/>
      <c r="O26" s="201"/>
      <c r="P26" s="201"/>
      <c r="Q26" s="201"/>
      <c r="R26" s="201"/>
      <c r="S26" s="201"/>
      <c r="T26" s="201"/>
      <c r="U26" s="201"/>
      <c r="V26" s="201"/>
      <c r="W26" s="201"/>
      <c r="X26" s="201"/>
      <c r="Y26" s="201"/>
      <c r="Z26" s="201"/>
      <c r="AA26" s="201"/>
      <c r="AB26" s="201"/>
      <c r="AC26" s="201"/>
      <c r="AD26" s="201"/>
      <c r="AE26" s="201"/>
      <c r="AF26" s="201"/>
    </row>
    <row r="27" spans="1:32" ht="20.25" customHeight="1">
      <c r="A27" s="201"/>
      <c r="B27" s="201"/>
      <c r="C27" s="213"/>
      <c r="D27" s="201"/>
      <c r="E27" s="201"/>
      <c r="F27" s="201"/>
      <c r="G27" s="201"/>
      <c r="H27" s="201"/>
      <c r="I27" s="201"/>
      <c r="J27" s="201"/>
      <c r="K27" s="201"/>
      <c r="L27" s="201"/>
      <c r="M27" s="201"/>
      <c r="N27" s="201"/>
      <c r="O27" s="201"/>
      <c r="P27" s="201"/>
      <c r="Q27" s="201"/>
      <c r="R27" s="201"/>
      <c r="S27" s="201"/>
      <c r="T27" s="201"/>
      <c r="U27" s="201"/>
      <c r="V27" s="201"/>
      <c r="W27" s="201"/>
      <c r="X27" s="201"/>
      <c r="Y27" s="201"/>
      <c r="Z27" s="201"/>
      <c r="AA27" s="201"/>
      <c r="AB27" s="201"/>
      <c r="AC27" s="201"/>
      <c r="AD27" s="201"/>
      <c r="AE27" s="201"/>
      <c r="AF27" s="201"/>
    </row>
    <row r="28" spans="1:32" ht="20.25" customHeight="1">
      <c r="A28" s="201"/>
      <c r="B28" s="201"/>
      <c r="C28" s="213"/>
      <c r="D28" s="201"/>
      <c r="E28" s="201"/>
      <c r="F28" s="201"/>
      <c r="G28" s="201"/>
      <c r="H28" s="201"/>
      <c r="I28" s="201"/>
      <c r="J28" s="201"/>
      <c r="K28" s="201"/>
      <c r="L28" s="201"/>
      <c r="M28" s="201"/>
      <c r="N28" s="201"/>
      <c r="O28" s="201"/>
      <c r="P28" s="201"/>
      <c r="Q28" s="201"/>
      <c r="R28" s="201"/>
      <c r="S28" s="201"/>
      <c r="T28" s="201"/>
      <c r="U28" s="201"/>
      <c r="V28" s="201"/>
      <c r="W28" s="201"/>
      <c r="X28" s="201"/>
      <c r="Y28" s="201"/>
      <c r="Z28" s="201"/>
      <c r="AA28" s="201"/>
      <c r="AB28" s="201"/>
      <c r="AC28" s="201"/>
      <c r="AD28" s="201"/>
      <c r="AE28" s="201"/>
      <c r="AF28" s="201"/>
    </row>
    <row r="29" spans="1:32" ht="20.25" customHeight="1">
      <c r="A29" s="201"/>
      <c r="B29" s="201"/>
      <c r="C29" s="213"/>
      <c r="D29" s="201"/>
      <c r="E29" s="201"/>
      <c r="F29" s="201"/>
      <c r="G29" s="201"/>
      <c r="H29" s="201"/>
      <c r="I29" s="201"/>
      <c r="J29" s="201"/>
      <c r="K29" s="201"/>
      <c r="L29" s="201"/>
      <c r="M29" s="201"/>
      <c r="N29" s="201"/>
      <c r="O29" s="201"/>
      <c r="P29" s="201"/>
      <c r="Q29" s="201"/>
      <c r="R29" s="201"/>
      <c r="S29" s="201"/>
      <c r="T29" s="201"/>
      <c r="U29" s="201"/>
      <c r="V29" s="201"/>
      <c r="W29" s="201"/>
      <c r="X29" s="201"/>
      <c r="Y29" s="201"/>
      <c r="Z29" s="201"/>
      <c r="AA29" s="201"/>
      <c r="AB29" s="201"/>
      <c r="AC29" s="201"/>
      <c r="AD29" s="201"/>
      <c r="AE29" s="201"/>
      <c r="AF29" s="201"/>
    </row>
    <row r="30" spans="1:32" ht="20.25" customHeight="1">
      <c r="A30" s="201"/>
      <c r="B30" s="201"/>
      <c r="C30" s="213"/>
      <c r="D30" s="201"/>
      <c r="E30" s="201"/>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c r="AE30" s="201"/>
      <c r="AF30" s="201"/>
    </row>
    <row r="31" spans="1:32" ht="20.25" customHeight="1">
      <c r="A31" s="201"/>
      <c r="B31" s="201"/>
      <c r="C31" s="213"/>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row>
    <row r="32" spans="1:32" ht="20.25" customHeight="1">
      <c r="A32" s="201"/>
      <c r="B32" s="201"/>
      <c r="C32" s="213"/>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c r="AE32" s="201"/>
      <c r="AF32" s="201"/>
    </row>
    <row r="33" spans="1:32" ht="20.25" customHeight="1">
      <c r="A33" s="201"/>
      <c r="B33" s="201"/>
      <c r="C33" s="213"/>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c r="AE33" s="201"/>
      <c r="AF33" s="201"/>
    </row>
    <row r="34" spans="1:32" ht="20.25" customHeight="1">
      <c r="A34" s="201"/>
      <c r="B34" s="201"/>
      <c r="C34" s="213"/>
      <c r="D34" s="201"/>
      <c r="E34" s="201"/>
      <c r="F34" s="201"/>
      <c r="G34" s="201"/>
      <c r="H34" s="201"/>
      <c r="I34" s="201"/>
      <c r="J34" s="201"/>
      <c r="K34" s="201"/>
      <c r="L34" s="201"/>
      <c r="M34" s="201"/>
      <c r="N34" s="201"/>
      <c r="O34" s="201"/>
      <c r="P34" s="201"/>
      <c r="Q34" s="201"/>
      <c r="R34" s="201"/>
      <c r="S34" s="201"/>
      <c r="T34" s="201"/>
      <c r="U34" s="201"/>
      <c r="V34" s="201"/>
      <c r="W34" s="201"/>
      <c r="X34" s="201"/>
      <c r="Y34" s="201"/>
      <c r="Z34" s="201"/>
      <c r="AA34" s="201"/>
      <c r="AB34" s="201"/>
      <c r="AC34" s="201"/>
      <c r="AD34" s="201"/>
      <c r="AE34" s="201"/>
      <c r="AF34" s="201"/>
    </row>
    <row r="35" spans="1:32" ht="20.25" customHeight="1">
      <c r="A35" s="201"/>
      <c r="B35" s="201"/>
      <c r="C35" s="213"/>
      <c r="D35" s="201"/>
      <c r="E35" s="201"/>
      <c r="F35" s="201"/>
      <c r="G35" s="201"/>
      <c r="H35" s="201"/>
      <c r="I35" s="201"/>
      <c r="J35" s="201"/>
      <c r="K35" s="201"/>
      <c r="L35" s="201"/>
      <c r="M35" s="201"/>
      <c r="N35" s="201"/>
      <c r="O35" s="201"/>
      <c r="P35" s="201"/>
      <c r="Q35" s="201"/>
      <c r="R35" s="201"/>
      <c r="S35" s="201"/>
      <c r="T35" s="201"/>
      <c r="U35" s="201"/>
      <c r="V35" s="201"/>
      <c r="W35" s="201"/>
      <c r="X35" s="201"/>
      <c r="Y35" s="201"/>
      <c r="Z35" s="201"/>
      <c r="AA35" s="201"/>
      <c r="AB35" s="201"/>
      <c r="AC35" s="201"/>
      <c r="AD35" s="201"/>
      <c r="AE35" s="201"/>
      <c r="AF35" s="201"/>
    </row>
    <row r="36" spans="1:32" ht="20.25" customHeight="1">
      <c r="A36" s="201"/>
      <c r="B36" s="201"/>
      <c r="C36" s="213"/>
      <c r="D36" s="201"/>
      <c r="E36" s="201"/>
      <c r="F36" s="201"/>
      <c r="G36" s="201"/>
      <c r="H36" s="201"/>
      <c r="I36" s="201"/>
      <c r="J36" s="201"/>
      <c r="K36" s="201"/>
      <c r="L36" s="201"/>
      <c r="M36" s="201"/>
      <c r="N36" s="201"/>
      <c r="O36" s="201"/>
      <c r="P36" s="201"/>
      <c r="Q36" s="201"/>
      <c r="R36" s="201"/>
      <c r="S36" s="201"/>
      <c r="T36" s="201"/>
      <c r="U36" s="201"/>
      <c r="V36" s="201"/>
      <c r="W36" s="201"/>
      <c r="X36" s="201"/>
      <c r="Y36" s="201"/>
      <c r="Z36" s="201"/>
      <c r="AA36" s="201"/>
      <c r="AB36" s="201"/>
      <c r="AC36" s="201"/>
      <c r="AD36" s="201"/>
      <c r="AE36" s="201"/>
      <c r="AF36" s="201"/>
    </row>
    <row r="37" spans="1:32" ht="20.25" customHeight="1">
      <c r="A37" s="201"/>
      <c r="B37" s="201"/>
      <c r="C37" s="213"/>
      <c r="D37" s="201"/>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1"/>
      <c r="AF37" s="201"/>
    </row>
    <row r="38" spans="1:32" ht="20.25" customHeight="1">
      <c r="A38" s="201"/>
      <c r="B38" s="201"/>
      <c r="C38" s="213"/>
      <c r="D38" s="201"/>
      <c r="E38" s="201"/>
      <c r="F38" s="201"/>
      <c r="G38" s="201"/>
      <c r="H38" s="201"/>
      <c r="I38" s="201"/>
      <c r="J38" s="201"/>
      <c r="K38" s="201"/>
      <c r="L38" s="201"/>
      <c r="M38" s="201"/>
      <c r="N38" s="201"/>
      <c r="O38" s="201"/>
      <c r="P38" s="201"/>
      <c r="Q38" s="201"/>
      <c r="R38" s="201"/>
      <c r="S38" s="201"/>
      <c r="T38" s="201"/>
      <c r="U38" s="201"/>
      <c r="V38" s="201"/>
      <c r="W38" s="201"/>
      <c r="X38" s="201"/>
      <c r="Y38" s="201"/>
      <c r="Z38" s="201"/>
      <c r="AA38" s="201"/>
      <c r="AB38" s="201"/>
      <c r="AC38" s="201"/>
      <c r="AD38" s="201"/>
      <c r="AE38" s="201"/>
      <c r="AF38" s="201"/>
    </row>
    <row r="39" spans="1:32" ht="20.25" customHeight="1">
      <c r="A39" s="201"/>
      <c r="B39" s="201"/>
      <c r="C39" s="213"/>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201"/>
      <c r="AF39" s="201"/>
    </row>
    <row r="40" spans="1:32" ht="20.25" customHeight="1">
      <c r="A40" s="201"/>
      <c r="B40" s="201"/>
      <c r="C40" s="213"/>
      <c r="D40" s="201"/>
      <c r="E40" s="201"/>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row>
    <row r="41" spans="1:32" ht="20.25" customHeight="1">
      <c r="A41" s="201"/>
      <c r="B41" s="201"/>
      <c r="C41" s="213"/>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201"/>
      <c r="AF41" s="201"/>
    </row>
    <row r="42" spans="1:32" ht="20.25" customHeight="1">
      <c r="A42" s="201"/>
      <c r="B42" s="201"/>
      <c r="C42" s="213"/>
      <c r="D42" s="201"/>
      <c r="E42" s="201"/>
      <c r="F42" s="201"/>
      <c r="G42" s="201"/>
      <c r="H42" s="201"/>
      <c r="I42" s="201"/>
      <c r="J42" s="201"/>
      <c r="K42" s="201"/>
      <c r="L42" s="201"/>
      <c r="M42" s="201"/>
      <c r="N42" s="201"/>
      <c r="O42" s="201"/>
      <c r="P42" s="201"/>
      <c r="Q42" s="201"/>
      <c r="R42" s="201"/>
      <c r="S42" s="201"/>
      <c r="T42" s="201"/>
      <c r="U42" s="201"/>
      <c r="V42" s="201"/>
      <c r="W42" s="201"/>
      <c r="X42" s="201"/>
      <c r="Y42" s="201"/>
      <c r="Z42" s="201"/>
      <c r="AA42" s="201"/>
      <c r="AB42" s="201"/>
      <c r="AC42" s="201"/>
      <c r="AD42" s="201"/>
      <c r="AE42" s="201"/>
      <c r="AF42" s="201"/>
    </row>
    <row r="43" spans="1:32" ht="20.25" customHeight="1">
      <c r="A43" s="201"/>
      <c r="B43" s="201"/>
      <c r="C43" s="213"/>
      <c r="D43" s="201"/>
      <c r="E43" s="201"/>
      <c r="F43" s="201"/>
      <c r="G43" s="201"/>
      <c r="H43" s="201"/>
      <c r="I43" s="201"/>
      <c r="J43" s="201"/>
      <c r="K43" s="201"/>
      <c r="L43" s="201"/>
      <c r="M43" s="201"/>
      <c r="N43" s="201"/>
      <c r="O43" s="201"/>
      <c r="P43" s="201"/>
      <c r="Q43" s="201"/>
      <c r="R43" s="201"/>
      <c r="S43" s="201"/>
      <c r="T43" s="201"/>
      <c r="U43" s="201"/>
      <c r="V43" s="201"/>
      <c r="W43" s="201"/>
      <c r="X43" s="201"/>
      <c r="Y43" s="201"/>
      <c r="Z43" s="201"/>
      <c r="AA43" s="201"/>
      <c r="AB43" s="201"/>
      <c r="AC43" s="201"/>
      <c r="AD43" s="201"/>
      <c r="AE43" s="201"/>
      <c r="AF43" s="201"/>
    </row>
    <row r="44" spans="1:32" ht="20.25" customHeight="1">
      <c r="A44" s="201"/>
      <c r="B44" s="201"/>
      <c r="C44" s="213"/>
      <c r="D44" s="201"/>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c r="AE44" s="201"/>
      <c r="AF44" s="201"/>
    </row>
    <row r="45" spans="1:32" ht="20.25" customHeight="1">
      <c r="A45" s="201"/>
      <c r="B45" s="201"/>
      <c r="C45" s="213"/>
      <c r="D45" s="201"/>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row>
    <row r="46" spans="1:32" ht="20.25" customHeight="1">
      <c r="A46" s="201"/>
      <c r="B46" s="201"/>
      <c r="C46" s="213"/>
      <c r="D46" s="201"/>
      <c r="E46" s="201"/>
      <c r="F46" s="201"/>
      <c r="G46" s="201"/>
      <c r="H46" s="201"/>
      <c r="I46" s="201"/>
      <c r="J46" s="201"/>
      <c r="K46" s="201"/>
      <c r="L46" s="201"/>
      <c r="M46" s="201"/>
      <c r="N46" s="201"/>
      <c r="O46" s="201"/>
      <c r="P46" s="201"/>
      <c r="Q46" s="201"/>
      <c r="R46" s="201"/>
      <c r="S46" s="201"/>
      <c r="T46" s="201"/>
      <c r="U46" s="201"/>
      <c r="V46" s="201"/>
      <c r="W46" s="201"/>
      <c r="X46" s="201"/>
      <c r="Y46" s="201"/>
      <c r="Z46" s="201"/>
      <c r="AA46" s="201"/>
      <c r="AB46" s="201"/>
      <c r="AC46" s="201"/>
      <c r="AD46" s="201"/>
      <c r="AE46" s="201"/>
      <c r="AF46" s="201"/>
    </row>
    <row r="47" spans="1:32" ht="20.25" customHeight="1">
      <c r="A47" s="201"/>
      <c r="B47" s="201"/>
      <c r="C47" s="213"/>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row>
    <row r="48" spans="1:32" ht="20.25" customHeight="1">
      <c r="A48" s="201"/>
      <c r="B48" s="201"/>
      <c r="C48" s="213"/>
      <c r="D48" s="201"/>
      <c r="E48" s="201"/>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201"/>
      <c r="AD48" s="201"/>
      <c r="AE48" s="201"/>
      <c r="AF48" s="201"/>
    </row>
    <row r="49" spans="1:32" ht="20.25" customHeight="1">
      <c r="A49" s="201"/>
      <c r="B49" s="201"/>
      <c r="C49" s="213"/>
      <c r="D49" s="201"/>
      <c r="E49" s="201"/>
      <c r="F49" s="201"/>
      <c r="G49" s="201"/>
      <c r="H49" s="201"/>
      <c r="I49" s="201"/>
      <c r="J49" s="201"/>
      <c r="K49" s="201"/>
      <c r="L49" s="201"/>
      <c r="M49" s="201"/>
      <c r="N49" s="201"/>
      <c r="O49" s="201"/>
      <c r="P49" s="201"/>
      <c r="Q49" s="201"/>
      <c r="R49" s="201"/>
      <c r="S49" s="201"/>
      <c r="T49" s="201"/>
      <c r="U49" s="201"/>
      <c r="V49" s="201"/>
      <c r="W49" s="201"/>
      <c r="X49" s="201"/>
      <c r="Y49" s="201"/>
      <c r="Z49" s="201"/>
      <c r="AA49" s="201"/>
      <c r="AB49" s="201"/>
      <c r="AC49" s="201"/>
      <c r="AD49" s="201"/>
      <c r="AE49" s="201"/>
      <c r="AF49" s="201"/>
    </row>
    <row r="50" spans="1:32" ht="20.25" customHeight="1">
      <c r="A50" s="201"/>
      <c r="B50" s="201"/>
      <c r="C50" s="213"/>
      <c r="D50" s="201"/>
      <c r="E50" s="201"/>
      <c r="F50" s="201"/>
      <c r="G50" s="201"/>
      <c r="H50" s="201"/>
      <c r="I50" s="201"/>
      <c r="J50" s="201"/>
      <c r="K50" s="201"/>
      <c r="L50" s="201"/>
      <c r="M50" s="201"/>
      <c r="N50" s="201"/>
      <c r="O50" s="201"/>
      <c r="P50" s="201"/>
      <c r="Q50" s="201"/>
      <c r="R50" s="201"/>
      <c r="S50" s="201"/>
      <c r="T50" s="201"/>
      <c r="U50" s="201"/>
      <c r="V50" s="201"/>
      <c r="W50" s="201"/>
      <c r="X50" s="201"/>
      <c r="Y50" s="201"/>
      <c r="Z50" s="201"/>
      <c r="AA50" s="201"/>
      <c r="AB50" s="201"/>
      <c r="AC50" s="201"/>
      <c r="AD50" s="201"/>
      <c r="AE50" s="201"/>
      <c r="AF50" s="201"/>
    </row>
    <row r="51" spans="1:32" ht="20.25" customHeight="1">
      <c r="A51" s="201"/>
      <c r="B51" s="201"/>
      <c r="C51" s="213"/>
      <c r="D51" s="201"/>
      <c r="E51" s="201"/>
      <c r="F51" s="201"/>
      <c r="G51" s="201"/>
      <c r="H51" s="201"/>
      <c r="I51" s="201"/>
      <c r="J51" s="201"/>
      <c r="K51" s="201"/>
      <c r="L51" s="201"/>
      <c r="M51" s="201"/>
      <c r="N51" s="201"/>
      <c r="O51" s="201"/>
      <c r="P51" s="201"/>
      <c r="Q51" s="201"/>
      <c r="R51" s="201"/>
      <c r="S51" s="201"/>
      <c r="T51" s="201"/>
      <c r="U51" s="201"/>
      <c r="V51" s="201"/>
      <c r="W51" s="201"/>
      <c r="X51" s="201"/>
      <c r="Y51" s="201"/>
      <c r="Z51" s="201"/>
      <c r="AA51" s="201"/>
      <c r="AB51" s="201"/>
      <c r="AC51" s="201"/>
      <c r="AD51" s="201"/>
      <c r="AE51" s="201"/>
      <c r="AF51" s="201"/>
    </row>
    <row r="52" spans="1:32" ht="20.25" customHeight="1">
      <c r="A52" s="201"/>
      <c r="B52" s="201"/>
      <c r="C52" s="213"/>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row>
    <row r="53" spans="1:32" ht="20.25" customHeight="1">
      <c r="A53" s="201"/>
      <c r="B53" s="201"/>
      <c r="C53" s="213"/>
      <c r="D53" s="201"/>
      <c r="E53" s="201"/>
      <c r="F53" s="201"/>
      <c r="G53" s="201"/>
      <c r="H53" s="201"/>
      <c r="I53" s="201"/>
      <c r="J53" s="201"/>
      <c r="K53" s="201"/>
      <c r="L53" s="201"/>
      <c r="M53" s="201"/>
      <c r="N53" s="201"/>
      <c r="O53" s="201"/>
      <c r="P53" s="201"/>
      <c r="Q53" s="201"/>
      <c r="R53" s="201"/>
      <c r="S53" s="201"/>
      <c r="T53" s="201"/>
      <c r="U53" s="201"/>
      <c r="V53" s="201"/>
      <c r="W53" s="201"/>
      <c r="X53" s="201"/>
      <c r="Y53" s="201"/>
      <c r="Z53" s="201"/>
      <c r="AA53" s="201"/>
      <c r="AB53" s="201"/>
      <c r="AC53" s="201"/>
      <c r="AD53" s="201"/>
      <c r="AE53" s="201"/>
      <c r="AF53" s="201"/>
    </row>
    <row r="54" spans="1:32" ht="20.25" customHeight="1">
      <c r="A54" s="201"/>
      <c r="B54" s="201"/>
      <c r="C54" s="213"/>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row>
    <row r="55" spans="1:32" ht="20.25" customHeight="1">
      <c r="A55" s="201"/>
      <c r="B55" s="201"/>
      <c r="C55" s="213"/>
      <c r="D55" s="201"/>
      <c r="E55" s="201"/>
      <c r="F55" s="201"/>
      <c r="G55" s="201"/>
      <c r="H55" s="201"/>
      <c r="I55" s="201"/>
      <c r="J55" s="201"/>
      <c r="K55" s="201"/>
      <c r="L55" s="201"/>
      <c r="M55" s="201"/>
      <c r="N55" s="201"/>
      <c r="O55" s="201"/>
      <c r="P55" s="201"/>
      <c r="Q55" s="201"/>
      <c r="R55" s="201"/>
      <c r="S55" s="201"/>
      <c r="T55" s="201"/>
      <c r="U55" s="201"/>
      <c r="V55" s="201"/>
      <c r="W55" s="201"/>
      <c r="X55" s="201"/>
      <c r="Y55" s="201"/>
      <c r="Z55" s="201"/>
      <c r="AA55" s="201"/>
      <c r="AB55" s="201"/>
      <c r="AC55" s="201"/>
      <c r="AD55" s="201"/>
      <c r="AE55" s="201"/>
      <c r="AF55" s="201"/>
    </row>
    <row r="56" spans="1:32" ht="20.25" customHeight="1">
      <c r="A56" s="201"/>
      <c r="B56" s="201"/>
      <c r="C56" s="213"/>
      <c r="D56" s="201"/>
      <c r="E56" s="201"/>
      <c r="F56" s="201"/>
      <c r="G56" s="201"/>
      <c r="H56" s="201"/>
      <c r="I56" s="201"/>
      <c r="J56" s="201"/>
      <c r="K56" s="201"/>
      <c r="L56" s="201"/>
      <c r="M56" s="201"/>
      <c r="N56" s="201"/>
      <c r="O56" s="201"/>
      <c r="P56" s="201"/>
      <c r="Q56" s="201"/>
      <c r="R56" s="201"/>
      <c r="S56" s="201"/>
      <c r="T56" s="201"/>
      <c r="U56" s="201"/>
      <c r="V56" s="201"/>
      <c r="W56" s="201"/>
      <c r="X56" s="201"/>
      <c r="Y56" s="201"/>
      <c r="Z56" s="201"/>
      <c r="AA56" s="201"/>
      <c r="AB56" s="201"/>
      <c r="AC56" s="201"/>
      <c r="AD56" s="201"/>
      <c r="AE56" s="201"/>
      <c r="AF56" s="201"/>
    </row>
    <row r="57" spans="1:32" ht="20.25" customHeight="1">
      <c r="A57" s="201"/>
      <c r="B57" s="201"/>
      <c r="C57" s="213"/>
      <c r="D57" s="201"/>
      <c r="E57" s="201"/>
      <c r="F57" s="201"/>
      <c r="G57" s="201"/>
      <c r="H57" s="201"/>
      <c r="I57" s="201"/>
      <c r="J57" s="201"/>
      <c r="K57" s="201"/>
      <c r="L57" s="201"/>
      <c r="M57" s="201"/>
      <c r="N57" s="201"/>
      <c r="O57" s="201"/>
      <c r="P57" s="201"/>
      <c r="Q57" s="201"/>
      <c r="R57" s="201"/>
      <c r="S57" s="201"/>
      <c r="T57" s="201"/>
      <c r="U57" s="201"/>
      <c r="V57" s="201"/>
      <c r="W57" s="201"/>
      <c r="X57" s="201"/>
      <c r="Y57" s="201"/>
      <c r="Z57" s="201"/>
      <c r="AA57" s="201"/>
      <c r="AB57" s="201"/>
      <c r="AC57" s="201"/>
      <c r="AD57" s="201"/>
      <c r="AE57" s="201"/>
      <c r="AF57" s="201"/>
    </row>
    <row r="58" spans="1:32" ht="20.25" customHeight="1">
      <c r="A58" s="201"/>
      <c r="B58" s="201"/>
      <c r="C58" s="213"/>
      <c r="D58" s="201"/>
      <c r="E58" s="201"/>
      <c r="F58" s="201"/>
      <c r="G58" s="201"/>
      <c r="H58" s="201"/>
      <c r="I58" s="201"/>
      <c r="J58" s="201"/>
      <c r="K58" s="201"/>
      <c r="L58" s="201"/>
      <c r="M58" s="201"/>
      <c r="N58" s="201"/>
      <c r="O58" s="201"/>
      <c r="P58" s="201"/>
      <c r="Q58" s="201"/>
      <c r="R58" s="201"/>
      <c r="S58" s="201"/>
      <c r="T58" s="201"/>
      <c r="U58" s="201"/>
      <c r="V58" s="201"/>
      <c r="W58" s="201"/>
      <c r="X58" s="201"/>
      <c r="Y58" s="201"/>
      <c r="Z58" s="201"/>
      <c r="AA58" s="201"/>
      <c r="AB58" s="201"/>
      <c r="AC58" s="201"/>
      <c r="AD58" s="201"/>
      <c r="AE58" s="201"/>
      <c r="AF58" s="201"/>
    </row>
    <row r="59" spans="1:32" ht="20.25" customHeight="1">
      <c r="A59" s="201"/>
      <c r="B59" s="201"/>
      <c r="C59" s="213"/>
      <c r="D59" s="201"/>
      <c r="E59" s="201"/>
      <c r="F59" s="201"/>
      <c r="G59" s="201"/>
      <c r="H59" s="201"/>
      <c r="I59" s="201"/>
      <c r="J59" s="201"/>
      <c r="K59" s="201"/>
      <c r="L59" s="201"/>
      <c r="M59" s="201"/>
      <c r="N59" s="201"/>
      <c r="O59" s="201"/>
      <c r="P59" s="201"/>
      <c r="Q59" s="201"/>
      <c r="R59" s="201"/>
      <c r="S59" s="201"/>
      <c r="T59" s="201"/>
      <c r="U59" s="201"/>
      <c r="V59" s="201"/>
      <c r="W59" s="201"/>
      <c r="X59" s="201"/>
      <c r="Y59" s="201"/>
      <c r="Z59" s="201"/>
      <c r="AA59" s="201"/>
      <c r="AB59" s="201"/>
      <c r="AC59" s="201"/>
      <c r="AD59" s="201"/>
      <c r="AE59" s="201"/>
      <c r="AF59" s="201"/>
    </row>
    <row r="60" spans="1:32" ht="20.25" customHeight="1">
      <c r="A60" s="201"/>
      <c r="B60" s="201"/>
      <c r="C60" s="213"/>
      <c r="D60" s="201"/>
      <c r="E60" s="201"/>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row>
    <row r="61" spans="1:32" ht="20.25" customHeight="1">
      <c r="A61" s="201"/>
      <c r="B61" s="201"/>
      <c r="C61" s="213"/>
      <c r="D61" s="201"/>
      <c r="E61" s="201"/>
      <c r="F61" s="201"/>
      <c r="G61" s="201"/>
      <c r="H61" s="201"/>
      <c r="I61" s="201"/>
      <c r="J61" s="201"/>
      <c r="K61" s="201"/>
      <c r="L61" s="201"/>
      <c r="M61" s="201"/>
      <c r="N61" s="201"/>
      <c r="O61" s="201"/>
      <c r="P61" s="201"/>
      <c r="Q61" s="201"/>
      <c r="R61" s="201"/>
      <c r="S61" s="201"/>
      <c r="T61" s="201"/>
      <c r="U61" s="201"/>
      <c r="V61" s="201"/>
      <c r="W61" s="201"/>
      <c r="X61" s="201"/>
      <c r="Y61" s="201"/>
      <c r="Z61" s="201"/>
      <c r="AA61" s="201"/>
      <c r="AB61" s="201"/>
      <c r="AC61" s="201"/>
      <c r="AD61" s="201"/>
      <c r="AE61" s="201"/>
      <c r="AF61" s="201"/>
    </row>
    <row r="62" spans="1:32" ht="20.25" customHeight="1">
      <c r="A62" s="201"/>
      <c r="B62" s="201"/>
      <c r="C62" s="213"/>
      <c r="D62" s="201"/>
      <c r="E62" s="201"/>
      <c r="F62" s="201"/>
      <c r="G62" s="201"/>
      <c r="H62" s="201"/>
      <c r="I62" s="201"/>
      <c r="J62" s="201"/>
      <c r="K62" s="201"/>
      <c r="L62" s="201"/>
      <c r="M62" s="201"/>
      <c r="N62" s="201"/>
      <c r="O62" s="201"/>
      <c r="P62" s="201"/>
      <c r="Q62" s="201"/>
      <c r="R62" s="201"/>
      <c r="S62" s="201"/>
      <c r="T62" s="201"/>
      <c r="U62" s="201"/>
      <c r="V62" s="201"/>
      <c r="W62" s="201"/>
      <c r="X62" s="201"/>
      <c r="Y62" s="201"/>
      <c r="Z62" s="201"/>
      <c r="AA62" s="201"/>
      <c r="AB62" s="201"/>
      <c r="AC62" s="201"/>
      <c r="AD62" s="201"/>
      <c r="AE62" s="201"/>
      <c r="AF62" s="201"/>
    </row>
    <row r="63" spans="1:32" ht="20.25" customHeight="1">
      <c r="A63" s="201"/>
      <c r="B63" s="201"/>
      <c r="C63" s="213"/>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201"/>
      <c r="AF63" s="201"/>
    </row>
    <row r="64" spans="1:32" ht="20.25" customHeight="1">
      <c r="A64" s="201"/>
      <c r="B64" s="201"/>
      <c r="C64" s="213"/>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B64" s="201"/>
      <c r="AC64" s="201"/>
      <c r="AD64" s="201"/>
      <c r="AE64" s="201"/>
      <c r="AF64" s="201"/>
    </row>
    <row r="65" spans="1:32" ht="20.25" customHeight="1">
      <c r="A65" s="201"/>
      <c r="B65" s="201"/>
      <c r="C65" s="213"/>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B65" s="201"/>
      <c r="AC65" s="201"/>
      <c r="AD65" s="201"/>
      <c r="AE65" s="201"/>
      <c r="AF65" s="201"/>
    </row>
    <row r="66" spans="1:32" ht="20.25" customHeight="1">
      <c r="A66" s="201"/>
      <c r="B66" s="201"/>
      <c r="C66" s="213"/>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B66" s="201"/>
      <c r="AC66" s="201"/>
      <c r="AD66" s="201"/>
      <c r="AE66" s="201"/>
      <c r="AF66" s="201"/>
    </row>
    <row r="67" spans="1:32" ht="20.25" customHeight="1">
      <c r="A67" s="201"/>
      <c r="B67" s="201"/>
      <c r="C67" s="213"/>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row>
    <row r="68" spans="1:32" ht="20.25" customHeight="1">
      <c r="A68" s="201"/>
      <c r="B68" s="201"/>
      <c r="C68" s="213"/>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B68" s="201"/>
      <c r="AC68" s="201"/>
      <c r="AD68" s="201"/>
      <c r="AE68" s="201"/>
      <c r="AF68" s="201"/>
    </row>
    <row r="69" spans="1:32" ht="20.25" customHeight="1">
      <c r="A69" s="201"/>
      <c r="B69" s="201"/>
      <c r="C69" s="213"/>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B69" s="201"/>
      <c r="AC69" s="201"/>
      <c r="AD69" s="201"/>
      <c r="AE69" s="201"/>
      <c r="AF69" s="201"/>
    </row>
    <row r="70" spans="1:32" ht="20.25" customHeight="1">
      <c r="A70" s="201"/>
      <c r="B70" s="201"/>
      <c r="C70" s="213"/>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B70" s="201"/>
      <c r="AC70" s="201"/>
      <c r="AD70" s="201"/>
      <c r="AE70" s="201"/>
      <c r="AF70" s="201"/>
    </row>
    <row r="71" spans="1:32" ht="20.25" customHeight="1">
      <c r="A71" s="201"/>
      <c r="B71" s="201"/>
      <c r="C71" s="213"/>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B71" s="201"/>
      <c r="AC71" s="201"/>
      <c r="AD71" s="201"/>
      <c r="AE71" s="201"/>
      <c r="AF71" s="201"/>
    </row>
    <row r="72" spans="1:32" ht="20.25" customHeight="1">
      <c r="A72" s="201"/>
      <c r="B72" s="201"/>
      <c r="C72" s="213"/>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B72" s="201"/>
      <c r="AC72" s="201"/>
      <c r="AD72" s="201"/>
      <c r="AE72" s="201"/>
      <c r="AF72" s="201"/>
    </row>
    <row r="73" spans="1:32" ht="20.25" customHeight="1">
      <c r="A73" s="201"/>
      <c r="B73" s="201"/>
      <c r="C73" s="213"/>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B73" s="201"/>
      <c r="AC73" s="201"/>
      <c r="AD73" s="201"/>
      <c r="AE73" s="201"/>
      <c r="AF73" s="201"/>
    </row>
    <row r="74" spans="1:32" ht="20.25" customHeight="1">
      <c r="A74" s="201"/>
      <c r="B74" s="201"/>
      <c r="C74" s="213"/>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201"/>
      <c r="AD74" s="201"/>
      <c r="AE74" s="201"/>
      <c r="AF74" s="201"/>
    </row>
    <row r="75" spans="1:32" ht="20.25" customHeight="1">
      <c r="A75" s="201"/>
      <c r="B75" s="201"/>
      <c r="C75" s="213"/>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B75" s="201"/>
      <c r="AC75" s="201"/>
      <c r="AD75" s="201"/>
      <c r="AE75" s="201"/>
      <c r="AF75" s="201"/>
    </row>
    <row r="76" spans="1:32" ht="20.25" customHeight="1">
      <c r="A76" s="201"/>
      <c r="B76" s="201"/>
      <c r="C76" s="213"/>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B76" s="201"/>
      <c r="AC76" s="201"/>
      <c r="AD76" s="201"/>
      <c r="AE76" s="201"/>
      <c r="AF76" s="201"/>
    </row>
    <row r="77" spans="1:32" ht="20.25" customHeight="1">
      <c r="A77" s="201"/>
      <c r="B77" s="201"/>
      <c r="C77" s="213"/>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B77" s="201"/>
      <c r="AC77" s="201"/>
      <c r="AD77" s="201"/>
      <c r="AE77" s="201"/>
      <c r="AF77" s="201"/>
    </row>
    <row r="78" spans="1:32" ht="20.25" customHeight="1">
      <c r="A78" s="201"/>
      <c r="B78" s="201"/>
      <c r="C78" s="213"/>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row>
    <row r="79" spans="1:32" ht="20.25" customHeight="1">
      <c r="A79" s="201"/>
      <c r="B79" s="201"/>
      <c r="C79" s="213"/>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201"/>
      <c r="AD79" s="201"/>
      <c r="AE79" s="201"/>
      <c r="AF79" s="201"/>
    </row>
    <row r="80" spans="1:32" ht="20.25" customHeight="1">
      <c r="A80" s="201"/>
      <c r="B80" s="201"/>
      <c r="C80" s="213"/>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B80" s="201"/>
      <c r="AC80" s="201"/>
      <c r="AD80" s="201"/>
      <c r="AE80" s="201"/>
      <c r="AF80" s="201"/>
    </row>
    <row r="81" spans="1:32" ht="20.25" customHeight="1">
      <c r="A81" s="201"/>
      <c r="B81" s="201"/>
      <c r="C81" s="213"/>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B81" s="201"/>
      <c r="AC81" s="201"/>
      <c r="AD81" s="201"/>
      <c r="AE81" s="201"/>
      <c r="AF81" s="201"/>
    </row>
    <row r="82" spans="1:32" ht="20.25" customHeight="1">
      <c r="A82" s="201"/>
      <c r="B82" s="201"/>
      <c r="C82" s="213"/>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row>
    <row r="83" spans="1:32" ht="20.25" customHeight="1">
      <c r="A83" s="201"/>
      <c r="B83" s="201"/>
      <c r="C83" s="213"/>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B83" s="201"/>
      <c r="AC83" s="201"/>
      <c r="AD83" s="201"/>
      <c r="AE83" s="201"/>
      <c r="AF83" s="201"/>
    </row>
    <row r="84" spans="1:32" ht="20.25" customHeight="1">
      <c r="A84" s="201"/>
      <c r="B84" s="201"/>
      <c r="C84" s="213"/>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B84" s="201"/>
      <c r="AC84" s="201"/>
      <c r="AD84" s="201"/>
      <c r="AE84" s="201"/>
      <c r="AF84" s="201"/>
    </row>
    <row r="85" spans="1:32" ht="20.25" customHeight="1">
      <c r="A85" s="201"/>
      <c r="B85" s="201"/>
      <c r="C85" s="213"/>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B85" s="201"/>
      <c r="AC85" s="201"/>
      <c r="AD85" s="201"/>
      <c r="AE85" s="201"/>
      <c r="AF85" s="201"/>
    </row>
    <row r="86" spans="1:32" ht="20.25" customHeight="1">
      <c r="A86" s="201"/>
      <c r="B86" s="201"/>
      <c r="C86" s="213"/>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row>
    <row r="87" spans="1:32" ht="20.25" customHeight="1">
      <c r="A87" s="201"/>
      <c r="B87" s="201"/>
      <c r="C87" s="213"/>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B87" s="201"/>
      <c r="AC87" s="201"/>
      <c r="AD87" s="201"/>
      <c r="AE87" s="201"/>
      <c r="AF87" s="201"/>
    </row>
    <row r="88" spans="1:32" ht="20.25" customHeight="1">
      <c r="A88" s="201"/>
      <c r="B88" s="201"/>
      <c r="C88" s="213"/>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B88" s="201"/>
      <c r="AC88" s="201"/>
      <c r="AD88" s="201"/>
      <c r="AE88" s="201"/>
      <c r="AF88" s="201"/>
    </row>
    <row r="89" spans="1:32" ht="20.25" customHeight="1">
      <c r="A89" s="201"/>
      <c r="B89" s="201"/>
      <c r="C89" s="213"/>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B89" s="201"/>
      <c r="AC89" s="201"/>
      <c r="AD89" s="201"/>
      <c r="AE89" s="201"/>
      <c r="AF89" s="201"/>
    </row>
    <row r="90" spans="1:32" ht="20.25" customHeight="1">
      <c r="A90" s="201"/>
      <c r="B90" s="201"/>
      <c r="C90" s="213"/>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B90" s="201"/>
      <c r="AC90" s="201"/>
      <c r="AD90" s="201"/>
      <c r="AE90" s="201"/>
      <c r="AF90" s="201"/>
    </row>
    <row r="91" spans="1:32" ht="20.25" customHeight="1">
      <c r="A91" s="201"/>
      <c r="B91" s="201"/>
      <c r="C91" s="213"/>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201"/>
      <c r="AD91" s="201"/>
      <c r="AE91" s="201"/>
      <c r="AF91" s="201"/>
    </row>
    <row r="92" spans="1:32" ht="20.25" customHeight="1">
      <c r="A92" s="201"/>
      <c r="B92" s="201"/>
      <c r="C92" s="213"/>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B92" s="201"/>
      <c r="AC92" s="201"/>
      <c r="AD92" s="201"/>
      <c r="AE92" s="201"/>
      <c r="AF92" s="201"/>
    </row>
    <row r="93" spans="1:32" ht="20.25" customHeight="1">
      <c r="A93" s="201"/>
      <c r="B93" s="201"/>
      <c r="C93" s="213"/>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B93" s="201"/>
      <c r="AC93" s="201"/>
      <c r="AD93" s="201"/>
      <c r="AE93" s="201"/>
      <c r="AF93" s="201"/>
    </row>
    <row r="94" spans="1:32" ht="20.25" customHeight="1">
      <c r="A94" s="201"/>
      <c r="B94" s="201"/>
      <c r="C94" s="213"/>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B94" s="201"/>
      <c r="AC94" s="201"/>
      <c r="AD94" s="201"/>
      <c r="AE94" s="201"/>
      <c r="AF94" s="201"/>
    </row>
    <row r="95" spans="1:32" ht="20.25" customHeight="1">
      <c r="A95" s="201"/>
      <c r="B95" s="201"/>
      <c r="C95" s="213"/>
      <c r="D95" s="201"/>
      <c r="E95" s="201"/>
      <c r="F95" s="201"/>
      <c r="G95" s="201"/>
      <c r="H95" s="201"/>
      <c r="I95" s="201"/>
      <c r="J95" s="201"/>
      <c r="K95" s="201"/>
      <c r="L95" s="201"/>
      <c r="M95" s="201"/>
      <c r="N95" s="201"/>
      <c r="O95" s="201"/>
      <c r="P95" s="201"/>
      <c r="Q95" s="201"/>
      <c r="R95" s="201"/>
      <c r="S95" s="201"/>
      <c r="T95" s="201"/>
      <c r="U95" s="201"/>
      <c r="V95" s="201"/>
      <c r="W95" s="201"/>
      <c r="X95" s="201"/>
      <c r="Y95" s="201"/>
      <c r="Z95" s="201"/>
      <c r="AA95" s="201"/>
      <c r="AB95" s="201"/>
      <c r="AC95" s="201"/>
      <c r="AD95" s="201"/>
      <c r="AE95" s="201"/>
      <c r="AF95" s="201"/>
    </row>
    <row r="96" spans="1:32" ht="20.25" customHeight="1">
      <c r="A96" s="201"/>
      <c r="B96" s="201"/>
      <c r="C96" s="213"/>
      <c r="D96" s="201"/>
      <c r="E96" s="201"/>
      <c r="F96" s="201"/>
      <c r="G96" s="201"/>
      <c r="H96" s="201"/>
      <c r="I96" s="201"/>
      <c r="J96" s="201"/>
      <c r="K96" s="201"/>
      <c r="L96" s="201"/>
      <c r="M96" s="201"/>
      <c r="N96" s="201"/>
      <c r="O96" s="201"/>
      <c r="P96" s="201"/>
      <c r="Q96" s="201"/>
      <c r="R96" s="201"/>
      <c r="S96" s="201"/>
      <c r="T96" s="201"/>
      <c r="U96" s="201"/>
      <c r="V96" s="201"/>
      <c r="W96" s="201"/>
      <c r="X96" s="201"/>
      <c r="Y96" s="201"/>
      <c r="Z96" s="201"/>
      <c r="AA96" s="201"/>
      <c r="AB96" s="201"/>
      <c r="AC96" s="201"/>
      <c r="AD96" s="201"/>
      <c r="AE96" s="201"/>
      <c r="AF96" s="201"/>
    </row>
  </sheetData>
  <autoFilter ref="AE3:AF86" xr:uid="{00000000-0009-0000-0000-000011000000}"/>
  <mergeCells count="4">
    <mergeCell ref="A1:J1"/>
    <mergeCell ref="A2:J2"/>
    <mergeCell ref="A6:C6"/>
    <mergeCell ref="A7:J7"/>
  </mergeCells>
  <conditionalFormatting sqref="K8:M69">
    <cfRule type="cellIs" dxfId="5" priority="1" stopIfTrue="1" operator="equal">
      <formula>"ER"</formula>
    </cfRule>
  </conditionalFormatting>
  <conditionalFormatting sqref="M4:M5 I4:I5 K6:M6 I8:I69">
    <cfRule type="cellIs" dxfId="4" priority="2" stopIfTrue="1" operator="equal">
      <formula>"ER"</formula>
    </cfRule>
  </conditionalFormatting>
  <printOptions horizontalCentered="1"/>
  <pageMargins left="0" right="0" top="0.23622047244094499" bottom="0" header="0" footer="0"/>
  <pageSetup paperSize="9" scale="30" fitToHeight="0" orientation="landscape" horizontalDpi="360" verticalDpi="36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85623"/>
    <pageSetUpPr fitToPage="1"/>
  </sheetPr>
  <dimension ref="A1:M100"/>
  <sheetViews>
    <sheetView workbookViewId="0">
      <pane ySplit="3" topLeftCell="A4" activePane="bottomLeft" state="frozen"/>
      <selection pane="bottomLeft" activeCell="D4" sqref="D4"/>
    </sheetView>
  </sheetViews>
  <sheetFormatPr defaultColWidth="16.81640625" defaultRowHeight="15" customHeight="1"/>
  <cols>
    <col min="1" max="1" width="6.26953125" customWidth="1"/>
    <col min="2" max="2" width="14.453125" customWidth="1"/>
    <col min="3" max="3" width="13.26953125" customWidth="1"/>
    <col min="4" max="4" width="14.1796875" customWidth="1"/>
    <col min="5" max="5" width="15" customWidth="1"/>
    <col min="6" max="6" width="25" customWidth="1"/>
    <col min="7" max="7" width="15.7265625" customWidth="1"/>
    <col min="8" max="8" width="21.453125" customWidth="1"/>
    <col min="9" max="9" width="17.26953125" customWidth="1"/>
    <col min="10" max="10" width="19.1796875" customWidth="1"/>
    <col min="11" max="11" width="18.453125" customWidth="1"/>
    <col min="12" max="12" width="12.81640625" customWidth="1"/>
    <col min="13" max="13" width="50" customWidth="1"/>
  </cols>
  <sheetData>
    <row r="1" spans="1:13" ht="28.5" customHeight="1">
      <c r="A1" s="842" t="s">
        <v>0</v>
      </c>
      <c r="B1" s="625"/>
      <c r="C1" s="625"/>
      <c r="D1" s="625"/>
      <c r="E1" s="625"/>
      <c r="F1" s="625"/>
      <c r="G1" s="625"/>
      <c r="H1" s="625"/>
      <c r="I1" s="625"/>
      <c r="J1" s="625"/>
      <c r="K1" s="625"/>
      <c r="L1" s="625"/>
      <c r="M1" s="618"/>
    </row>
    <row r="2" spans="1:13" ht="39" customHeight="1">
      <c r="A2" s="843" t="s">
        <v>582</v>
      </c>
      <c r="B2" s="844"/>
      <c r="C2" s="844"/>
      <c r="D2" s="844"/>
      <c r="E2" s="844"/>
      <c r="F2" s="844"/>
      <c r="G2" s="844"/>
      <c r="H2" s="844"/>
      <c r="I2" s="844"/>
      <c r="J2" s="844"/>
      <c r="K2" s="844"/>
      <c r="L2" s="844"/>
      <c r="M2" s="845"/>
    </row>
    <row r="3" spans="1:13" ht="39" customHeight="1">
      <c r="A3" s="214" t="s">
        <v>39</v>
      </c>
      <c r="B3" s="215" t="s">
        <v>40</v>
      </c>
      <c r="C3" s="215" t="s">
        <v>41</v>
      </c>
      <c r="D3" s="216" t="s">
        <v>217</v>
      </c>
      <c r="E3" s="216" t="s">
        <v>258</v>
      </c>
      <c r="F3" s="216" t="s">
        <v>314</v>
      </c>
      <c r="G3" s="216" t="s">
        <v>220</v>
      </c>
      <c r="H3" s="216" t="s">
        <v>260</v>
      </c>
      <c r="I3" s="216" t="s">
        <v>262</v>
      </c>
      <c r="J3" s="216" t="s">
        <v>315</v>
      </c>
      <c r="K3" s="216" t="s">
        <v>265</v>
      </c>
      <c r="L3" s="216" t="s">
        <v>50</v>
      </c>
      <c r="M3" s="217" t="s">
        <v>52</v>
      </c>
    </row>
    <row r="4" spans="1:13" ht="39" customHeight="1">
      <c r="A4" s="218">
        <v>1</v>
      </c>
      <c r="B4" s="219" t="s">
        <v>316</v>
      </c>
      <c r="C4" s="220" t="s">
        <v>317</v>
      </c>
      <c r="D4" s="221">
        <v>66000</v>
      </c>
      <c r="E4" s="221">
        <v>7</v>
      </c>
      <c r="F4" s="222">
        <v>0</v>
      </c>
      <c r="G4" s="222">
        <v>0</v>
      </c>
      <c r="H4" s="222">
        <v>0</v>
      </c>
      <c r="I4" s="222">
        <v>0</v>
      </c>
      <c r="J4" s="221"/>
      <c r="K4" s="221">
        <f>F4++H4+J4</f>
        <v>0</v>
      </c>
      <c r="L4" s="221">
        <f>D4-K4</f>
        <v>66000</v>
      </c>
      <c r="M4" s="223" t="s">
        <v>556</v>
      </c>
    </row>
    <row r="5" spans="1:13" ht="39" customHeight="1">
      <c r="A5" s="846" t="s">
        <v>32</v>
      </c>
      <c r="B5" s="637"/>
      <c r="C5" s="628"/>
      <c r="D5" s="224">
        <f t="shared" ref="D5:L5" si="0">SUM(D4)</f>
        <v>66000</v>
      </c>
      <c r="E5" s="224">
        <f t="shared" si="0"/>
        <v>7</v>
      </c>
      <c r="F5" s="224">
        <f t="shared" si="0"/>
        <v>0</v>
      </c>
      <c r="G5" s="224">
        <f t="shared" si="0"/>
        <v>0</v>
      </c>
      <c r="H5" s="224">
        <f t="shared" si="0"/>
        <v>0</v>
      </c>
      <c r="I5" s="224">
        <f t="shared" si="0"/>
        <v>0</v>
      </c>
      <c r="J5" s="224">
        <f t="shared" si="0"/>
        <v>0</v>
      </c>
      <c r="K5" s="224">
        <f t="shared" si="0"/>
        <v>0</v>
      </c>
      <c r="L5" s="224">
        <f t="shared" si="0"/>
        <v>66000</v>
      </c>
      <c r="M5" s="225" t="s">
        <v>257</v>
      </c>
    </row>
    <row r="6" spans="1:13" ht="90.75" customHeight="1">
      <c r="A6" s="847" t="s">
        <v>34</v>
      </c>
      <c r="B6" s="640"/>
      <c r="C6" s="770"/>
      <c r="D6" s="226"/>
      <c r="E6" s="226"/>
      <c r="F6" s="226"/>
      <c r="G6" s="226"/>
      <c r="H6" s="848" t="s">
        <v>35</v>
      </c>
      <c r="I6" s="770"/>
      <c r="J6" s="226"/>
      <c r="K6" s="226"/>
      <c r="L6" s="226"/>
      <c r="M6" s="227" t="s">
        <v>37</v>
      </c>
    </row>
    <row r="7" spans="1:13" ht="39" customHeight="1">
      <c r="A7" s="117"/>
      <c r="B7" s="117"/>
      <c r="C7" s="228"/>
      <c r="D7" s="117"/>
      <c r="E7" s="117"/>
      <c r="F7" s="117"/>
      <c r="G7" s="117"/>
      <c r="H7" s="117"/>
      <c r="I7" s="117"/>
      <c r="J7" s="117"/>
      <c r="K7" s="117"/>
      <c r="L7" s="117"/>
      <c r="M7" s="117"/>
    </row>
    <row r="8" spans="1:13" ht="39" customHeight="1">
      <c r="A8" s="229"/>
      <c r="B8" s="229"/>
      <c r="C8" s="230"/>
      <c r="D8" s="229"/>
      <c r="E8" s="231"/>
      <c r="F8" s="229"/>
      <c r="G8" s="229"/>
      <c r="H8" s="229"/>
      <c r="I8" s="229"/>
      <c r="J8" s="229"/>
      <c r="K8" s="229"/>
      <c r="L8" s="229"/>
      <c r="M8" s="229"/>
    </row>
    <row r="9" spans="1:13" ht="39" customHeight="1">
      <c r="A9" s="229"/>
      <c r="B9" s="229"/>
      <c r="C9" s="230"/>
      <c r="D9" s="229"/>
      <c r="E9" s="231"/>
      <c r="F9" s="229"/>
      <c r="G9" s="229"/>
      <c r="H9" s="229"/>
      <c r="I9" s="229"/>
      <c r="J9" s="229"/>
      <c r="K9" s="229"/>
      <c r="L9" s="229"/>
      <c r="M9" s="229"/>
    </row>
    <row r="10" spans="1:13" ht="39" customHeight="1">
      <c r="A10" s="229"/>
      <c r="B10" s="229"/>
      <c r="C10" s="230"/>
      <c r="D10" s="229"/>
      <c r="E10" s="231"/>
      <c r="F10" s="229"/>
      <c r="G10" s="229"/>
      <c r="H10" s="229"/>
      <c r="I10" s="229"/>
      <c r="J10" s="229"/>
      <c r="K10" s="229"/>
      <c r="L10" s="229"/>
      <c r="M10" s="229"/>
    </row>
    <row r="11" spans="1:13" ht="39" customHeight="1">
      <c r="A11" s="229"/>
      <c r="B11" s="229"/>
      <c r="C11" s="230"/>
      <c r="D11" s="229"/>
      <c r="E11" s="231"/>
      <c r="F11" s="229"/>
      <c r="G11" s="229"/>
      <c r="H11" s="229"/>
      <c r="I11" s="229"/>
      <c r="J11" s="229"/>
      <c r="K11" s="229"/>
      <c r="L11" s="229"/>
      <c r="M11" s="229"/>
    </row>
    <row r="12" spans="1:13" ht="39" customHeight="1">
      <c r="A12" s="229"/>
      <c r="B12" s="229"/>
      <c r="C12" s="230"/>
      <c r="D12" s="229"/>
      <c r="E12" s="231"/>
      <c r="F12" s="229"/>
      <c r="G12" s="229"/>
      <c r="H12" s="229"/>
      <c r="I12" s="229"/>
      <c r="J12" s="229"/>
      <c r="K12" s="229"/>
      <c r="L12" s="229"/>
      <c r="M12" s="229"/>
    </row>
    <row r="13" spans="1:13" ht="39" customHeight="1">
      <c r="A13" s="229"/>
      <c r="B13" s="229"/>
      <c r="C13" s="230"/>
      <c r="D13" s="229"/>
      <c r="E13" s="231"/>
      <c r="F13" s="229"/>
      <c r="G13" s="229"/>
      <c r="H13" s="229"/>
      <c r="I13" s="229"/>
      <c r="J13" s="229"/>
      <c r="K13" s="229"/>
      <c r="L13" s="229"/>
      <c r="M13" s="229"/>
    </row>
    <row r="14" spans="1:13" ht="39" customHeight="1">
      <c r="A14" s="229"/>
      <c r="B14" s="229"/>
      <c r="C14" s="230"/>
      <c r="D14" s="229"/>
      <c r="E14" s="231"/>
      <c r="F14" s="229"/>
      <c r="G14" s="229"/>
      <c r="H14" s="229"/>
      <c r="I14" s="229"/>
      <c r="J14" s="229"/>
      <c r="K14" s="229"/>
      <c r="L14" s="229"/>
      <c r="M14" s="229"/>
    </row>
    <row r="15" spans="1:13" ht="39" customHeight="1">
      <c r="A15" s="229"/>
      <c r="B15" s="229"/>
      <c r="C15" s="230"/>
      <c r="D15" s="229"/>
      <c r="E15" s="231"/>
      <c r="F15" s="229"/>
      <c r="G15" s="229"/>
      <c r="H15" s="229"/>
      <c r="I15" s="229"/>
      <c r="J15" s="229"/>
      <c r="K15" s="229"/>
      <c r="L15" s="229"/>
      <c r="M15" s="229"/>
    </row>
    <row r="16" spans="1:13" ht="39" customHeight="1">
      <c r="A16" s="229"/>
      <c r="B16" s="229"/>
      <c r="C16" s="230"/>
      <c r="D16" s="229"/>
      <c r="E16" s="231"/>
      <c r="F16" s="229"/>
      <c r="G16" s="229"/>
      <c r="H16" s="229"/>
      <c r="I16" s="229"/>
      <c r="J16" s="229"/>
      <c r="K16" s="229"/>
      <c r="L16" s="229"/>
      <c r="M16" s="229"/>
    </row>
    <row r="17" spans="1:13" ht="39" customHeight="1">
      <c r="A17" s="229"/>
      <c r="B17" s="229"/>
      <c r="C17" s="230"/>
      <c r="D17" s="229"/>
      <c r="E17" s="231"/>
      <c r="F17" s="229"/>
      <c r="G17" s="229"/>
      <c r="H17" s="229"/>
      <c r="I17" s="229"/>
      <c r="J17" s="229"/>
      <c r="K17" s="229"/>
      <c r="L17" s="229"/>
      <c r="M17" s="229"/>
    </row>
    <row r="18" spans="1:13" ht="39" customHeight="1">
      <c r="A18" s="229"/>
      <c r="B18" s="229"/>
      <c r="C18" s="230"/>
      <c r="D18" s="229"/>
      <c r="E18" s="231"/>
      <c r="F18" s="229"/>
      <c r="G18" s="229"/>
      <c r="H18" s="229"/>
      <c r="I18" s="229"/>
      <c r="J18" s="229"/>
      <c r="K18" s="229"/>
      <c r="L18" s="229"/>
      <c r="M18" s="229"/>
    </row>
    <row r="19" spans="1:13" ht="39" customHeight="1">
      <c r="A19" s="229"/>
      <c r="B19" s="229"/>
      <c r="C19" s="230"/>
      <c r="D19" s="229"/>
      <c r="E19" s="231"/>
      <c r="F19" s="229"/>
      <c r="G19" s="229"/>
      <c r="H19" s="229"/>
      <c r="I19" s="229"/>
      <c r="J19" s="229"/>
      <c r="K19" s="229"/>
      <c r="L19" s="229"/>
      <c r="M19" s="229"/>
    </row>
    <row r="20" spans="1:13" ht="39" customHeight="1">
      <c r="A20" s="229"/>
      <c r="B20" s="229"/>
      <c r="C20" s="230"/>
      <c r="D20" s="229"/>
      <c r="E20" s="231"/>
      <c r="F20" s="229"/>
      <c r="G20" s="229"/>
      <c r="H20" s="229"/>
      <c r="I20" s="229"/>
      <c r="J20" s="229"/>
      <c r="K20" s="229"/>
      <c r="L20" s="229"/>
      <c r="M20" s="229"/>
    </row>
    <row r="21" spans="1:13" ht="39" customHeight="1">
      <c r="A21" s="229"/>
      <c r="B21" s="229"/>
      <c r="C21" s="230"/>
      <c r="D21" s="229"/>
      <c r="E21" s="231"/>
      <c r="F21" s="229"/>
      <c r="G21" s="229"/>
      <c r="H21" s="229"/>
      <c r="I21" s="229"/>
      <c r="J21" s="229"/>
      <c r="K21" s="229"/>
      <c r="L21" s="229"/>
      <c r="M21" s="229"/>
    </row>
    <row r="22" spans="1:13" ht="39" customHeight="1">
      <c r="A22" s="229"/>
      <c r="B22" s="229"/>
      <c r="C22" s="230"/>
      <c r="D22" s="229"/>
      <c r="E22" s="231"/>
      <c r="F22" s="229"/>
      <c r="G22" s="229"/>
      <c r="H22" s="229"/>
      <c r="I22" s="229"/>
      <c r="J22" s="229"/>
      <c r="K22" s="229"/>
      <c r="L22" s="229"/>
      <c r="M22" s="229"/>
    </row>
    <row r="23" spans="1:13" ht="39" customHeight="1">
      <c r="A23" s="229"/>
      <c r="B23" s="229"/>
      <c r="C23" s="230"/>
      <c r="D23" s="229"/>
      <c r="E23" s="231"/>
      <c r="F23" s="229"/>
      <c r="G23" s="229"/>
      <c r="H23" s="229"/>
      <c r="I23" s="229"/>
      <c r="J23" s="229"/>
      <c r="K23" s="229"/>
      <c r="L23" s="229"/>
      <c r="M23" s="229"/>
    </row>
    <row r="24" spans="1:13" ht="39" customHeight="1">
      <c r="A24" s="229"/>
      <c r="B24" s="229"/>
      <c r="C24" s="230"/>
      <c r="D24" s="229"/>
      <c r="E24" s="231"/>
      <c r="F24" s="229"/>
      <c r="G24" s="229"/>
      <c r="H24" s="229"/>
      <c r="I24" s="229"/>
      <c r="J24" s="229"/>
      <c r="K24" s="229"/>
      <c r="L24" s="229"/>
      <c r="M24" s="229"/>
    </row>
    <row r="25" spans="1:13" ht="39" customHeight="1">
      <c r="A25" s="229"/>
      <c r="B25" s="229"/>
      <c r="C25" s="230"/>
      <c r="D25" s="229"/>
      <c r="E25" s="231"/>
      <c r="F25" s="229"/>
      <c r="G25" s="229"/>
      <c r="H25" s="229"/>
      <c r="I25" s="229"/>
      <c r="J25" s="229"/>
      <c r="K25" s="229"/>
      <c r="L25" s="229"/>
      <c r="M25" s="229"/>
    </row>
    <row r="26" spans="1:13" ht="39" customHeight="1">
      <c r="A26" s="229"/>
      <c r="B26" s="229"/>
      <c r="C26" s="230"/>
      <c r="D26" s="229"/>
      <c r="E26" s="231"/>
      <c r="F26" s="229"/>
      <c r="G26" s="229"/>
      <c r="H26" s="229"/>
      <c r="I26" s="229"/>
      <c r="J26" s="229"/>
      <c r="K26" s="229"/>
      <c r="L26" s="229"/>
      <c r="M26" s="229"/>
    </row>
    <row r="27" spans="1:13" ht="39" customHeight="1">
      <c r="A27" s="229"/>
      <c r="B27" s="229"/>
      <c r="C27" s="230"/>
      <c r="D27" s="229"/>
      <c r="E27" s="231"/>
      <c r="F27" s="229"/>
      <c r="G27" s="229"/>
      <c r="H27" s="229"/>
      <c r="I27" s="229"/>
      <c r="J27" s="229"/>
      <c r="K27" s="229"/>
      <c r="L27" s="229"/>
      <c r="M27" s="229"/>
    </row>
    <row r="28" spans="1:13" ht="39" customHeight="1">
      <c r="A28" s="229"/>
      <c r="B28" s="229"/>
      <c r="C28" s="230"/>
      <c r="D28" s="229"/>
      <c r="E28" s="231"/>
      <c r="F28" s="229"/>
      <c r="G28" s="229"/>
      <c r="H28" s="229"/>
      <c r="I28" s="229"/>
      <c r="J28" s="229"/>
      <c r="K28" s="229"/>
      <c r="L28" s="229"/>
      <c r="M28" s="229"/>
    </row>
    <row r="29" spans="1:13" ht="39" customHeight="1">
      <c r="A29" s="229"/>
      <c r="B29" s="229"/>
      <c r="C29" s="230"/>
      <c r="D29" s="229"/>
      <c r="E29" s="231"/>
      <c r="F29" s="229"/>
      <c r="G29" s="229"/>
      <c r="H29" s="229"/>
      <c r="I29" s="229"/>
      <c r="J29" s="229"/>
      <c r="K29" s="229"/>
      <c r="L29" s="229"/>
      <c r="M29" s="229"/>
    </row>
    <row r="30" spans="1:13" ht="39" customHeight="1">
      <c r="A30" s="229"/>
      <c r="B30" s="229"/>
      <c r="C30" s="230"/>
      <c r="D30" s="229"/>
      <c r="E30" s="231"/>
      <c r="F30" s="229"/>
      <c r="G30" s="229"/>
      <c r="H30" s="229"/>
      <c r="I30" s="229"/>
      <c r="J30" s="229"/>
      <c r="K30" s="229"/>
      <c r="L30" s="229"/>
      <c r="M30" s="229"/>
    </row>
    <row r="31" spans="1:13" ht="39" customHeight="1">
      <c r="A31" s="229"/>
      <c r="B31" s="229"/>
      <c r="C31" s="230"/>
      <c r="D31" s="229"/>
      <c r="E31" s="231"/>
      <c r="F31" s="229"/>
      <c r="G31" s="229"/>
      <c r="H31" s="229"/>
      <c r="I31" s="229"/>
      <c r="J31" s="229"/>
      <c r="K31" s="229"/>
      <c r="L31" s="229"/>
      <c r="M31" s="229"/>
    </row>
    <row r="32" spans="1:13" ht="39" customHeight="1">
      <c r="A32" s="229"/>
      <c r="B32" s="229"/>
      <c r="C32" s="230"/>
      <c r="D32" s="229"/>
      <c r="E32" s="231"/>
      <c r="F32" s="229"/>
      <c r="G32" s="229"/>
      <c r="H32" s="229"/>
      <c r="I32" s="229"/>
      <c r="J32" s="229"/>
      <c r="K32" s="229"/>
      <c r="L32" s="229"/>
      <c r="M32" s="229"/>
    </row>
    <row r="33" spans="1:13" ht="39" customHeight="1">
      <c r="A33" s="229"/>
      <c r="B33" s="229"/>
      <c r="C33" s="230"/>
      <c r="D33" s="229"/>
      <c r="E33" s="231"/>
      <c r="F33" s="229"/>
      <c r="G33" s="229"/>
      <c r="H33" s="229"/>
      <c r="I33" s="229"/>
      <c r="J33" s="229"/>
      <c r="K33" s="229"/>
      <c r="L33" s="229"/>
      <c r="M33" s="229"/>
    </row>
    <row r="34" spans="1:13" ht="39" customHeight="1">
      <c r="A34" s="229"/>
      <c r="B34" s="229"/>
      <c r="C34" s="230"/>
      <c r="D34" s="229"/>
      <c r="E34" s="231"/>
      <c r="F34" s="229"/>
      <c r="G34" s="229"/>
      <c r="H34" s="229"/>
      <c r="I34" s="229"/>
      <c r="J34" s="229"/>
      <c r="K34" s="229"/>
      <c r="L34" s="229"/>
      <c r="M34" s="229"/>
    </row>
    <row r="35" spans="1:13" ht="39" customHeight="1">
      <c r="A35" s="229"/>
      <c r="B35" s="229"/>
      <c r="C35" s="230"/>
      <c r="D35" s="229"/>
      <c r="E35" s="231"/>
      <c r="F35" s="229"/>
      <c r="G35" s="229"/>
      <c r="H35" s="229"/>
      <c r="I35" s="229"/>
      <c r="J35" s="229"/>
      <c r="K35" s="229"/>
      <c r="L35" s="229"/>
      <c r="M35" s="229"/>
    </row>
    <row r="36" spans="1:13" ht="39" customHeight="1">
      <c r="A36" s="229"/>
      <c r="B36" s="229"/>
      <c r="C36" s="230"/>
      <c r="D36" s="229"/>
      <c r="E36" s="231"/>
      <c r="F36" s="229"/>
      <c r="G36" s="229"/>
      <c r="H36" s="229"/>
      <c r="I36" s="229"/>
      <c r="J36" s="229"/>
      <c r="K36" s="229"/>
      <c r="L36" s="229"/>
      <c r="M36" s="229"/>
    </row>
    <row r="37" spans="1:13" ht="39" customHeight="1">
      <c r="A37" s="229"/>
      <c r="B37" s="229"/>
      <c r="C37" s="230"/>
      <c r="D37" s="229"/>
      <c r="E37" s="231"/>
      <c r="F37" s="229"/>
      <c r="G37" s="229"/>
      <c r="H37" s="229"/>
      <c r="I37" s="229"/>
      <c r="J37" s="229"/>
      <c r="K37" s="229"/>
      <c r="L37" s="229"/>
      <c r="M37" s="229"/>
    </row>
    <row r="38" spans="1:13" ht="39" customHeight="1">
      <c r="A38" s="229"/>
      <c r="B38" s="229"/>
      <c r="C38" s="230"/>
      <c r="D38" s="229"/>
      <c r="E38" s="231"/>
      <c r="F38" s="229"/>
      <c r="G38" s="229"/>
      <c r="H38" s="229"/>
      <c r="I38" s="229"/>
      <c r="J38" s="229"/>
      <c r="K38" s="229"/>
      <c r="L38" s="229"/>
      <c r="M38" s="229"/>
    </row>
    <row r="39" spans="1:13" ht="39" customHeight="1">
      <c r="A39" s="229"/>
      <c r="B39" s="229"/>
      <c r="C39" s="230"/>
      <c r="D39" s="229"/>
      <c r="E39" s="231"/>
      <c r="F39" s="229"/>
      <c r="G39" s="229"/>
      <c r="H39" s="229"/>
      <c r="I39" s="229"/>
      <c r="J39" s="229"/>
      <c r="K39" s="229"/>
      <c r="L39" s="229"/>
      <c r="M39" s="229"/>
    </row>
    <row r="40" spans="1:13" ht="39" customHeight="1">
      <c r="A40" s="229"/>
      <c r="B40" s="229"/>
      <c r="C40" s="230"/>
      <c r="D40" s="229"/>
      <c r="E40" s="231"/>
      <c r="F40" s="229"/>
      <c r="G40" s="229"/>
      <c r="H40" s="229"/>
      <c r="I40" s="229"/>
      <c r="J40" s="229"/>
      <c r="K40" s="229"/>
      <c r="L40" s="229"/>
      <c r="M40" s="229"/>
    </row>
    <row r="41" spans="1:13" ht="39" customHeight="1">
      <c r="A41" s="229"/>
      <c r="B41" s="229"/>
      <c r="C41" s="230"/>
      <c r="D41" s="229"/>
      <c r="E41" s="231"/>
      <c r="F41" s="229"/>
      <c r="G41" s="229"/>
      <c r="H41" s="229"/>
      <c r="I41" s="229"/>
      <c r="J41" s="229"/>
      <c r="K41" s="229"/>
      <c r="L41" s="229"/>
      <c r="M41" s="229"/>
    </row>
    <row r="42" spans="1:13" ht="39" customHeight="1">
      <c r="A42" s="229"/>
      <c r="B42" s="229"/>
      <c r="C42" s="230"/>
      <c r="D42" s="229"/>
      <c r="E42" s="231"/>
      <c r="F42" s="229"/>
      <c r="G42" s="229"/>
      <c r="H42" s="229"/>
      <c r="I42" s="229"/>
      <c r="J42" s="229"/>
      <c r="K42" s="229"/>
      <c r="L42" s="229"/>
      <c r="M42" s="229"/>
    </row>
    <row r="43" spans="1:13" ht="39" customHeight="1">
      <c r="A43" s="229"/>
      <c r="B43" s="229"/>
      <c r="C43" s="230"/>
      <c r="D43" s="229"/>
      <c r="E43" s="231"/>
      <c r="F43" s="229"/>
      <c r="G43" s="229"/>
      <c r="H43" s="229"/>
      <c r="I43" s="229"/>
      <c r="J43" s="229"/>
      <c r="K43" s="229"/>
      <c r="L43" s="229"/>
      <c r="M43" s="229"/>
    </row>
    <row r="44" spans="1:13" ht="39" customHeight="1">
      <c r="A44" s="229"/>
      <c r="B44" s="229"/>
      <c r="C44" s="230"/>
      <c r="D44" s="229"/>
      <c r="E44" s="231"/>
      <c r="F44" s="229"/>
      <c r="G44" s="229"/>
      <c r="H44" s="229"/>
      <c r="I44" s="229"/>
      <c r="J44" s="229"/>
      <c r="K44" s="229"/>
      <c r="L44" s="229"/>
      <c r="M44" s="229"/>
    </row>
    <row r="45" spans="1:13" ht="39" customHeight="1">
      <c r="A45" s="229"/>
      <c r="B45" s="229"/>
      <c r="C45" s="230"/>
      <c r="D45" s="229"/>
      <c r="E45" s="231"/>
      <c r="F45" s="229"/>
      <c r="G45" s="229"/>
      <c r="H45" s="229"/>
      <c r="I45" s="229"/>
      <c r="J45" s="229"/>
      <c r="K45" s="229"/>
      <c r="L45" s="229"/>
      <c r="M45" s="229"/>
    </row>
    <row r="46" spans="1:13" ht="39" customHeight="1">
      <c r="A46" s="229"/>
      <c r="B46" s="229"/>
      <c r="C46" s="230"/>
      <c r="D46" s="229"/>
      <c r="E46" s="231"/>
      <c r="F46" s="229"/>
      <c r="G46" s="229"/>
      <c r="H46" s="229"/>
      <c r="I46" s="229"/>
      <c r="J46" s="229"/>
      <c r="K46" s="229"/>
      <c r="L46" s="229"/>
      <c r="M46" s="229"/>
    </row>
    <row r="47" spans="1:13" ht="39" customHeight="1">
      <c r="A47" s="229"/>
      <c r="B47" s="229"/>
      <c r="C47" s="230"/>
      <c r="D47" s="229"/>
      <c r="E47" s="231"/>
      <c r="F47" s="229"/>
      <c r="G47" s="229"/>
      <c r="H47" s="229"/>
      <c r="I47" s="229"/>
      <c r="J47" s="229"/>
      <c r="K47" s="229"/>
      <c r="L47" s="229"/>
      <c r="M47" s="229"/>
    </row>
    <row r="48" spans="1:13" ht="39" customHeight="1">
      <c r="A48" s="229"/>
      <c r="B48" s="229"/>
      <c r="C48" s="230"/>
      <c r="D48" s="229"/>
      <c r="E48" s="231"/>
      <c r="F48" s="229"/>
      <c r="G48" s="229"/>
      <c r="H48" s="229"/>
      <c r="I48" s="229"/>
      <c r="J48" s="229"/>
      <c r="K48" s="229"/>
      <c r="L48" s="229"/>
      <c r="M48" s="229"/>
    </row>
    <row r="49" spans="1:13" ht="39" customHeight="1">
      <c r="A49" s="229"/>
      <c r="B49" s="229"/>
      <c r="C49" s="230"/>
      <c r="D49" s="229"/>
      <c r="E49" s="231"/>
      <c r="F49" s="229"/>
      <c r="G49" s="229"/>
      <c r="H49" s="229"/>
      <c r="I49" s="229"/>
      <c r="J49" s="229"/>
      <c r="K49" s="229"/>
      <c r="L49" s="229"/>
      <c r="M49" s="229"/>
    </row>
    <row r="50" spans="1:13" ht="39" customHeight="1">
      <c r="A50" s="229"/>
      <c r="B50" s="229"/>
      <c r="C50" s="230"/>
      <c r="D50" s="229"/>
      <c r="E50" s="231"/>
      <c r="F50" s="229"/>
      <c r="G50" s="229"/>
      <c r="H50" s="229"/>
      <c r="I50" s="229"/>
      <c r="J50" s="229"/>
      <c r="K50" s="229"/>
      <c r="L50" s="229"/>
      <c r="M50" s="229"/>
    </row>
    <row r="51" spans="1:13" ht="39" customHeight="1">
      <c r="A51" s="229"/>
      <c r="B51" s="229"/>
      <c r="C51" s="230"/>
      <c r="D51" s="229"/>
      <c r="E51" s="231"/>
      <c r="F51" s="229"/>
      <c r="G51" s="229"/>
      <c r="H51" s="229"/>
      <c r="I51" s="229"/>
      <c r="J51" s="229"/>
      <c r="K51" s="229"/>
      <c r="L51" s="229"/>
      <c r="M51" s="229"/>
    </row>
    <row r="52" spans="1:13" ht="39" customHeight="1">
      <c r="A52" s="229"/>
      <c r="B52" s="229"/>
      <c r="C52" s="230"/>
      <c r="D52" s="229"/>
      <c r="E52" s="231"/>
      <c r="F52" s="229"/>
      <c r="G52" s="229"/>
      <c r="H52" s="229"/>
      <c r="I52" s="229"/>
      <c r="J52" s="229"/>
      <c r="K52" s="229"/>
      <c r="L52" s="229"/>
      <c r="M52" s="229"/>
    </row>
    <row r="53" spans="1:13" ht="39" customHeight="1">
      <c r="A53" s="229"/>
      <c r="B53" s="229"/>
      <c r="C53" s="230"/>
      <c r="D53" s="229"/>
      <c r="E53" s="231"/>
      <c r="F53" s="229"/>
      <c r="G53" s="229"/>
      <c r="H53" s="229"/>
      <c r="I53" s="229"/>
      <c r="J53" s="229"/>
      <c r="K53" s="229"/>
      <c r="L53" s="229"/>
      <c r="M53" s="229"/>
    </row>
    <row r="54" spans="1:13" ht="39" customHeight="1">
      <c r="A54" s="229"/>
      <c r="B54" s="229"/>
      <c r="C54" s="230"/>
      <c r="D54" s="229"/>
      <c r="E54" s="231"/>
      <c r="F54" s="229"/>
      <c r="G54" s="229"/>
      <c r="H54" s="229"/>
      <c r="I54" s="229"/>
      <c r="J54" s="229"/>
      <c r="K54" s="229"/>
      <c r="L54" s="229"/>
      <c r="M54" s="229"/>
    </row>
    <row r="55" spans="1:13" ht="39" customHeight="1">
      <c r="A55" s="229"/>
      <c r="B55" s="229"/>
      <c r="C55" s="230"/>
      <c r="D55" s="229"/>
      <c r="E55" s="231"/>
      <c r="F55" s="229"/>
      <c r="G55" s="229"/>
      <c r="H55" s="229"/>
      <c r="I55" s="229"/>
      <c r="J55" s="229"/>
      <c r="K55" s="229"/>
      <c r="L55" s="229"/>
      <c r="M55" s="229"/>
    </row>
    <row r="56" spans="1:13" ht="39" customHeight="1">
      <c r="A56" s="229"/>
      <c r="B56" s="229"/>
      <c r="C56" s="230"/>
      <c r="D56" s="229"/>
      <c r="E56" s="231"/>
      <c r="F56" s="229"/>
      <c r="G56" s="229"/>
      <c r="H56" s="229"/>
      <c r="I56" s="229"/>
      <c r="J56" s="229"/>
      <c r="K56" s="229"/>
      <c r="L56" s="229"/>
      <c r="M56" s="229"/>
    </row>
    <row r="57" spans="1:13" ht="39" customHeight="1">
      <c r="A57" s="229"/>
      <c r="B57" s="229"/>
      <c r="C57" s="230"/>
      <c r="D57" s="229"/>
      <c r="E57" s="231"/>
      <c r="F57" s="229"/>
      <c r="G57" s="229"/>
      <c r="H57" s="229"/>
      <c r="I57" s="229"/>
      <c r="J57" s="229"/>
      <c r="K57" s="229"/>
      <c r="L57" s="229"/>
      <c r="M57" s="229"/>
    </row>
    <row r="58" spans="1:13" ht="39" customHeight="1">
      <c r="A58" s="229"/>
      <c r="B58" s="229"/>
      <c r="C58" s="230"/>
      <c r="D58" s="229"/>
      <c r="E58" s="231"/>
      <c r="F58" s="229"/>
      <c r="G58" s="229"/>
      <c r="H58" s="229"/>
      <c r="I58" s="229"/>
      <c r="J58" s="229"/>
      <c r="K58" s="229"/>
      <c r="L58" s="229"/>
      <c r="M58" s="229"/>
    </row>
    <row r="59" spans="1:13" ht="39" customHeight="1">
      <c r="A59" s="229"/>
      <c r="B59" s="229"/>
      <c r="C59" s="230"/>
      <c r="D59" s="229"/>
      <c r="E59" s="231"/>
      <c r="F59" s="229"/>
      <c r="G59" s="229"/>
      <c r="H59" s="229"/>
      <c r="I59" s="229"/>
      <c r="J59" s="229"/>
      <c r="K59" s="229"/>
      <c r="L59" s="229"/>
      <c r="M59" s="229"/>
    </row>
    <row r="60" spans="1:13" ht="39" customHeight="1">
      <c r="A60" s="229"/>
      <c r="B60" s="229"/>
      <c r="C60" s="230"/>
      <c r="D60" s="229"/>
      <c r="E60" s="231"/>
      <c r="F60" s="229"/>
      <c r="G60" s="229"/>
      <c r="H60" s="229"/>
      <c r="I60" s="229"/>
      <c r="J60" s="229"/>
      <c r="K60" s="229"/>
      <c r="L60" s="229"/>
      <c r="M60" s="229"/>
    </row>
    <row r="61" spans="1:13" ht="39" customHeight="1">
      <c r="A61" s="229"/>
      <c r="B61" s="229"/>
      <c r="C61" s="230"/>
      <c r="D61" s="229"/>
      <c r="E61" s="231"/>
      <c r="F61" s="229"/>
      <c r="G61" s="229"/>
      <c r="H61" s="229"/>
      <c r="I61" s="229"/>
      <c r="J61" s="229"/>
      <c r="K61" s="229"/>
      <c r="L61" s="229"/>
      <c r="M61" s="229"/>
    </row>
    <row r="62" spans="1:13" ht="39" customHeight="1">
      <c r="A62" s="229"/>
      <c r="B62" s="229"/>
      <c r="C62" s="230"/>
      <c r="D62" s="229"/>
      <c r="E62" s="231"/>
      <c r="F62" s="229"/>
      <c r="G62" s="229"/>
      <c r="H62" s="229"/>
      <c r="I62" s="229"/>
      <c r="J62" s="229"/>
      <c r="K62" s="229"/>
      <c r="L62" s="229"/>
      <c r="M62" s="229"/>
    </row>
    <row r="63" spans="1:13" ht="39" customHeight="1">
      <c r="A63" s="229"/>
      <c r="B63" s="229"/>
      <c r="C63" s="230"/>
      <c r="D63" s="229"/>
      <c r="E63" s="231"/>
      <c r="F63" s="229"/>
      <c r="G63" s="229"/>
      <c r="H63" s="229"/>
      <c r="I63" s="229"/>
      <c r="J63" s="229"/>
      <c r="K63" s="229"/>
      <c r="L63" s="229"/>
      <c r="M63" s="229"/>
    </row>
    <row r="64" spans="1:13" ht="39" customHeight="1">
      <c r="A64" s="229"/>
      <c r="B64" s="229"/>
      <c r="C64" s="230"/>
      <c r="D64" s="229"/>
      <c r="E64" s="231"/>
      <c r="F64" s="229"/>
      <c r="G64" s="229"/>
      <c r="H64" s="229"/>
      <c r="I64" s="229"/>
      <c r="J64" s="229"/>
      <c r="K64" s="229"/>
      <c r="L64" s="229"/>
      <c r="M64" s="229"/>
    </row>
    <row r="65" spans="1:13" ht="39" customHeight="1">
      <c r="A65" s="229"/>
      <c r="B65" s="229"/>
      <c r="C65" s="230"/>
      <c r="D65" s="229"/>
      <c r="E65" s="231"/>
      <c r="F65" s="229"/>
      <c r="G65" s="229"/>
      <c r="H65" s="229"/>
      <c r="I65" s="229"/>
      <c r="J65" s="229"/>
      <c r="K65" s="229"/>
      <c r="L65" s="229"/>
      <c r="M65" s="229"/>
    </row>
    <row r="66" spans="1:13" ht="39" customHeight="1">
      <c r="A66" s="229"/>
      <c r="B66" s="229"/>
      <c r="C66" s="230"/>
      <c r="D66" s="229"/>
      <c r="E66" s="231"/>
      <c r="F66" s="229"/>
      <c r="G66" s="229"/>
      <c r="H66" s="229"/>
      <c r="I66" s="229"/>
      <c r="J66" s="229"/>
      <c r="K66" s="229"/>
      <c r="L66" s="229"/>
      <c r="M66" s="229"/>
    </row>
    <row r="67" spans="1:13" ht="39" customHeight="1">
      <c r="A67" s="229"/>
      <c r="B67" s="229"/>
      <c r="C67" s="230"/>
      <c r="D67" s="229"/>
      <c r="E67" s="231"/>
      <c r="F67" s="229"/>
      <c r="G67" s="229"/>
      <c r="H67" s="229"/>
      <c r="I67" s="229"/>
      <c r="J67" s="229"/>
      <c r="K67" s="229"/>
      <c r="L67" s="229"/>
      <c r="M67" s="229"/>
    </row>
    <row r="68" spans="1:13" ht="39" customHeight="1">
      <c r="A68" s="229"/>
      <c r="B68" s="229"/>
      <c r="C68" s="230"/>
      <c r="D68" s="229"/>
      <c r="E68" s="231"/>
      <c r="F68" s="229"/>
      <c r="G68" s="229"/>
      <c r="H68" s="229"/>
      <c r="I68" s="229"/>
      <c r="J68" s="229"/>
      <c r="K68" s="229"/>
      <c r="L68" s="229"/>
      <c r="M68" s="229"/>
    </row>
    <row r="69" spans="1:13" ht="39" customHeight="1">
      <c r="A69" s="229"/>
      <c r="B69" s="229"/>
      <c r="C69" s="230"/>
      <c r="D69" s="229"/>
      <c r="E69" s="231"/>
      <c r="F69" s="229"/>
      <c r="G69" s="229"/>
      <c r="H69" s="229"/>
      <c r="I69" s="229"/>
      <c r="J69" s="229"/>
      <c r="K69" s="229"/>
      <c r="L69" s="229"/>
      <c r="M69" s="229"/>
    </row>
    <row r="70" spans="1:13" ht="39" customHeight="1">
      <c r="A70" s="229"/>
      <c r="B70" s="229"/>
      <c r="C70" s="230"/>
      <c r="D70" s="229"/>
      <c r="E70" s="231"/>
      <c r="F70" s="229"/>
      <c r="G70" s="229"/>
      <c r="H70" s="229"/>
      <c r="I70" s="229"/>
      <c r="J70" s="229"/>
      <c r="K70" s="229"/>
      <c r="L70" s="229"/>
      <c r="M70" s="229"/>
    </row>
    <row r="71" spans="1:13" ht="39" customHeight="1">
      <c r="A71" s="229"/>
      <c r="B71" s="229"/>
      <c r="C71" s="230"/>
      <c r="D71" s="229"/>
      <c r="E71" s="231"/>
      <c r="F71" s="229"/>
      <c r="G71" s="229"/>
      <c r="H71" s="229"/>
      <c r="I71" s="229"/>
      <c r="J71" s="229"/>
      <c r="K71" s="229"/>
      <c r="L71" s="229"/>
      <c r="M71" s="229"/>
    </row>
    <row r="72" spans="1:13" ht="39" customHeight="1">
      <c r="A72" s="229"/>
      <c r="B72" s="229"/>
      <c r="C72" s="230"/>
      <c r="D72" s="229"/>
      <c r="E72" s="231"/>
      <c r="F72" s="229"/>
      <c r="G72" s="229"/>
      <c r="H72" s="229"/>
      <c r="I72" s="229"/>
      <c r="J72" s="229"/>
      <c r="K72" s="229"/>
      <c r="L72" s="229"/>
      <c r="M72" s="229"/>
    </row>
    <row r="73" spans="1:13" ht="39" customHeight="1">
      <c r="A73" s="229"/>
      <c r="B73" s="229"/>
      <c r="C73" s="230"/>
      <c r="D73" s="229"/>
      <c r="E73" s="231"/>
      <c r="F73" s="229"/>
      <c r="G73" s="229"/>
      <c r="H73" s="229"/>
      <c r="I73" s="229"/>
      <c r="J73" s="229"/>
      <c r="K73" s="229"/>
      <c r="L73" s="229"/>
      <c r="M73" s="229"/>
    </row>
    <row r="74" spans="1:13" ht="39" customHeight="1">
      <c r="A74" s="229"/>
      <c r="B74" s="229"/>
      <c r="C74" s="230"/>
      <c r="D74" s="229"/>
      <c r="E74" s="231"/>
      <c r="F74" s="229"/>
      <c r="G74" s="229"/>
      <c r="H74" s="229"/>
      <c r="I74" s="229"/>
      <c r="J74" s="229"/>
      <c r="K74" s="229"/>
      <c r="L74" s="229"/>
      <c r="M74" s="229"/>
    </row>
    <row r="75" spans="1:13" ht="39" customHeight="1">
      <c r="A75" s="229"/>
      <c r="B75" s="229"/>
      <c r="C75" s="230"/>
      <c r="D75" s="229"/>
      <c r="E75" s="231"/>
      <c r="F75" s="229"/>
      <c r="G75" s="229"/>
      <c r="H75" s="229"/>
      <c r="I75" s="229"/>
      <c r="J75" s="229"/>
      <c r="K75" s="229"/>
      <c r="L75" s="229"/>
      <c r="M75" s="229"/>
    </row>
    <row r="76" spans="1:13" ht="39" customHeight="1">
      <c r="A76" s="229"/>
      <c r="B76" s="229"/>
      <c r="C76" s="230"/>
      <c r="D76" s="229"/>
      <c r="E76" s="231"/>
      <c r="F76" s="229"/>
      <c r="G76" s="229"/>
      <c r="H76" s="229"/>
      <c r="I76" s="229"/>
      <c r="J76" s="229"/>
      <c r="K76" s="229"/>
      <c r="L76" s="229"/>
      <c r="M76" s="229"/>
    </row>
    <row r="77" spans="1:13" ht="39" customHeight="1">
      <c r="A77" s="229"/>
      <c r="B77" s="229"/>
      <c r="C77" s="230"/>
      <c r="D77" s="229"/>
      <c r="E77" s="231"/>
      <c r="F77" s="229"/>
      <c r="G77" s="229"/>
      <c r="H77" s="229"/>
      <c r="I77" s="229"/>
      <c r="J77" s="229"/>
      <c r="K77" s="229"/>
      <c r="L77" s="229"/>
      <c r="M77" s="229"/>
    </row>
    <row r="78" spans="1:13" ht="39" customHeight="1">
      <c r="A78" s="229"/>
      <c r="B78" s="229"/>
      <c r="C78" s="230"/>
      <c r="D78" s="229"/>
      <c r="E78" s="231"/>
      <c r="F78" s="229"/>
      <c r="G78" s="229"/>
      <c r="H78" s="229"/>
      <c r="I78" s="229"/>
      <c r="J78" s="229"/>
      <c r="K78" s="229"/>
      <c r="L78" s="229"/>
      <c r="M78" s="229"/>
    </row>
    <row r="79" spans="1:13" ht="39" customHeight="1">
      <c r="A79" s="229"/>
      <c r="B79" s="229"/>
      <c r="C79" s="230"/>
      <c r="D79" s="229"/>
      <c r="E79" s="231"/>
      <c r="F79" s="229"/>
      <c r="G79" s="229"/>
      <c r="H79" s="229"/>
      <c r="I79" s="229"/>
      <c r="J79" s="229"/>
      <c r="K79" s="229"/>
      <c r="L79" s="229"/>
      <c r="M79" s="229"/>
    </row>
    <row r="80" spans="1:13" ht="39" customHeight="1">
      <c r="A80" s="229"/>
      <c r="B80" s="229"/>
      <c r="C80" s="230"/>
      <c r="D80" s="229"/>
      <c r="E80" s="231"/>
      <c r="F80" s="229"/>
      <c r="G80" s="229"/>
      <c r="H80" s="229"/>
      <c r="I80" s="229"/>
      <c r="J80" s="229"/>
      <c r="K80" s="229"/>
      <c r="L80" s="229"/>
      <c r="M80" s="229"/>
    </row>
    <row r="81" spans="1:13" ht="39" customHeight="1">
      <c r="A81" s="229"/>
      <c r="B81" s="229"/>
      <c r="C81" s="230"/>
      <c r="D81" s="229"/>
      <c r="E81" s="231"/>
      <c r="F81" s="229"/>
      <c r="G81" s="229"/>
      <c r="H81" s="229"/>
      <c r="I81" s="229"/>
      <c r="J81" s="229"/>
      <c r="K81" s="229"/>
      <c r="L81" s="229"/>
      <c r="M81" s="229"/>
    </row>
    <row r="82" spans="1:13" ht="39" customHeight="1">
      <c r="A82" s="229"/>
      <c r="B82" s="229"/>
      <c r="C82" s="230"/>
      <c r="D82" s="229"/>
      <c r="E82" s="231"/>
      <c r="F82" s="229"/>
      <c r="G82" s="229"/>
      <c r="H82" s="229"/>
      <c r="I82" s="229"/>
      <c r="J82" s="229"/>
      <c r="K82" s="229"/>
      <c r="L82" s="229"/>
      <c r="M82" s="229"/>
    </row>
    <row r="83" spans="1:13" ht="39" customHeight="1">
      <c r="A83" s="229"/>
      <c r="B83" s="229"/>
      <c r="C83" s="230"/>
      <c r="D83" s="229"/>
      <c r="E83" s="231"/>
      <c r="F83" s="229"/>
      <c r="G83" s="229"/>
      <c r="H83" s="229"/>
      <c r="I83" s="229"/>
      <c r="J83" s="229"/>
      <c r="K83" s="229"/>
      <c r="L83" s="229"/>
      <c r="M83" s="229"/>
    </row>
    <row r="84" spans="1:13" ht="39" customHeight="1">
      <c r="A84" s="229"/>
      <c r="B84" s="229"/>
      <c r="C84" s="230"/>
      <c r="D84" s="229"/>
      <c r="E84" s="231"/>
      <c r="F84" s="229"/>
      <c r="G84" s="229"/>
      <c r="H84" s="229"/>
      <c r="I84" s="229"/>
      <c r="J84" s="229"/>
      <c r="K84" s="229"/>
      <c r="L84" s="229"/>
      <c r="M84" s="229"/>
    </row>
    <row r="85" spans="1:13" ht="39" customHeight="1">
      <c r="A85" s="229"/>
      <c r="B85" s="229"/>
      <c r="C85" s="230"/>
      <c r="D85" s="229"/>
      <c r="E85" s="231"/>
      <c r="F85" s="229"/>
      <c r="G85" s="229"/>
      <c r="H85" s="229"/>
      <c r="I85" s="229"/>
      <c r="J85" s="229"/>
      <c r="K85" s="229"/>
      <c r="L85" s="229"/>
      <c r="M85" s="229"/>
    </row>
    <row r="86" spans="1:13" ht="39" customHeight="1">
      <c r="A86" s="229"/>
      <c r="B86" s="229"/>
      <c r="C86" s="230"/>
      <c r="D86" s="229"/>
      <c r="E86" s="231"/>
      <c r="F86" s="229"/>
      <c r="G86" s="229"/>
      <c r="H86" s="229"/>
      <c r="I86" s="229"/>
      <c r="J86" s="229"/>
      <c r="K86" s="229"/>
      <c r="L86" s="229"/>
      <c r="M86" s="229"/>
    </row>
    <row r="87" spans="1:13" ht="39" customHeight="1">
      <c r="A87" s="229"/>
      <c r="B87" s="229"/>
      <c r="C87" s="230"/>
      <c r="D87" s="229"/>
      <c r="E87" s="231"/>
      <c r="F87" s="229"/>
      <c r="G87" s="229"/>
      <c r="H87" s="229"/>
      <c r="I87" s="229"/>
      <c r="J87" s="229"/>
      <c r="K87" s="229"/>
      <c r="L87" s="229"/>
      <c r="M87" s="229"/>
    </row>
    <row r="88" spans="1:13" ht="39" customHeight="1">
      <c r="A88" s="229"/>
      <c r="B88" s="229"/>
      <c r="C88" s="230"/>
      <c r="D88" s="229"/>
      <c r="E88" s="231"/>
      <c r="F88" s="229"/>
      <c r="G88" s="229"/>
      <c r="H88" s="229"/>
      <c r="I88" s="229"/>
      <c r="J88" s="229"/>
      <c r="K88" s="229"/>
      <c r="L88" s="229"/>
      <c r="M88" s="229"/>
    </row>
    <row r="89" spans="1:13" ht="39" customHeight="1">
      <c r="A89" s="229"/>
      <c r="B89" s="229"/>
      <c r="C89" s="230"/>
      <c r="D89" s="229"/>
      <c r="E89" s="231"/>
      <c r="F89" s="229"/>
      <c r="G89" s="229"/>
      <c r="H89" s="229"/>
      <c r="I89" s="229"/>
      <c r="J89" s="229"/>
      <c r="K89" s="229"/>
      <c r="L89" s="229"/>
      <c r="M89" s="229"/>
    </row>
    <row r="90" spans="1:13" ht="39" customHeight="1">
      <c r="A90" s="229"/>
      <c r="B90" s="229"/>
      <c r="C90" s="230"/>
      <c r="D90" s="229"/>
      <c r="E90" s="231"/>
      <c r="F90" s="229"/>
      <c r="G90" s="229"/>
      <c r="H90" s="229"/>
      <c r="I90" s="229"/>
      <c r="J90" s="229"/>
      <c r="K90" s="229"/>
      <c r="L90" s="229"/>
      <c r="M90" s="229"/>
    </row>
    <row r="91" spans="1:13" ht="39" customHeight="1">
      <c r="A91" s="229"/>
      <c r="B91" s="229"/>
      <c r="C91" s="230"/>
      <c r="D91" s="229"/>
      <c r="E91" s="231"/>
      <c r="F91" s="229"/>
      <c r="G91" s="229"/>
      <c r="H91" s="229"/>
      <c r="I91" s="229"/>
      <c r="J91" s="229"/>
      <c r="K91" s="229"/>
      <c r="L91" s="229"/>
      <c r="M91" s="229"/>
    </row>
    <row r="92" spans="1:13" ht="39" customHeight="1">
      <c r="A92" s="229"/>
      <c r="B92" s="229"/>
      <c r="C92" s="230"/>
      <c r="D92" s="229"/>
      <c r="E92" s="231"/>
      <c r="F92" s="229"/>
      <c r="G92" s="229"/>
      <c r="H92" s="229"/>
      <c r="I92" s="229"/>
      <c r="J92" s="229"/>
      <c r="K92" s="229"/>
      <c r="L92" s="229"/>
      <c r="M92" s="229"/>
    </row>
    <row r="93" spans="1:13" ht="39" customHeight="1">
      <c r="A93" s="229"/>
      <c r="B93" s="229"/>
      <c r="C93" s="230"/>
      <c r="D93" s="229"/>
      <c r="E93" s="231"/>
      <c r="F93" s="229"/>
      <c r="G93" s="229"/>
      <c r="H93" s="229"/>
      <c r="I93" s="229"/>
      <c r="J93" s="229"/>
      <c r="K93" s="229"/>
      <c r="L93" s="229"/>
      <c r="M93" s="229"/>
    </row>
    <row r="94" spans="1:13" ht="39" customHeight="1">
      <c r="A94" s="229"/>
      <c r="B94" s="229"/>
      <c r="C94" s="230"/>
      <c r="D94" s="229"/>
      <c r="E94" s="231"/>
      <c r="F94" s="229"/>
      <c r="G94" s="229"/>
      <c r="H94" s="229"/>
      <c r="I94" s="229"/>
      <c r="J94" s="229"/>
      <c r="K94" s="229"/>
      <c r="L94" s="229"/>
      <c r="M94" s="229"/>
    </row>
    <row r="95" spans="1:13" ht="39" customHeight="1">
      <c r="A95" s="229"/>
      <c r="B95" s="229"/>
      <c r="C95" s="230"/>
      <c r="D95" s="229"/>
      <c r="E95" s="231"/>
      <c r="F95" s="229"/>
      <c r="G95" s="229"/>
      <c r="H95" s="229"/>
      <c r="I95" s="229"/>
      <c r="J95" s="229"/>
      <c r="K95" s="229"/>
      <c r="L95" s="229"/>
      <c r="M95" s="229"/>
    </row>
    <row r="96" spans="1:13" ht="39" customHeight="1">
      <c r="A96" s="229"/>
      <c r="B96" s="229"/>
      <c r="C96" s="230"/>
      <c r="D96" s="229"/>
      <c r="E96" s="231"/>
      <c r="F96" s="229"/>
      <c r="G96" s="229"/>
      <c r="H96" s="229"/>
      <c r="I96" s="229"/>
      <c r="J96" s="229"/>
      <c r="K96" s="229"/>
      <c r="L96" s="229"/>
      <c r="M96" s="229"/>
    </row>
    <row r="97" spans="1:13" ht="39" customHeight="1">
      <c r="A97" s="229"/>
      <c r="B97" s="229"/>
      <c r="C97" s="230"/>
      <c r="D97" s="229"/>
      <c r="E97" s="231"/>
      <c r="F97" s="229"/>
      <c r="G97" s="229"/>
      <c r="H97" s="229"/>
      <c r="I97" s="229"/>
      <c r="J97" s="229"/>
      <c r="K97" s="229"/>
      <c r="L97" s="229"/>
      <c r="M97" s="229"/>
    </row>
    <row r="98" spans="1:13" ht="39" customHeight="1">
      <c r="A98" s="229"/>
      <c r="B98" s="229"/>
      <c r="C98" s="230"/>
      <c r="D98" s="229"/>
      <c r="E98" s="231"/>
      <c r="F98" s="229"/>
      <c r="G98" s="229"/>
      <c r="H98" s="229"/>
      <c r="I98" s="229"/>
      <c r="J98" s="229"/>
      <c r="K98" s="229"/>
      <c r="L98" s="229"/>
      <c r="M98" s="229"/>
    </row>
    <row r="99" spans="1:13" ht="39" customHeight="1">
      <c r="A99" s="229"/>
      <c r="B99" s="229"/>
      <c r="C99" s="230"/>
      <c r="D99" s="229"/>
      <c r="E99" s="231"/>
      <c r="F99" s="229"/>
      <c r="G99" s="229"/>
      <c r="H99" s="229"/>
      <c r="I99" s="229"/>
      <c r="J99" s="229"/>
      <c r="K99" s="229"/>
      <c r="L99" s="229"/>
      <c r="M99" s="229"/>
    </row>
    <row r="100" spans="1:13" ht="39" customHeight="1">
      <c r="A100" s="229"/>
      <c r="B100" s="229"/>
      <c r="C100" s="230"/>
      <c r="D100" s="229"/>
      <c r="E100" s="231"/>
      <c r="F100" s="229"/>
      <c r="G100" s="229"/>
      <c r="H100" s="229"/>
      <c r="I100" s="229"/>
      <c r="J100" s="229"/>
      <c r="K100" s="229"/>
      <c r="L100" s="229"/>
      <c r="M100" s="229"/>
    </row>
  </sheetData>
  <mergeCells count="5">
    <mergeCell ref="A1:M1"/>
    <mergeCell ref="A2:M2"/>
    <mergeCell ref="A5:C5"/>
    <mergeCell ref="A6:C6"/>
    <mergeCell ref="H6:I6"/>
  </mergeCells>
  <conditionalFormatting sqref="G4:G5 G7:G100">
    <cfRule type="cellIs" dxfId="3" priority="1" stopIfTrue="1" operator="equal">
      <formula>"ER"</formula>
    </cfRule>
  </conditionalFormatting>
  <conditionalFormatting sqref="I4:K5 I7:K100">
    <cfRule type="cellIs" dxfId="2" priority="2" stopIfTrue="1" operator="equal">
      <formula>"ER"</formula>
    </cfRule>
  </conditionalFormatting>
  <printOptions horizontalCentered="1"/>
  <pageMargins left="0" right="0" top="0.23622047244094499" bottom="0" header="0" footer="0"/>
  <pageSetup paperSize="9" scale="72" fitToHeight="0" orientation="landscape" horizontalDpi="360" verticalDpi="36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85623"/>
    <pageSetUpPr fitToPage="1"/>
  </sheetPr>
  <dimension ref="A1:P100"/>
  <sheetViews>
    <sheetView zoomScale="85" zoomScaleNormal="85" workbookViewId="0">
      <pane ySplit="1" topLeftCell="A2" activePane="bottomLeft" state="frozen"/>
      <selection pane="bottomLeft" activeCell="G5" sqref="G5"/>
    </sheetView>
  </sheetViews>
  <sheetFormatPr defaultColWidth="16.81640625" defaultRowHeight="15" customHeight="1"/>
  <cols>
    <col min="1" max="1" width="5.1796875" customWidth="1"/>
    <col min="2" max="2" width="11.81640625" customWidth="1"/>
    <col min="3" max="3" width="16.81640625" customWidth="1"/>
    <col min="4" max="4" width="12.1796875" customWidth="1"/>
    <col min="5" max="5" width="15.7265625" customWidth="1"/>
    <col min="6" max="6" width="11" customWidth="1"/>
    <col min="7" max="7" width="13.26953125" customWidth="1"/>
    <col min="8" max="8" width="16.81640625" customWidth="1"/>
    <col min="9" max="9" width="15.453125" customWidth="1"/>
    <col min="10" max="10" width="12.81640625" customWidth="1"/>
    <col min="11" max="11" width="15.7265625" customWidth="1"/>
    <col min="12" max="12" width="14.26953125" customWidth="1"/>
    <col min="13" max="13" width="15.26953125" customWidth="1"/>
    <col min="14" max="14" width="12.7265625" customWidth="1"/>
    <col min="15" max="15" width="49.1796875" customWidth="1"/>
    <col min="16" max="16" width="6.26953125" customWidth="1"/>
  </cols>
  <sheetData>
    <row r="1" spans="1:16" ht="39" customHeight="1">
      <c r="A1" s="849" t="s">
        <v>0</v>
      </c>
      <c r="B1" s="634"/>
      <c r="C1" s="634"/>
      <c r="D1" s="634"/>
      <c r="E1" s="634"/>
      <c r="F1" s="634"/>
      <c r="G1" s="634"/>
      <c r="H1" s="634"/>
      <c r="I1" s="634"/>
      <c r="J1" s="634"/>
      <c r="K1" s="634"/>
      <c r="L1" s="634"/>
      <c r="M1" s="634"/>
      <c r="N1" s="634"/>
      <c r="O1" s="635"/>
      <c r="P1" s="232"/>
    </row>
    <row r="2" spans="1:16" ht="39" customHeight="1">
      <c r="A2" s="850" t="s">
        <v>583</v>
      </c>
      <c r="B2" s="637"/>
      <c r="C2" s="637"/>
      <c r="D2" s="637"/>
      <c r="E2" s="637"/>
      <c r="F2" s="637"/>
      <c r="G2" s="637"/>
      <c r="H2" s="637"/>
      <c r="I2" s="637"/>
      <c r="J2" s="637"/>
      <c r="K2" s="637"/>
      <c r="L2" s="637"/>
      <c r="M2" s="637"/>
      <c r="N2" s="637"/>
      <c r="O2" s="638"/>
      <c r="P2" s="233"/>
    </row>
    <row r="3" spans="1:16" ht="39" customHeight="1">
      <c r="A3" s="234" t="s">
        <v>39</v>
      </c>
      <c r="B3" s="235" t="s">
        <v>40</v>
      </c>
      <c r="C3" s="235" t="s">
        <v>41</v>
      </c>
      <c r="D3" s="235" t="s">
        <v>217</v>
      </c>
      <c r="E3" s="235" t="s">
        <v>113</v>
      </c>
      <c r="F3" s="235" t="s">
        <v>318</v>
      </c>
      <c r="G3" s="235" t="s">
        <v>259</v>
      </c>
      <c r="H3" s="235" t="s">
        <v>220</v>
      </c>
      <c r="I3" s="235" t="s">
        <v>260</v>
      </c>
      <c r="J3" s="235" t="s">
        <v>261</v>
      </c>
      <c r="K3" s="235" t="s">
        <v>263</v>
      </c>
      <c r="L3" s="235" t="s">
        <v>264</v>
      </c>
      <c r="M3" s="235" t="s">
        <v>265</v>
      </c>
      <c r="N3" s="236" t="s">
        <v>50</v>
      </c>
      <c r="O3" s="237" t="s">
        <v>52</v>
      </c>
      <c r="P3" s="233"/>
    </row>
    <row r="4" spans="1:16" ht="77.25" customHeight="1">
      <c r="A4" s="238">
        <v>1</v>
      </c>
      <c r="B4" s="239" t="s">
        <v>319</v>
      </c>
      <c r="C4" s="195" t="s">
        <v>320</v>
      </c>
      <c r="D4" s="64">
        <f>((18800+1880)+3000)/31*F4</f>
        <v>0</v>
      </c>
      <c r="E4" s="240"/>
      <c r="F4" s="240">
        <v>0</v>
      </c>
      <c r="G4" s="240">
        <f>((18800+1880)+3000)/31</f>
        <v>763.87096774193549</v>
      </c>
      <c r="H4" s="240">
        <v>0</v>
      </c>
      <c r="I4" s="240">
        <v>0</v>
      </c>
      <c r="J4" s="241">
        <v>0</v>
      </c>
      <c r="K4" s="240">
        <v>0</v>
      </c>
      <c r="L4" s="240">
        <f t="shared" ref="L4:L5" si="0">G4*J4</f>
        <v>0</v>
      </c>
      <c r="M4" s="240">
        <f t="shared" ref="M4:M5" si="1">I4+L4+K4</f>
        <v>0</v>
      </c>
      <c r="N4" s="240">
        <f t="shared" ref="N4:N5" si="2">ROUND(D4-M4,0)</f>
        <v>0</v>
      </c>
      <c r="O4" s="242" t="s">
        <v>559</v>
      </c>
      <c r="P4" s="233" t="s">
        <v>285</v>
      </c>
    </row>
    <row r="5" spans="1:16" ht="69.75" customHeight="1">
      <c r="A5" s="238">
        <v>2</v>
      </c>
      <c r="B5" s="239" t="s">
        <v>321</v>
      </c>
      <c r="C5" s="239" t="s">
        <v>322</v>
      </c>
      <c r="D5" s="240">
        <f>35000</f>
        <v>35000</v>
      </c>
      <c r="E5" s="240"/>
      <c r="F5" s="240">
        <v>8</v>
      </c>
      <c r="G5" s="240">
        <f>D5/31</f>
        <v>1129.0322580645161</v>
      </c>
      <c r="H5" s="240">
        <v>0</v>
      </c>
      <c r="I5" s="240">
        <v>0</v>
      </c>
      <c r="J5" s="241">
        <v>0</v>
      </c>
      <c r="K5" s="240">
        <v>0</v>
      </c>
      <c r="L5" s="240">
        <f t="shared" si="0"/>
        <v>0</v>
      </c>
      <c r="M5" s="240">
        <f t="shared" si="1"/>
        <v>0</v>
      </c>
      <c r="N5" s="240">
        <f t="shared" si="2"/>
        <v>35000</v>
      </c>
      <c r="O5" s="243" t="s">
        <v>323</v>
      </c>
      <c r="P5" s="233" t="s">
        <v>285</v>
      </c>
    </row>
    <row r="6" spans="1:16" ht="39" customHeight="1">
      <c r="A6" s="851" t="s">
        <v>32</v>
      </c>
      <c r="B6" s="637"/>
      <c r="C6" s="628"/>
      <c r="D6" s="236">
        <f t="shared" ref="D6:N6" si="3">SUM(D4:D5)</f>
        <v>35000</v>
      </c>
      <c r="E6" s="236">
        <f t="shared" si="3"/>
        <v>0</v>
      </c>
      <c r="F6" s="236">
        <f t="shared" si="3"/>
        <v>8</v>
      </c>
      <c r="G6" s="236">
        <f t="shared" si="3"/>
        <v>1892.9032258064517</v>
      </c>
      <c r="H6" s="236">
        <f t="shared" si="3"/>
        <v>0</v>
      </c>
      <c r="I6" s="236">
        <f t="shared" si="3"/>
        <v>0</v>
      </c>
      <c r="J6" s="236">
        <f t="shared" si="3"/>
        <v>0</v>
      </c>
      <c r="K6" s="236">
        <f t="shared" si="3"/>
        <v>0</v>
      </c>
      <c r="L6" s="236">
        <f t="shared" si="3"/>
        <v>0</v>
      </c>
      <c r="M6" s="236">
        <f t="shared" si="3"/>
        <v>0</v>
      </c>
      <c r="N6" s="236">
        <f t="shared" si="3"/>
        <v>35000</v>
      </c>
      <c r="O6" s="244" t="s">
        <v>257</v>
      </c>
      <c r="P6" s="233"/>
    </row>
    <row r="7" spans="1:16" ht="75" customHeight="1">
      <c r="A7" s="852" t="s">
        <v>34</v>
      </c>
      <c r="B7" s="770"/>
      <c r="C7" s="245"/>
      <c r="D7" s="245"/>
      <c r="E7" s="245"/>
      <c r="F7" s="245"/>
      <c r="G7" s="245"/>
      <c r="H7" s="853"/>
      <c r="I7" s="770"/>
      <c r="J7" s="245"/>
      <c r="K7" s="245"/>
      <c r="L7" s="245"/>
      <c r="M7" s="245"/>
      <c r="N7" s="853" t="s">
        <v>35</v>
      </c>
      <c r="O7" s="772"/>
      <c r="P7" s="246"/>
    </row>
    <row r="8" spans="1:16" ht="39" customHeight="1">
      <c r="A8" s="233"/>
      <c r="B8" s="233"/>
      <c r="C8" s="247"/>
      <c r="D8" s="233"/>
      <c r="E8" s="248"/>
      <c r="F8" s="233"/>
      <c r="G8" s="233"/>
      <c r="H8" s="233"/>
      <c r="I8" s="233"/>
      <c r="J8" s="233"/>
      <c r="K8" s="233"/>
      <c r="L8" s="233"/>
      <c r="M8" s="233"/>
      <c r="N8" s="233"/>
      <c r="O8" s="233"/>
      <c r="P8" s="233"/>
    </row>
    <row r="9" spans="1:16" ht="39" customHeight="1">
      <c r="A9" s="233"/>
      <c r="B9" s="233"/>
      <c r="C9" s="247"/>
      <c r="D9" s="233"/>
      <c r="E9" s="248"/>
      <c r="F9" s="233"/>
      <c r="G9" s="233"/>
      <c r="H9" s="233"/>
      <c r="I9" s="233"/>
      <c r="J9" s="233"/>
      <c r="K9" s="233"/>
      <c r="L9" s="233"/>
      <c r="M9" s="233"/>
      <c r="N9" s="233"/>
      <c r="O9" s="233"/>
      <c r="P9" s="233"/>
    </row>
    <row r="10" spans="1:16" ht="39" customHeight="1">
      <c r="A10" s="233"/>
      <c r="B10" s="233"/>
      <c r="C10" s="247"/>
      <c r="D10" s="233"/>
      <c r="E10" s="248"/>
      <c r="F10" s="233"/>
      <c r="G10" s="233"/>
      <c r="H10" s="233"/>
      <c r="I10" s="233"/>
      <c r="J10" s="233"/>
      <c r="K10" s="233"/>
      <c r="L10" s="233"/>
      <c r="M10" s="233"/>
      <c r="N10" s="233"/>
      <c r="O10" s="233"/>
      <c r="P10" s="233"/>
    </row>
    <row r="11" spans="1:16" ht="39" customHeight="1">
      <c r="A11" s="233"/>
      <c r="B11" s="233"/>
      <c r="C11" s="247"/>
      <c r="D11" s="233"/>
      <c r="E11" s="248"/>
      <c r="F11" s="233"/>
      <c r="G11" s="233"/>
      <c r="H11" s="233"/>
      <c r="I11" s="233"/>
      <c r="J11" s="233"/>
      <c r="K11" s="233"/>
      <c r="L11" s="233"/>
      <c r="M11" s="233"/>
      <c r="N11" s="233"/>
      <c r="O11" s="233"/>
      <c r="P11" s="233"/>
    </row>
    <row r="12" spans="1:16" ht="39" customHeight="1">
      <c r="A12" s="233"/>
      <c r="B12" s="233"/>
      <c r="C12" s="247"/>
      <c r="D12" s="233"/>
      <c r="E12" s="248"/>
      <c r="F12" s="233"/>
      <c r="G12" s="233"/>
      <c r="H12" s="233"/>
      <c r="I12" s="233"/>
      <c r="J12" s="233"/>
      <c r="K12" s="233"/>
      <c r="L12" s="233"/>
      <c r="M12" s="233"/>
      <c r="N12" s="233"/>
      <c r="O12" s="233"/>
      <c r="P12" s="233"/>
    </row>
    <row r="13" spans="1:16" ht="39" customHeight="1">
      <c r="A13" s="233"/>
      <c r="B13" s="233"/>
      <c r="C13" s="247"/>
      <c r="D13" s="233"/>
      <c r="E13" s="248"/>
      <c r="F13" s="233"/>
      <c r="G13" s="233"/>
      <c r="H13" s="233"/>
      <c r="I13" s="233"/>
      <c r="J13" s="233"/>
      <c r="K13" s="233"/>
      <c r="L13" s="233"/>
      <c r="M13" s="233"/>
      <c r="N13" s="233"/>
      <c r="O13" s="233"/>
      <c r="P13" s="233"/>
    </row>
    <row r="14" spans="1:16" ht="39" customHeight="1">
      <c r="A14" s="233"/>
      <c r="B14" s="233"/>
      <c r="C14" s="247"/>
      <c r="D14" s="233"/>
      <c r="E14" s="248"/>
      <c r="F14" s="233"/>
      <c r="G14" s="233"/>
      <c r="H14" s="233"/>
      <c r="I14" s="233"/>
      <c r="J14" s="233"/>
      <c r="K14" s="233"/>
      <c r="L14" s="233"/>
      <c r="M14" s="233"/>
      <c r="N14" s="233"/>
      <c r="O14" s="233"/>
      <c r="P14" s="233"/>
    </row>
    <row r="15" spans="1:16" ht="39" customHeight="1">
      <c r="A15" s="233"/>
      <c r="B15" s="233"/>
      <c r="C15" s="247"/>
      <c r="D15" s="233"/>
      <c r="E15" s="248"/>
      <c r="F15" s="233"/>
      <c r="G15" s="233"/>
      <c r="H15" s="233"/>
      <c r="I15" s="233"/>
      <c r="J15" s="233"/>
      <c r="K15" s="233"/>
      <c r="L15" s="233"/>
      <c r="M15" s="233"/>
      <c r="N15" s="233"/>
      <c r="O15" s="233"/>
      <c r="P15" s="233"/>
    </row>
    <row r="16" spans="1:16" ht="39" customHeight="1">
      <c r="A16" s="233"/>
      <c r="B16" s="233"/>
      <c r="C16" s="247"/>
      <c r="D16" s="233"/>
      <c r="E16" s="248"/>
      <c r="F16" s="233"/>
      <c r="G16" s="233"/>
      <c r="H16" s="233"/>
      <c r="I16" s="233"/>
      <c r="J16" s="233"/>
      <c r="K16" s="233"/>
      <c r="L16" s="233"/>
      <c r="M16" s="233"/>
      <c r="N16" s="233"/>
      <c r="O16" s="233"/>
      <c r="P16" s="233"/>
    </row>
    <row r="17" spans="1:16" ht="39" customHeight="1">
      <c r="A17" s="233"/>
      <c r="B17" s="233"/>
      <c r="C17" s="247"/>
      <c r="D17" s="233"/>
      <c r="E17" s="248"/>
      <c r="F17" s="233"/>
      <c r="G17" s="233"/>
      <c r="H17" s="233"/>
      <c r="I17" s="233"/>
      <c r="J17" s="233"/>
      <c r="K17" s="233"/>
      <c r="L17" s="233"/>
      <c r="M17" s="233"/>
      <c r="N17" s="233"/>
      <c r="O17" s="233"/>
      <c r="P17" s="233"/>
    </row>
    <row r="18" spans="1:16" ht="39" customHeight="1">
      <c r="A18" s="233"/>
      <c r="B18" s="233"/>
      <c r="C18" s="247"/>
      <c r="D18" s="233"/>
      <c r="E18" s="248"/>
      <c r="F18" s="233"/>
      <c r="G18" s="233"/>
      <c r="H18" s="233"/>
      <c r="I18" s="233"/>
      <c r="J18" s="233"/>
      <c r="K18" s="233"/>
      <c r="L18" s="233"/>
      <c r="M18" s="233"/>
      <c r="N18" s="233"/>
      <c r="O18" s="233"/>
      <c r="P18" s="233"/>
    </row>
    <row r="19" spans="1:16" ht="39" customHeight="1">
      <c r="A19" s="233"/>
      <c r="B19" s="233"/>
      <c r="C19" s="247"/>
      <c r="D19" s="233"/>
      <c r="E19" s="248"/>
      <c r="F19" s="233"/>
      <c r="G19" s="233"/>
      <c r="H19" s="233"/>
      <c r="I19" s="233"/>
      <c r="J19" s="233"/>
      <c r="K19" s="233"/>
      <c r="L19" s="233"/>
      <c r="M19" s="233"/>
      <c r="N19" s="233"/>
      <c r="O19" s="233"/>
      <c r="P19" s="233"/>
    </row>
    <row r="20" spans="1:16" ht="39" customHeight="1">
      <c r="A20" s="233"/>
      <c r="B20" s="233"/>
      <c r="C20" s="247"/>
      <c r="D20" s="233"/>
      <c r="E20" s="248"/>
      <c r="F20" s="233"/>
      <c r="G20" s="233"/>
      <c r="H20" s="233"/>
      <c r="I20" s="233"/>
      <c r="J20" s="233"/>
      <c r="K20" s="233"/>
      <c r="L20" s="233"/>
      <c r="M20" s="233"/>
      <c r="N20" s="233"/>
      <c r="O20" s="233"/>
      <c r="P20" s="233"/>
    </row>
    <row r="21" spans="1:16" ht="39" customHeight="1">
      <c r="A21" s="233"/>
      <c r="B21" s="233"/>
      <c r="C21" s="247"/>
      <c r="D21" s="233"/>
      <c r="E21" s="248"/>
      <c r="F21" s="233"/>
      <c r="G21" s="233"/>
      <c r="H21" s="233"/>
      <c r="I21" s="233"/>
      <c r="J21" s="233"/>
      <c r="K21" s="233"/>
      <c r="L21" s="233"/>
      <c r="M21" s="233"/>
      <c r="N21" s="233"/>
      <c r="O21" s="233"/>
      <c r="P21" s="233"/>
    </row>
    <row r="22" spans="1:16" ht="39" customHeight="1">
      <c r="A22" s="233"/>
      <c r="B22" s="233"/>
      <c r="C22" s="247"/>
      <c r="D22" s="233"/>
      <c r="E22" s="248"/>
      <c r="F22" s="233"/>
      <c r="G22" s="233"/>
      <c r="H22" s="233"/>
      <c r="I22" s="233"/>
      <c r="J22" s="233"/>
      <c r="K22" s="233"/>
      <c r="L22" s="233"/>
      <c r="M22" s="233"/>
      <c r="N22" s="233"/>
      <c r="O22" s="233"/>
      <c r="P22" s="233"/>
    </row>
    <row r="23" spans="1:16" ht="39" customHeight="1">
      <c r="A23" s="233"/>
      <c r="B23" s="233"/>
      <c r="C23" s="247"/>
      <c r="D23" s="233"/>
      <c r="E23" s="248"/>
      <c r="F23" s="233"/>
      <c r="G23" s="233"/>
      <c r="H23" s="233"/>
      <c r="I23" s="233"/>
      <c r="J23" s="233"/>
      <c r="K23" s="233"/>
      <c r="L23" s="233"/>
      <c r="M23" s="233"/>
      <c r="N23" s="233"/>
      <c r="O23" s="233"/>
      <c r="P23" s="233"/>
    </row>
    <row r="24" spans="1:16" ht="39" customHeight="1">
      <c r="A24" s="233"/>
      <c r="B24" s="233"/>
      <c r="C24" s="247"/>
      <c r="D24" s="233"/>
      <c r="E24" s="248"/>
      <c r="F24" s="233"/>
      <c r="G24" s="233"/>
      <c r="H24" s="233"/>
      <c r="I24" s="233"/>
      <c r="J24" s="233"/>
      <c r="K24" s="233"/>
      <c r="L24" s="233"/>
      <c r="M24" s="233"/>
      <c r="N24" s="233"/>
      <c r="O24" s="233"/>
      <c r="P24" s="233"/>
    </row>
    <row r="25" spans="1:16" ht="39" customHeight="1">
      <c r="A25" s="233"/>
      <c r="B25" s="233"/>
      <c r="C25" s="247"/>
      <c r="D25" s="233"/>
      <c r="E25" s="248"/>
      <c r="F25" s="233"/>
      <c r="G25" s="233"/>
      <c r="H25" s="233"/>
      <c r="I25" s="233"/>
      <c r="J25" s="233"/>
      <c r="K25" s="233"/>
      <c r="L25" s="233"/>
      <c r="M25" s="233"/>
      <c r="N25" s="233"/>
      <c r="O25" s="233"/>
      <c r="P25" s="233"/>
    </row>
    <row r="26" spans="1:16" ht="39" customHeight="1">
      <c r="A26" s="233"/>
      <c r="B26" s="233"/>
      <c r="C26" s="247"/>
      <c r="D26" s="233"/>
      <c r="E26" s="248"/>
      <c r="F26" s="233"/>
      <c r="G26" s="233"/>
      <c r="H26" s="233"/>
      <c r="I26" s="233"/>
      <c r="J26" s="233"/>
      <c r="K26" s="233"/>
      <c r="L26" s="233"/>
      <c r="M26" s="233"/>
      <c r="N26" s="233"/>
      <c r="O26" s="233"/>
      <c r="P26" s="233"/>
    </row>
    <row r="27" spans="1:16" ht="39" customHeight="1">
      <c r="A27" s="233"/>
      <c r="B27" s="233"/>
      <c r="C27" s="247"/>
      <c r="D27" s="233"/>
      <c r="E27" s="248"/>
      <c r="F27" s="233"/>
      <c r="G27" s="233"/>
      <c r="H27" s="233"/>
      <c r="I27" s="233"/>
      <c r="J27" s="233"/>
      <c r="K27" s="233"/>
      <c r="L27" s="233"/>
      <c r="M27" s="233"/>
      <c r="N27" s="233"/>
      <c r="O27" s="233"/>
      <c r="P27" s="233"/>
    </row>
    <row r="28" spans="1:16" ht="39" customHeight="1">
      <c r="A28" s="233"/>
      <c r="B28" s="233"/>
      <c r="C28" s="247"/>
      <c r="D28" s="233"/>
      <c r="E28" s="248"/>
      <c r="F28" s="233"/>
      <c r="G28" s="233"/>
      <c r="H28" s="233"/>
      <c r="I28" s="233"/>
      <c r="J28" s="233"/>
      <c r="K28" s="233"/>
      <c r="L28" s="233"/>
      <c r="M28" s="233"/>
      <c r="N28" s="233"/>
      <c r="O28" s="233"/>
      <c r="P28" s="233"/>
    </row>
    <row r="29" spans="1:16" ht="39" customHeight="1">
      <c r="A29" s="233"/>
      <c r="B29" s="233"/>
      <c r="C29" s="247"/>
      <c r="D29" s="233"/>
      <c r="E29" s="248"/>
      <c r="F29" s="233"/>
      <c r="G29" s="233"/>
      <c r="H29" s="233"/>
      <c r="I29" s="233"/>
      <c r="J29" s="233"/>
      <c r="K29" s="233"/>
      <c r="L29" s="233"/>
      <c r="M29" s="233"/>
      <c r="N29" s="233"/>
      <c r="O29" s="233"/>
      <c r="P29" s="233"/>
    </row>
    <row r="30" spans="1:16" ht="39" customHeight="1">
      <c r="A30" s="233"/>
      <c r="B30" s="233"/>
      <c r="C30" s="247"/>
      <c r="D30" s="233"/>
      <c r="E30" s="248"/>
      <c r="F30" s="233"/>
      <c r="G30" s="233"/>
      <c r="H30" s="233"/>
      <c r="I30" s="233"/>
      <c r="J30" s="233"/>
      <c r="K30" s="233"/>
      <c r="L30" s="233"/>
      <c r="M30" s="233"/>
      <c r="N30" s="233"/>
      <c r="O30" s="233"/>
      <c r="P30" s="233"/>
    </row>
    <row r="31" spans="1:16" ht="39" customHeight="1">
      <c r="A31" s="233"/>
      <c r="B31" s="233"/>
      <c r="C31" s="247"/>
      <c r="D31" s="233"/>
      <c r="E31" s="248"/>
      <c r="F31" s="233"/>
      <c r="G31" s="233"/>
      <c r="H31" s="233"/>
      <c r="I31" s="233"/>
      <c r="J31" s="233"/>
      <c r="K31" s="233"/>
      <c r="L31" s="233"/>
      <c r="M31" s="233"/>
      <c r="N31" s="233"/>
      <c r="O31" s="233"/>
      <c r="P31" s="233"/>
    </row>
    <row r="32" spans="1:16" ht="39" customHeight="1">
      <c r="A32" s="233"/>
      <c r="B32" s="233"/>
      <c r="C32" s="247"/>
      <c r="D32" s="233"/>
      <c r="E32" s="248"/>
      <c r="F32" s="233"/>
      <c r="G32" s="233"/>
      <c r="H32" s="233"/>
      <c r="I32" s="233"/>
      <c r="J32" s="233"/>
      <c r="K32" s="233"/>
      <c r="L32" s="233"/>
      <c r="M32" s="233"/>
      <c r="N32" s="233"/>
      <c r="O32" s="233"/>
      <c r="P32" s="233"/>
    </row>
    <row r="33" spans="1:16" ht="39" customHeight="1">
      <c r="A33" s="233"/>
      <c r="B33" s="233"/>
      <c r="C33" s="247"/>
      <c r="D33" s="233"/>
      <c r="E33" s="248"/>
      <c r="F33" s="233"/>
      <c r="G33" s="233"/>
      <c r="H33" s="233"/>
      <c r="I33" s="233"/>
      <c r="J33" s="233"/>
      <c r="K33" s="233"/>
      <c r="L33" s="233"/>
      <c r="M33" s="233"/>
      <c r="N33" s="233"/>
      <c r="O33" s="233"/>
      <c r="P33" s="233"/>
    </row>
    <row r="34" spans="1:16" ht="39" customHeight="1">
      <c r="A34" s="233"/>
      <c r="B34" s="233"/>
      <c r="C34" s="247"/>
      <c r="D34" s="233"/>
      <c r="E34" s="248"/>
      <c r="F34" s="233"/>
      <c r="G34" s="233"/>
      <c r="H34" s="233"/>
      <c r="I34" s="233"/>
      <c r="J34" s="233"/>
      <c r="K34" s="233"/>
      <c r="L34" s="233"/>
      <c r="M34" s="233"/>
      <c r="N34" s="233"/>
      <c r="O34" s="233"/>
      <c r="P34" s="233"/>
    </row>
    <row r="35" spans="1:16" ht="39" customHeight="1">
      <c r="A35" s="233"/>
      <c r="B35" s="233"/>
      <c r="C35" s="247"/>
      <c r="D35" s="233"/>
      <c r="E35" s="248"/>
      <c r="F35" s="233"/>
      <c r="G35" s="233"/>
      <c r="H35" s="233"/>
      <c r="I35" s="233"/>
      <c r="J35" s="233"/>
      <c r="K35" s="233"/>
      <c r="L35" s="233"/>
      <c r="M35" s="233"/>
      <c r="N35" s="233"/>
      <c r="O35" s="233"/>
      <c r="P35" s="233"/>
    </row>
    <row r="36" spans="1:16" ht="39" customHeight="1">
      <c r="A36" s="233"/>
      <c r="B36" s="233"/>
      <c r="C36" s="247"/>
      <c r="D36" s="233"/>
      <c r="E36" s="248"/>
      <c r="F36" s="233"/>
      <c r="G36" s="233"/>
      <c r="H36" s="233"/>
      <c r="I36" s="233"/>
      <c r="J36" s="233"/>
      <c r="K36" s="233"/>
      <c r="L36" s="233"/>
      <c r="M36" s="233"/>
      <c r="N36" s="233"/>
      <c r="O36" s="233"/>
      <c r="P36" s="233"/>
    </row>
    <row r="37" spans="1:16" ht="39" customHeight="1">
      <c r="A37" s="233"/>
      <c r="B37" s="233"/>
      <c r="C37" s="247"/>
      <c r="D37" s="233"/>
      <c r="E37" s="248"/>
      <c r="F37" s="233"/>
      <c r="G37" s="233"/>
      <c r="H37" s="233"/>
      <c r="I37" s="233"/>
      <c r="J37" s="233"/>
      <c r="K37" s="233"/>
      <c r="L37" s="233"/>
      <c r="M37" s="233"/>
      <c r="N37" s="233"/>
      <c r="O37" s="233"/>
      <c r="P37" s="233"/>
    </row>
    <row r="38" spans="1:16" ht="39" customHeight="1">
      <c r="A38" s="233"/>
      <c r="B38" s="233"/>
      <c r="C38" s="247"/>
      <c r="D38" s="233"/>
      <c r="E38" s="248"/>
      <c r="F38" s="233"/>
      <c r="G38" s="233"/>
      <c r="H38" s="233"/>
      <c r="I38" s="233"/>
      <c r="J38" s="233"/>
      <c r="K38" s="233"/>
      <c r="L38" s="233"/>
      <c r="M38" s="233"/>
      <c r="N38" s="233"/>
      <c r="O38" s="233"/>
      <c r="P38" s="233"/>
    </row>
    <row r="39" spans="1:16" ht="39" customHeight="1">
      <c r="A39" s="233"/>
      <c r="B39" s="233"/>
      <c r="C39" s="247"/>
      <c r="D39" s="233"/>
      <c r="E39" s="248"/>
      <c r="F39" s="233"/>
      <c r="G39" s="233"/>
      <c r="H39" s="233"/>
      <c r="I39" s="233"/>
      <c r="J39" s="233"/>
      <c r="K39" s="233"/>
      <c r="L39" s="233"/>
      <c r="M39" s="233"/>
      <c r="N39" s="233"/>
      <c r="O39" s="233"/>
      <c r="P39" s="233"/>
    </row>
    <row r="40" spans="1:16" ht="39" customHeight="1">
      <c r="A40" s="233"/>
      <c r="B40" s="233"/>
      <c r="C40" s="247"/>
      <c r="D40" s="233"/>
      <c r="E40" s="248"/>
      <c r="F40" s="233"/>
      <c r="G40" s="233"/>
      <c r="H40" s="233"/>
      <c r="I40" s="233"/>
      <c r="J40" s="233"/>
      <c r="K40" s="233"/>
      <c r="L40" s="233"/>
      <c r="M40" s="233"/>
      <c r="N40" s="233"/>
      <c r="O40" s="233"/>
      <c r="P40" s="233"/>
    </row>
    <row r="41" spans="1:16" ht="39" customHeight="1">
      <c r="A41" s="233"/>
      <c r="B41" s="233"/>
      <c r="C41" s="247"/>
      <c r="D41" s="233"/>
      <c r="E41" s="248"/>
      <c r="F41" s="233"/>
      <c r="G41" s="233"/>
      <c r="H41" s="233"/>
      <c r="I41" s="233"/>
      <c r="J41" s="233"/>
      <c r="K41" s="233"/>
      <c r="L41" s="233"/>
      <c r="M41" s="233"/>
      <c r="N41" s="233"/>
      <c r="O41" s="233"/>
      <c r="P41" s="233"/>
    </row>
    <row r="42" spans="1:16" ht="39" customHeight="1">
      <c r="A42" s="233"/>
      <c r="B42" s="233"/>
      <c r="C42" s="247"/>
      <c r="D42" s="233"/>
      <c r="E42" s="248"/>
      <c r="F42" s="233"/>
      <c r="G42" s="233"/>
      <c r="H42" s="233"/>
      <c r="I42" s="233"/>
      <c r="J42" s="233"/>
      <c r="K42" s="233"/>
      <c r="L42" s="233"/>
      <c r="M42" s="233"/>
      <c r="N42" s="233"/>
      <c r="O42" s="233"/>
      <c r="P42" s="233"/>
    </row>
    <row r="43" spans="1:16" ht="39" customHeight="1">
      <c r="A43" s="233"/>
      <c r="B43" s="233"/>
      <c r="C43" s="247"/>
      <c r="D43" s="233"/>
      <c r="E43" s="248"/>
      <c r="F43" s="233"/>
      <c r="G43" s="233"/>
      <c r="H43" s="233"/>
      <c r="I43" s="233"/>
      <c r="J43" s="233"/>
      <c r="K43" s="233"/>
      <c r="L43" s="233"/>
      <c r="M43" s="233"/>
      <c r="N43" s="233"/>
      <c r="O43" s="233"/>
      <c r="P43" s="233"/>
    </row>
    <row r="44" spans="1:16" ht="39" customHeight="1">
      <c r="A44" s="233"/>
      <c r="B44" s="233"/>
      <c r="C44" s="247"/>
      <c r="D44" s="233"/>
      <c r="E44" s="248"/>
      <c r="F44" s="233"/>
      <c r="G44" s="233"/>
      <c r="H44" s="233"/>
      <c r="I44" s="233"/>
      <c r="J44" s="233"/>
      <c r="K44" s="233"/>
      <c r="L44" s="233"/>
      <c r="M44" s="233"/>
      <c r="N44" s="233"/>
      <c r="O44" s="233"/>
      <c r="P44" s="233"/>
    </row>
    <row r="45" spans="1:16" ht="39" customHeight="1">
      <c r="A45" s="233"/>
      <c r="B45" s="233"/>
      <c r="C45" s="247"/>
      <c r="D45" s="233"/>
      <c r="E45" s="248"/>
      <c r="F45" s="233"/>
      <c r="G45" s="233"/>
      <c r="H45" s="233"/>
      <c r="I45" s="233"/>
      <c r="J45" s="233"/>
      <c r="K45" s="233"/>
      <c r="L45" s="233"/>
      <c r="M45" s="233"/>
      <c r="N45" s="233"/>
      <c r="O45" s="233"/>
      <c r="P45" s="233"/>
    </row>
    <row r="46" spans="1:16" ht="39" customHeight="1">
      <c r="A46" s="233"/>
      <c r="B46" s="233"/>
      <c r="C46" s="247"/>
      <c r="D46" s="233"/>
      <c r="E46" s="248"/>
      <c r="F46" s="233"/>
      <c r="G46" s="233"/>
      <c r="H46" s="233"/>
      <c r="I46" s="233"/>
      <c r="J46" s="233"/>
      <c r="K46" s="233"/>
      <c r="L46" s="233"/>
      <c r="M46" s="233"/>
      <c r="N46" s="233"/>
      <c r="O46" s="233"/>
      <c r="P46" s="233"/>
    </row>
    <row r="47" spans="1:16" ht="39" customHeight="1">
      <c r="A47" s="233"/>
      <c r="B47" s="233"/>
      <c r="C47" s="247"/>
      <c r="D47" s="233"/>
      <c r="E47" s="248"/>
      <c r="F47" s="233"/>
      <c r="G47" s="233"/>
      <c r="H47" s="233"/>
      <c r="I47" s="233"/>
      <c r="J47" s="233"/>
      <c r="K47" s="233"/>
      <c r="L47" s="233"/>
      <c r="M47" s="233"/>
      <c r="N47" s="233"/>
      <c r="O47" s="233"/>
      <c r="P47" s="233"/>
    </row>
    <row r="48" spans="1:16" ht="39" customHeight="1">
      <c r="A48" s="233"/>
      <c r="B48" s="233"/>
      <c r="C48" s="247"/>
      <c r="D48" s="233"/>
      <c r="E48" s="248"/>
      <c r="F48" s="233"/>
      <c r="G48" s="233"/>
      <c r="H48" s="233"/>
      <c r="I48" s="233"/>
      <c r="J48" s="233"/>
      <c r="K48" s="233"/>
      <c r="L48" s="233"/>
      <c r="M48" s="233"/>
      <c r="N48" s="233"/>
      <c r="O48" s="233"/>
      <c r="P48" s="233"/>
    </row>
    <row r="49" spans="1:16" ht="39" customHeight="1">
      <c r="A49" s="233"/>
      <c r="B49" s="233"/>
      <c r="C49" s="247"/>
      <c r="D49" s="233"/>
      <c r="E49" s="248"/>
      <c r="F49" s="233"/>
      <c r="G49" s="233"/>
      <c r="H49" s="233"/>
      <c r="I49" s="233"/>
      <c r="J49" s="233"/>
      <c r="K49" s="233"/>
      <c r="L49" s="233"/>
      <c r="M49" s="233"/>
      <c r="N49" s="233"/>
      <c r="O49" s="233"/>
      <c r="P49" s="233"/>
    </row>
    <row r="50" spans="1:16" ht="39" customHeight="1">
      <c r="A50" s="233"/>
      <c r="B50" s="233"/>
      <c r="C50" s="247"/>
      <c r="D50" s="233"/>
      <c r="E50" s="248"/>
      <c r="F50" s="233"/>
      <c r="G50" s="233"/>
      <c r="H50" s="233"/>
      <c r="I50" s="233"/>
      <c r="J50" s="233"/>
      <c r="K50" s="233"/>
      <c r="L50" s="233"/>
      <c r="M50" s="233"/>
      <c r="N50" s="233"/>
      <c r="O50" s="233"/>
      <c r="P50" s="233"/>
    </row>
    <row r="51" spans="1:16" ht="39" customHeight="1">
      <c r="A51" s="233"/>
      <c r="B51" s="233"/>
      <c r="C51" s="247"/>
      <c r="D51" s="233"/>
      <c r="E51" s="248"/>
      <c r="F51" s="233"/>
      <c r="G51" s="233"/>
      <c r="H51" s="233"/>
      <c r="I51" s="233"/>
      <c r="J51" s="233"/>
      <c r="K51" s="233"/>
      <c r="L51" s="233"/>
      <c r="M51" s="233"/>
      <c r="N51" s="233"/>
      <c r="O51" s="233"/>
      <c r="P51" s="233"/>
    </row>
    <row r="52" spans="1:16" ht="39" customHeight="1">
      <c r="A52" s="233"/>
      <c r="B52" s="233"/>
      <c r="C52" s="247"/>
      <c r="D52" s="233"/>
      <c r="E52" s="248"/>
      <c r="F52" s="233"/>
      <c r="G52" s="233"/>
      <c r="H52" s="233"/>
      <c r="I52" s="233"/>
      <c r="J52" s="233"/>
      <c r="K52" s="233"/>
      <c r="L52" s="233"/>
      <c r="M52" s="233"/>
      <c r="N52" s="233"/>
      <c r="O52" s="233"/>
      <c r="P52" s="233"/>
    </row>
    <row r="53" spans="1:16" ht="39" customHeight="1">
      <c r="A53" s="233"/>
      <c r="B53" s="233"/>
      <c r="C53" s="247"/>
      <c r="D53" s="233"/>
      <c r="E53" s="248"/>
      <c r="F53" s="233"/>
      <c r="G53" s="233"/>
      <c r="H53" s="233"/>
      <c r="I53" s="233"/>
      <c r="J53" s="233"/>
      <c r="K53" s="233"/>
      <c r="L53" s="233"/>
      <c r="M53" s="233"/>
      <c r="N53" s="233"/>
      <c r="O53" s="233"/>
      <c r="P53" s="233"/>
    </row>
    <row r="54" spans="1:16" ht="39" customHeight="1">
      <c r="A54" s="233"/>
      <c r="B54" s="233"/>
      <c r="C54" s="247"/>
      <c r="D54" s="233"/>
      <c r="E54" s="248"/>
      <c r="F54" s="233"/>
      <c r="G54" s="233"/>
      <c r="H54" s="233"/>
      <c r="I54" s="233"/>
      <c r="J54" s="233"/>
      <c r="K54" s="233"/>
      <c r="L54" s="233"/>
      <c r="M54" s="233"/>
      <c r="N54" s="233"/>
      <c r="O54" s="233"/>
      <c r="P54" s="233"/>
    </row>
    <row r="55" spans="1:16" ht="39" customHeight="1">
      <c r="A55" s="233"/>
      <c r="B55" s="233"/>
      <c r="C55" s="247"/>
      <c r="D55" s="233"/>
      <c r="E55" s="248"/>
      <c r="F55" s="233"/>
      <c r="G55" s="233"/>
      <c r="H55" s="233"/>
      <c r="I55" s="233"/>
      <c r="J55" s="233"/>
      <c r="K55" s="233"/>
      <c r="L55" s="233"/>
      <c r="M55" s="233"/>
      <c r="N55" s="233"/>
      <c r="O55" s="233"/>
      <c r="P55" s="233"/>
    </row>
    <row r="56" spans="1:16" ht="39" customHeight="1">
      <c r="A56" s="233"/>
      <c r="B56" s="233"/>
      <c r="C56" s="247"/>
      <c r="D56" s="233"/>
      <c r="E56" s="248"/>
      <c r="F56" s="233"/>
      <c r="G56" s="233"/>
      <c r="H56" s="233"/>
      <c r="I56" s="233"/>
      <c r="J56" s="233"/>
      <c r="K56" s="233"/>
      <c r="L56" s="233"/>
      <c r="M56" s="233"/>
      <c r="N56" s="233"/>
      <c r="O56" s="233"/>
      <c r="P56" s="233"/>
    </row>
    <row r="57" spans="1:16" ht="39" customHeight="1">
      <c r="A57" s="233"/>
      <c r="B57" s="233"/>
      <c r="C57" s="247"/>
      <c r="D57" s="233"/>
      <c r="E57" s="248"/>
      <c r="F57" s="233"/>
      <c r="G57" s="233"/>
      <c r="H57" s="233"/>
      <c r="I57" s="233"/>
      <c r="J57" s="233"/>
      <c r="K57" s="233"/>
      <c r="L57" s="233"/>
      <c r="M57" s="233"/>
      <c r="N57" s="233"/>
      <c r="O57" s="233"/>
      <c r="P57" s="233"/>
    </row>
    <row r="58" spans="1:16" ht="39" customHeight="1">
      <c r="A58" s="233"/>
      <c r="B58" s="233"/>
      <c r="C58" s="247"/>
      <c r="D58" s="233"/>
      <c r="E58" s="248"/>
      <c r="F58" s="233"/>
      <c r="G58" s="233"/>
      <c r="H58" s="233"/>
      <c r="I58" s="233"/>
      <c r="J58" s="233"/>
      <c r="K58" s="233"/>
      <c r="L58" s="233"/>
      <c r="M58" s="233"/>
      <c r="N58" s="233"/>
      <c r="O58" s="233"/>
      <c r="P58" s="233"/>
    </row>
    <row r="59" spans="1:16" ht="39" customHeight="1">
      <c r="A59" s="233"/>
      <c r="B59" s="233"/>
      <c r="C59" s="247"/>
      <c r="D59" s="233"/>
      <c r="E59" s="248"/>
      <c r="F59" s="233"/>
      <c r="G59" s="233"/>
      <c r="H59" s="233"/>
      <c r="I59" s="233"/>
      <c r="J59" s="233"/>
      <c r="K59" s="233"/>
      <c r="L59" s="233"/>
      <c r="M59" s="233"/>
      <c r="N59" s="233"/>
      <c r="O59" s="233"/>
      <c r="P59" s="233"/>
    </row>
    <row r="60" spans="1:16" ht="39" customHeight="1">
      <c r="A60" s="233"/>
      <c r="B60" s="233"/>
      <c r="C60" s="247"/>
      <c r="D60" s="233"/>
      <c r="E60" s="248"/>
      <c r="F60" s="233"/>
      <c r="G60" s="233"/>
      <c r="H60" s="233"/>
      <c r="I60" s="233"/>
      <c r="J60" s="233"/>
      <c r="K60" s="233"/>
      <c r="L60" s="233"/>
      <c r="M60" s="233"/>
      <c r="N60" s="233"/>
      <c r="O60" s="233"/>
      <c r="P60" s="233"/>
    </row>
    <row r="61" spans="1:16" ht="39" customHeight="1">
      <c r="A61" s="233"/>
      <c r="B61" s="233"/>
      <c r="C61" s="247"/>
      <c r="D61" s="233"/>
      <c r="E61" s="248"/>
      <c r="F61" s="233"/>
      <c r="G61" s="233"/>
      <c r="H61" s="233"/>
      <c r="I61" s="233"/>
      <c r="J61" s="233"/>
      <c r="K61" s="233"/>
      <c r="L61" s="233"/>
      <c r="M61" s="233"/>
      <c r="N61" s="233"/>
      <c r="O61" s="233"/>
      <c r="P61" s="233"/>
    </row>
    <row r="62" spans="1:16" ht="39" customHeight="1">
      <c r="A62" s="233"/>
      <c r="B62" s="233"/>
      <c r="C62" s="247"/>
      <c r="D62" s="233"/>
      <c r="E62" s="248"/>
      <c r="F62" s="233"/>
      <c r="G62" s="233"/>
      <c r="H62" s="233"/>
      <c r="I62" s="233"/>
      <c r="J62" s="233"/>
      <c r="K62" s="233"/>
      <c r="L62" s="233"/>
      <c r="M62" s="233"/>
      <c r="N62" s="233"/>
      <c r="O62" s="233"/>
      <c r="P62" s="233"/>
    </row>
    <row r="63" spans="1:16" ht="39" customHeight="1">
      <c r="A63" s="233"/>
      <c r="B63" s="233"/>
      <c r="C63" s="247"/>
      <c r="D63" s="233"/>
      <c r="E63" s="248"/>
      <c r="F63" s="233"/>
      <c r="G63" s="233"/>
      <c r="H63" s="233"/>
      <c r="I63" s="233"/>
      <c r="J63" s="233"/>
      <c r="K63" s="233"/>
      <c r="L63" s="233"/>
      <c r="M63" s="233"/>
      <c r="N63" s="233"/>
      <c r="O63" s="233"/>
      <c r="P63" s="233"/>
    </row>
    <row r="64" spans="1:16" ht="39" customHeight="1">
      <c r="A64" s="233"/>
      <c r="B64" s="233"/>
      <c r="C64" s="247"/>
      <c r="D64" s="233"/>
      <c r="E64" s="248"/>
      <c r="F64" s="233"/>
      <c r="G64" s="233"/>
      <c r="H64" s="233"/>
      <c r="I64" s="233"/>
      <c r="J64" s="233"/>
      <c r="K64" s="233"/>
      <c r="L64" s="233"/>
      <c r="M64" s="233"/>
      <c r="N64" s="233"/>
      <c r="O64" s="233"/>
      <c r="P64" s="233"/>
    </row>
    <row r="65" spans="1:16" ht="39" customHeight="1">
      <c r="A65" s="233"/>
      <c r="B65" s="233"/>
      <c r="C65" s="247"/>
      <c r="D65" s="233"/>
      <c r="E65" s="248"/>
      <c r="F65" s="233"/>
      <c r="G65" s="233"/>
      <c r="H65" s="233"/>
      <c r="I65" s="233"/>
      <c r="J65" s="233"/>
      <c r="K65" s="233"/>
      <c r="L65" s="233"/>
      <c r="M65" s="233"/>
      <c r="N65" s="233"/>
      <c r="O65" s="233"/>
      <c r="P65" s="233"/>
    </row>
    <row r="66" spans="1:16" ht="39" customHeight="1">
      <c r="A66" s="233"/>
      <c r="B66" s="233"/>
      <c r="C66" s="247"/>
      <c r="D66" s="233"/>
      <c r="E66" s="248"/>
      <c r="F66" s="233"/>
      <c r="G66" s="233"/>
      <c r="H66" s="233"/>
      <c r="I66" s="233"/>
      <c r="J66" s="233"/>
      <c r="K66" s="233"/>
      <c r="L66" s="233"/>
      <c r="M66" s="233"/>
      <c r="N66" s="233"/>
      <c r="O66" s="233"/>
      <c r="P66" s="233"/>
    </row>
    <row r="67" spans="1:16" ht="39" customHeight="1">
      <c r="A67" s="233"/>
      <c r="B67" s="233"/>
      <c r="C67" s="247"/>
      <c r="D67" s="233"/>
      <c r="E67" s="248"/>
      <c r="F67" s="233"/>
      <c r="G67" s="233"/>
      <c r="H67" s="233"/>
      <c r="I67" s="233"/>
      <c r="J67" s="233"/>
      <c r="K67" s="233"/>
      <c r="L67" s="233"/>
      <c r="M67" s="233"/>
      <c r="N67" s="233"/>
      <c r="O67" s="233"/>
      <c r="P67" s="233"/>
    </row>
    <row r="68" spans="1:16" ht="39" customHeight="1">
      <c r="A68" s="233"/>
      <c r="B68" s="233"/>
      <c r="C68" s="247"/>
      <c r="D68" s="233"/>
      <c r="E68" s="248"/>
      <c r="F68" s="233"/>
      <c r="G68" s="233"/>
      <c r="H68" s="233"/>
      <c r="I68" s="233"/>
      <c r="J68" s="233"/>
      <c r="K68" s="233"/>
      <c r="L68" s="233"/>
      <c r="M68" s="233"/>
      <c r="N68" s="233"/>
      <c r="O68" s="233"/>
      <c r="P68" s="233"/>
    </row>
    <row r="69" spans="1:16" ht="39" customHeight="1">
      <c r="A69" s="233"/>
      <c r="B69" s="233"/>
      <c r="C69" s="247"/>
      <c r="D69" s="233"/>
      <c r="E69" s="248"/>
      <c r="F69" s="233"/>
      <c r="G69" s="233"/>
      <c r="H69" s="233"/>
      <c r="I69" s="233"/>
      <c r="J69" s="233"/>
      <c r="K69" s="233"/>
      <c r="L69" s="233"/>
      <c r="M69" s="233"/>
      <c r="N69" s="233"/>
      <c r="O69" s="233"/>
      <c r="P69" s="233"/>
    </row>
    <row r="70" spans="1:16" ht="39" customHeight="1">
      <c r="A70" s="233"/>
      <c r="B70" s="233"/>
      <c r="C70" s="247"/>
      <c r="D70" s="233"/>
      <c r="E70" s="248"/>
      <c r="F70" s="233"/>
      <c r="G70" s="233"/>
      <c r="H70" s="233"/>
      <c r="I70" s="233"/>
      <c r="J70" s="233"/>
      <c r="K70" s="233"/>
      <c r="L70" s="233"/>
      <c r="M70" s="233"/>
      <c r="N70" s="233"/>
      <c r="O70" s="233"/>
      <c r="P70" s="233"/>
    </row>
    <row r="71" spans="1:16" ht="39" customHeight="1">
      <c r="A71" s="233"/>
      <c r="B71" s="233"/>
      <c r="C71" s="247"/>
      <c r="D71" s="233"/>
      <c r="E71" s="248"/>
      <c r="F71" s="233"/>
      <c r="G71" s="233"/>
      <c r="H71" s="233"/>
      <c r="I71" s="233"/>
      <c r="J71" s="233"/>
      <c r="K71" s="233"/>
      <c r="L71" s="233"/>
      <c r="M71" s="233"/>
      <c r="N71" s="233"/>
      <c r="O71" s="233"/>
      <c r="P71" s="233"/>
    </row>
    <row r="72" spans="1:16" ht="39" customHeight="1">
      <c r="A72" s="233"/>
      <c r="B72" s="233"/>
      <c r="C72" s="247"/>
      <c r="D72" s="233"/>
      <c r="E72" s="248"/>
      <c r="F72" s="233"/>
      <c r="G72" s="233"/>
      <c r="H72" s="233"/>
      <c r="I72" s="233"/>
      <c r="J72" s="233"/>
      <c r="K72" s="233"/>
      <c r="L72" s="233"/>
      <c r="M72" s="233"/>
      <c r="N72" s="233"/>
      <c r="O72" s="233"/>
      <c r="P72" s="233"/>
    </row>
    <row r="73" spans="1:16" ht="39" customHeight="1">
      <c r="A73" s="233"/>
      <c r="B73" s="233"/>
      <c r="C73" s="247"/>
      <c r="D73" s="233"/>
      <c r="E73" s="248"/>
      <c r="F73" s="233"/>
      <c r="G73" s="233"/>
      <c r="H73" s="233"/>
      <c r="I73" s="233"/>
      <c r="J73" s="233"/>
      <c r="K73" s="233"/>
      <c r="L73" s="233"/>
      <c r="M73" s="233"/>
      <c r="N73" s="233"/>
      <c r="O73" s="233"/>
      <c r="P73" s="233"/>
    </row>
    <row r="74" spans="1:16" ht="39" customHeight="1">
      <c r="A74" s="233"/>
      <c r="B74" s="233"/>
      <c r="C74" s="247"/>
      <c r="D74" s="233"/>
      <c r="E74" s="248"/>
      <c r="F74" s="233"/>
      <c r="G74" s="233"/>
      <c r="H74" s="233"/>
      <c r="I74" s="233"/>
      <c r="J74" s="233"/>
      <c r="K74" s="233"/>
      <c r="L74" s="233"/>
      <c r="M74" s="233"/>
      <c r="N74" s="233"/>
      <c r="O74" s="233"/>
      <c r="P74" s="233"/>
    </row>
    <row r="75" spans="1:16" ht="39" customHeight="1">
      <c r="A75" s="233"/>
      <c r="B75" s="233"/>
      <c r="C75" s="247"/>
      <c r="D75" s="233"/>
      <c r="E75" s="248"/>
      <c r="F75" s="233"/>
      <c r="G75" s="233"/>
      <c r="H75" s="233"/>
      <c r="I75" s="233"/>
      <c r="J75" s="233"/>
      <c r="K75" s="233"/>
      <c r="L75" s="233"/>
      <c r="M75" s="233"/>
      <c r="N75" s="233"/>
      <c r="O75" s="233"/>
      <c r="P75" s="233"/>
    </row>
    <row r="76" spans="1:16" ht="39" customHeight="1">
      <c r="A76" s="233"/>
      <c r="B76" s="233"/>
      <c r="C76" s="247"/>
      <c r="D76" s="233"/>
      <c r="E76" s="248"/>
      <c r="F76" s="233"/>
      <c r="G76" s="233"/>
      <c r="H76" s="233"/>
      <c r="I76" s="233"/>
      <c r="J76" s="233"/>
      <c r="K76" s="233"/>
      <c r="L76" s="233"/>
      <c r="M76" s="233"/>
      <c r="N76" s="233"/>
      <c r="O76" s="233"/>
      <c r="P76" s="233"/>
    </row>
    <row r="77" spans="1:16" ht="39" customHeight="1">
      <c r="A77" s="233"/>
      <c r="B77" s="233"/>
      <c r="C77" s="247"/>
      <c r="D77" s="233"/>
      <c r="E77" s="248"/>
      <c r="F77" s="233"/>
      <c r="G77" s="233"/>
      <c r="H77" s="233"/>
      <c r="I77" s="233"/>
      <c r="J77" s="233"/>
      <c r="K77" s="233"/>
      <c r="L77" s="233"/>
      <c r="M77" s="233"/>
      <c r="N77" s="233"/>
      <c r="O77" s="233"/>
      <c r="P77" s="233"/>
    </row>
    <row r="78" spans="1:16" ht="39" customHeight="1">
      <c r="A78" s="233"/>
      <c r="B78" s="233"/>
      <c r="C78" s="247"/>
      <c r="D78" s="233"/>
      <c r="E78" s="248"/>
      <c r="F78" s="233"/>
      <c r="G78" s="233"/>
      <c r="H78" s="233"/>
      <c r="I78" s="233"/>
      <c r="J78" s="233"/>
      <c r="K78" s="233"/>
      <c r="L78" s="233"/>
      <c r="M78" s="233"/>
      <c r="N78" s="233"/>
      <c r="O78" s="233"/>
      <c r="P78" s="233"/>
    </row>
    <row r="79" spans="1:16" ht="39" customHeight="1">
      <c r="A79" s="233"/>
      <c r="B79" s="233"/>
      <c r="C79" s="247"/>
      <c r="D79" s="233"/>
      <c r="E79" s="248"/>
      <c r="F79" s="233"/>
      <c r="G79" s="233"/>
      <c r="H79" s="233"/>
      <c r="I79" s="233"/>
      <c r="J79" s="233"/>
      <c r="K79" s="233"/>
      <c r="L79" s="233"/>
      <c r="M79" s="233"/>
      <c r="N79" s="233"/>
      <c r="O79" s="233"/>
      <c r="P79" s="233"/>
    </row>
    <row r="80" spans="1:16" ht="39" customHeight="1">
      <c r="A80" s="233"/>
      <c r="B80" s="233"/>
      <c r="C80" s="247"/>
      <c r="D80" s="233"/>
      <c r="E80" s="248"/>
      <c r="F80" s="233"/>
      <c r="G80" s="233"/>
      <c r="H80" s="233"/>
      <c r="I80" s="233"/>
      <c r="J80" s="233"/>
      <c r="K80" s="233"/>
      <c r="L80" s="233"/>
      <c r="M80" s="233"/>
      <c r="N80" s="233"/>
      <c r="O80" s="233"/>
      <c r="P80" s="233"/>
    </row>
    <row r="81" spans="1:16" ht="39" customHeight="1">
      <c r="A81" s="233"/>
      <c r="B81" s="233"/>
      <c r="C81" s="247"/>
      <c r="D81" s="233"/>
      <c r="E81" s="248"/>
      <c r="F81" s="233"/>
      <c r="G81" s="233"/>
      <c r="H81" s="233"/>
      <c r="I81" s="233"/>
      <c r="J81" s="233"/>
      <c r="K81" s="233"/>
      <c r="L81" s="233"/>
      <c r="M81" s="233"/>
      <c r="N81" s="233"/>
      <c r="O81" s="233"/>
      <c r="P81" s="233"/>
    </row>
    <row r="82" spans="1:16" ht="39" customHeight="1">
      <c r="A82" s="233"/>
      <c r="B82" s="233"/>
      <c r="C82" s="247"/>
      <c r="D82" s="233"/>
      <c r="E82" s="248"/>
      <c r="F82" s="233"/>
      <c r="G82" s="233"/>
      <c r="H82" s="233"/>
      <c r="I82" s="233"/>
      <c r="J82" s="233"/>
      <c r="K82" s="233"/>
      <c r="L82" s="233"/>
      <c r="M82" s="233"/>
      <c r="N82" s="233"/>
      <c r="O82" s="233"/>
      <c r="P82" s="233"/>
    </row>
    <row r="83" spans="1:16" ht="39" customHeight="1">
      <c r="A83" s="233"/>
      <c r="B83" s="233"/>
      <c r="C83" s="247"/>
      <c r="D83" s="233"/>
      <c r="E83" s="248"/>
      <c r="F83" s="233"/>
      <c r="G83" s="233"/>
      <c r="H83" s="233"/>
      <c r="I83" s="233"/>
      <c r="J83" s="233"/>
      <c r="K83" s="233"/>
      <c r="L83" s="233"/>
      <c r="M83" s="233"/>
      <c r="N83" s="233"/>
      <c r="O83" s="233"/>
      <c r="P83" s="233"/>
    </row>
    <row r="84" spans="1:16" ht="39" customHeight="1">
      <c r="A84" s="233"/>
      <c r="B84" s="233"/>
      <c r="C84" s="247"/>
      <c r="D84" s="233"/>
      <c r="E84" s="248"/>
      <c r="F84" s="233"/>
      <c r="G84" s="233"/>
      <c r="H84" s="233"/>
      <c r="I84" s="233"/>
      <c r="J84" s="233"/>
      <c r="K84" s="233"/>
      <c r="L84" s="233"/>
      <c r="M84" s="233"/>
      <c r="N84" s="233"/>
      <c r="O84" s="233"/>
      <c r="P84" s="233"/>
    </row>
    <row r="85" spans="1:16" ht="39" customHeight="1">
      <c r="A85" s="233"/>
      <c r="B85" s="233"/>
      <c r="C85" s="247"/>
      <c r="D85" s="233"/>
      <c r="E85" s="248"/>
      <c r="F85" s="233"/>
      <c r="G85" s="233"/>
      <c r="H85" s="233"/>
      <c r="I85" s="233"/>
      <c r="J85" s="233"/>
      <c r="K85" s="233"/>
      <c r="L85" s="233"/>
      <c r="M85" s="233"/>
      <c r="N85" s="233"/>
      <c r="O85" s="233"/>
      <c r="P85" s="233"/>
    </row>
    <row r="86" spans="1:16" ht="39" customHeight="1">
      <c r="A86" s="233"/>
      <c r="B86" s="233"/>
      <c r="C86" s="247"/>
      <c r="D86" s="233"/>
      <c r="E86" s="248"/>
      <c r="F86" s="233"/>
      <c r="G86" s="233"/>
      <c r="H86" s="233"/>
      <c r="I86" s="233"/>
      <c r="J86" s="233"/>
      <c r="K86" s="233"/>
      <c r="L86" s="233"/>
      <c r="M86" s="233"/>
      <c r="N86" s="233"/>
      <c r="O86" s="233"/>
      <c r="P86" s="233"/>
    </row>
    <row r="87" spans="1:16" ht="39" customHeight="1">
      <c r="A87" s="233"/>
      <c r="B87" s="233"/>
      <c r="C87" s="247"/>
      <c r="D87" s="233"/>
      <c r="E87" s="248"/>
      <c r="F87" s="233"/>
      <c r="G87" s="233"/>
      <c r="H87" s="233"/>
      <c r="I87" s="233"/>
      <c r="J87" s="233"/>
      <c r="K87" s="233"/>
      <c r="L87" s="233"/>
      <c r="M87" s="233"/>
      <c r="N87" s="233"/>
      <c r="O87" s="233"/>
      <c r="P87" s="233"/>
    </row>
    <row r="88" spans="1:16" ht="39" customHeight="1">
      <c r="A88" s="233"/>
      <c r="B88" s="233"/>
      <c r="C88" s="247"/>
      <c r="D88" s="233"/>
      <c r="E88" s="248"/>
      <c r="F88" s="233"/>
      <c r="G88" s="233"/>
      <c r="H88" s="233"/>
      <c r="I88" s="233"/>
      <c r="J88" s="233"/>
      <c r="K88" s="233"/>
      <c r="L88" s="233"/>
      <c r="M88" s="233"/>
      <c r="N88" s="233"/>
      <c r="O88" s="233"/>
      <c r="P88" s="233"/>
    </row>
    <row r="89" spans="1:16" ht="39" customHeight="1">
      <c r="A89" s="233"/>
      <c r="B89" s="233"/>
      <c r="C89" s="247"/>
      <c r="D89" s="233"/>
      <c r="E89" s="248"/>
      <c r="F89" s="233"/>
      <c r="G89" s="233"/>
      <c r="H89" s="233"/>
      <c r="I89" s="233"/>
      <c r="J89" s="233"/>
      <c r="K89" s="233"/>
      <c r="L89" s="233"/>
      <c r="M89" s="233"/>
      <c r="N89" s="233"/>
      <c r="O89" s="233"/>
      <c r="P89" s="233"/>
    </row>
    <row r="90" spans="1:16" ht="39" customHeight="1">
      <c r="A90" s="233"/>
      <c r="B90" s="233"/>
      <c r="C90" s="247"/>
      <c r="D90" s="233"/>
      <c r="E90" s="248"/>
      <c r="F90" s="233"/>
      <c r="G90" s="233"/>
      <c r="H90" s="233"/>
      <c r="I90" s="233"/>
      <c r="J90" s="233"/>
      <c r="K90" s="233"/>
      <c r="L90" s="233"/>
      <c r="M90" s="233"/>
      <c r="N90" s="233"/>
      <c r="O90" s="233"/>
      <c r="P90" s="233"/>
    </row>
    <row r="91" spans="1:16" ht="39" customHeight="1">
      <c r="A91" s="233"/>
      <c r="B91" s="233"/>
      <c r="C91" s="247"/>
      <c r="D91" s="233"/>
      <c r="E91" s="248"/>
      <c r="F91" s="233"/>
      <c r="G91" s="233"/>
      <c r="H91" s="233"/>
      <c r="I91" s="233"/>
      <c r="J91" s="233"/>
      <c r="K91" s="233"/>
      <c r="L91" s="233"/>
      <c r="M91" s="233"/>
      <c r="N91" s="233"/>
      <c r="O91" s="233"/>
      <c r="P91" s="233"/>
    </row>
    <row r="92" spans="1:16" ht="39" customHeight="1">
      <c r="A92" s="233"/>
      <c r="B92" s="233"/>
      <c r="C92" s="247"/>
      <c r="D92" s="233"/>
      <c r="E92" s="248"/>
      <c r="F92" s="233"/>
      <c r="G92" s="233"/>
      <c r="H92" s="233"/>
      <c r="I92" s="233"/>
      <c r="J92" s="233"/>
      <c r="K92" s="233"/>
      <c r="L92" s="233"/>
      <c r="M92" s="233"/>
      <c r="N92" s="233"/>
      <c r="O92" s="233"/>
      <c r="P92" s="233"/>
    </row>
    <row r="93" spans="1:16" ht="39" customHeight="1">
      <c r="A93" s="233"/>
      <c r="B93" s="233"/>
      <c r="C93" s="247"/>
      <c r="D93" s="233"/>
      <c r="E93" s="248"/>
      <c r="F93" s="233"/>
      <c r="G93" s="233"/>
      <c r="H93" s="233"/>
      <c r="I93" s="233"/>
      <c r="J93" s="233"/>
      <c r="K93" s="233"/>
      <c r="L93" s="233"/>
      <c r="M93" s="233"/>
      <c r="N93" s="233"/>
      <c r="O93" s="233"/>
      <c r="P93" s="233"/>
    </row>
    <row r="94" spans="1:16" ht="39" customHeight="1">
      <c r="A94" s="233"/>
      <c r="B94" s="233"/>
      <c r="C94" s="247"/>
      <c r="D94" s="233"/>
      <c r="E94" s="248"/>
      <c r="F94" s="233"/>
      <c r="G94" s="233"/>
      <c r="H94" s="233"/>
      <c r="I94" s="233"/>
      <c r="J94" s="233"/>
      <c r="K94" s="233"/>
      <c r="L94" s="233"/>
      <c r="M94" s="233"/>
      <c r="N94" s="233"/>
      <c r="O94" s="233"/>
      <c r="P94" s="233"/>
    </row>
    <row r="95" spans="1:16" ht="39" customHeight="1">
      <c r="A95" s="233"/>
      <c r="B95" s="233"/>
      <c r="C95" s="247"/>
      <c r="D95" s="233"/>
      <c r="E95" s="248"/>
      <c r="F95" s="233"/>
      <c r="G95" s="233"/>
      <c r="H95" s="233"/>
      <c r="I95" s="233"/>
      <c r="J95" s="233"/>
      <c r="K95" s="233"/>
      <c r="L95" s="233"/>
      <c r="M95" s="233"/>
      <c r="N95" s="233"/>
      <c r="O95" s="233"/>
      <c r="P95" s="233"/>
    </row>
    <row r="96" spans="1:16" ht="39" customHeight="1">
      <c r="A96" s="233"/>
      <c r="B96" s="233"/>
      <c r="C96" s="247"/>
      <c r="D96" s="233"/>
      <c r="E96" s="248"/>
      <c r="F96" s="233"/>
      <c r="G96" s="233"/>
      <c r="H96" s="233"/>
      <c r="I96" s="233"/>
      <c r="J96" s="233"/>
      <c r="K96" s="233"/>
      <c r="L96" s="233"/>
      <c r="M96" s="233"/>
      <c r="N96" s="233"/>
      <c r="O96" s="233"/>
      <c r="P96" s="233"/>
    </row>
    <row r="97" spans="1:16" ht="39" customHeight="1">
      <c r="A97" s="233"/>
      <c r="B97" s="233"/>
      <c r="C97" s="247"/>
      <c r="D97" s="233"/>
      <c r="E97" s="248"/>
      <c r="F97" s="233"/>
      <c r="G97" s="233"/>
      <c r="H97" s="233"/>
      <c r="I97" s="233"/>
      <c r="J97" s="233"/>
      <c r="K97" s="233"/>
      <c r="L97" s="233"/>
      <c r="M97" s="233"/>
      <c r="N97" s="233"/>
      <c r="O97" s="233"/>
      <c r="P97" s="233"/>
    </row>
    <row r="98" spans="1:16" ht="39" customHeight="1">
      <c r="A98" s="233"/>
      <c r="B98" s="233"/>
      <c r="C98" s="247"/>
      <c r="D98" s="233"/>
      <c r="E98" s="248"/>
      <c r="F98" s="233"/>
      <c r="G98" s="233"/>
      <c r="H98" s="233"/>
      <c r="I98" s="233"/>
      <c r="J98" s="233"/>
      <c r="K98" s="233"/>
      <c r="L98" s="233"/>
      <c r="M98" s="233"/>
      <c r="N98" s="233"/>
      <c r="O98" s="233"/>
      <c r="P98" s="233"/>
    </row>
    <row r="99" spans="1:16" ht="39" customHeight="1">
      <c r="A99" s="233"/>
      <c r="B99" s="233"/>
      <c r="C99" s="247"/>
      <c r="D99" s="233"/>
      <c r="E99" s="248"/>
      <c r="F99" s="233"/>
      <c r="G99" s="233"/>
      <c r="H99" s="233"/>
      <c r="I99" s="233"/>
      <c r="J99" s="233"/>
      <c r="K99" s="233"/>
      <c r="L99" s="233"/>
      <c r="M99" s="233"/>
      <c r="N99" s="233"/>
      <c r="O99" s="233"/>
      <c r="P99" s="233"/>
    </row>
    <row r="100" spans="1:16" ht="39" customHeight="1">
      <c r="A100" s="233"/>
      <c r="B100" s="233"/>
      <c r="C100" s="247"/>
      <c r="D100" s="233"/>
      <c r="E100" s="248"/>
      <c r="F100" s="233"/>
      <c r="G100" s="233"/>
      <c r="H100" s="233"/>
      <c r="I100" s="233"/>
      <c r="J100" s="233"/>
      <c r="K100" s="233"/>
      <c r="L100" s="233"/>
      <c r="M100" s="233"/>
      <c r="N100" s="233"/>
      <c r="O100" s="233"/>
      <c r="P100" s="233"/>
    </row>
  </sheetData>
  <mergeCells count="6">
    <mergeCell ref="A1:O1"/>
    <mergeCell ref="A2:O2"/>
    <mergeCell ref="A6:C6"/>
    <mergeCell ref="A7:B7"/>
    <mergeCell ref="H7:I7"/>
    <mergeCell ref="N7:O7"/>
  </mergeCells>
  <conditionalFormatting sqref="H4:H5 K4:M5 G8:G100">
    <cfRule type="cellIs" dxfId="1" priority="1" stopIfTrue="1" operator="equal">
      <formula>"ER"</formula>
    </cfRule>
  </conditionalFormatting>
  <conditionalFormatting sqref="I8:K100">
    <cfRule type="cellIs" dxfId="0" priority="2" stopIfTrue="1" operator="equal">
      <formula>"ER"</formula>
    </cfRule>
  </conditionalFormatting>
  <printOptions horizontalCentered="1"/>
  <pageMargins left="0" right="0" top="0.23622047244094499" bottom="0" header="0" footer="0"/>
  <pageSetup paperSize="9" scale="60" fitToHeight="0" orientation="landscape" horizontalDpi="360" verticalDpi="36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385623"/>
  </sheetPr>
  <dimension ref="A1:E186"/>
  <sheetViews>
    <sheetView tabSelected="1" workbookViewId="0"/>
  </sheetViews>
  <sheetFormatPr defaultColWidth="16.81640625" defaultRowHeight="15" customHeight="1"/>
  <cols>
    <col min="1" max="1" width="23.26953125" customWidth="1"/>
    <col min="2" max="2" width="43.26953125" customWidth="1"/>
    <col min="3" max="3" width="13.26953125" customWidth="1"/>
    <col min="4" max="4" width="25.26953125" customWidth="1"/>
    <col min="5" max="5" width="37.81640625" customWidth="1"/>
    <col min="6" max="11" width="13.26953125" customWidth="1"/>
  </cols>
  <sheetData>
    <row r="1" spans="1:5" ht="14.5">
      <c r="A1" s="249" t="s">
        <v>324</v>
      </c>
      <c r="B1" s="249" t="s">
        <v>325</v>
      </c>
    </row>
    <row r="2" spans="1:5" ht="14.5">
      <c r="B2" s="250" t="s">
        <v>181</v>
      </c>
    </row>
    <row r="3" spans="1:5" ht="14.5">
      <c r="B3" s="250" t="s">
        <v>199</v>
      </c>
    </row>
    <row r="4" spans="1:5" ht="14.5">
      <c r="B4" s="250" t="s">
        <v>200</v>
      </c>
    </row>
    <row r="5" spans="1:5" ht="14.5">
      <c r="B5" s="250" t="s">
        <v>196</v>
      </c>
    </row>
    <row r="6" spans="1:5" ht="14.5">
      <c r="B6" s="250" t="s">
        <v>172</v>
      </c>
    </row>
    <row r="7" spans="1:5" ht="14.5">
      <c r="B7" s="250" t="s">
        <v>326</v>
      </c>
    </row>
    <row r="8" spans="1:5" ht="14.5">
      <c r="B8" s="250" t="s">
        <v>144</v>
      </c>
    </row>
    <row r="9" spans="1:5" ht="14.5">
      <c r="B9" s="250" t="s">
        <v>177</v>
      </c>
    </row>
    <row r="10" spans="1:5" ht="14.5">
      <c r="B10" s="250" t="s">
        <v>327</v>
      </c>
    </row>
    <row r="11" spans="1:5" ht="14.5">
      <c r="B11" s="250" t="s">
        <v>328</v>
      </c>
      <c r="D11" s="250" t="s">
        <v>329</v>
      </c>
      <c r="E11" s="251" t="s">
        <v>330</v>
      </c>
    </row>
    <row r="12" spans="1:5" ht="14.5">
      <c r="B12" s="250" t="s">
        <v>331</v>
      </c>
      <c r="D12" s="250" t="s">
        <v>332</v>
      </c>
      <c r="E12" s="251" t="s">
        <v>333</v>
      </c>
    </row>
    <row r="13" spans="1:5" ht="14.5">
      <c r="B13" s="250" t="s">
        <v>334</v>
      </c>
      <c r="D13" s="252" t="s">
        <v>335</v>
      </c>
      <c r="E13" s="252" t="s">
        <v>336</v>
      </c>
    </row>
    <row r="14" spans="1:5" ht="14.5">
      <c r="B14" s="250" t="s">
        <v>337</v>
      </c>
      <c r="E14" s="253" t="s">
        <v>338</v>
      </c>
    </row>
    <row r="15" spans="1:5" ht="14.5">
      <c r="B15" s="250" t="s">
        <v>98</v>
      </c>
      <c r="D15" s="254" t="s">
        <v>339</v>
      </c>
      <c r="E15" s="253" t="s">
        <v>340</v>
      </c>
    </row>
    <row r="16" spans="1:5" ht="14.5">
      <c r="B16" s="250" t="s">
        <v>341</v>
      </c>
      <c r="D16" s="254" t="s">
        <v>342</v>
      </c>
      <c r="E16" s="253" t="s">
        <v>343</v>
      </c>
    </row>
    <row r="17" spans="2:5" ht="14.5">
      <c r="B17" s="250" t="s">
        <v>344</v>
      </c>
      <c r="D17" s="254" t="s">
        <v>345</v>
      </c>
      <c r="E17" s="253" t="s">
        <v>346</v>
      </c>
    </row>
    <row r="18" spans="2:5" ht="14.5">
      <c r="B18" s="250" t="s">
        <v>347</v>
      </c>
      <c r="D18" s="254" t="s">
        <v>348</v>
      </c>
      <c r="E18" s="253" t="s">
        <v>349</v>
      </c>
    </row>
    <row r="19" spans="2:5" ht="14.5">
      <c r="B19" s="250" t="s">
        <v>179</v>
      </c>
      <c r="D19" s="254" t="s">
        <v>350</v>
      </c>
      <c r="E19" s="253" t="s">
        <v>351</v>
      </c>
    </row>
    <row r="20" spans="2:5" ht="14.5">
      <c r="B20" s="250" t="s">
        <v>352</v>
      </c>
      <c r="D20" s="254" t="s">
        <v>353</v>
      </c>
      <c r="E20" s="253" t="s">
        <v>354</v>
      </c>
    </row>
    <row r="21" spans="2:5" ht="15.75" customHeight="1">
      <c r="B21" s="250" t="s">
        <v>195</v>
      </c>
      <c r="D21" s="254" t="s">
        <v>355</v>
      </c>
      <c r="E21" s="253" t="s">
        <v>356</v>
      </c>
    </row>
    <row r="22" spans="2:5" ht="15.75" customHeight="1">
      <c r="B22" s="250" t="s">
        <v>170</v>
      </c>
      <c r="D22" s="254" t="s">
        <v>357</v>
      </c>
      <c r="E22" s="253" t="s">
        <v>358</v>
      </c>
    </row>
    <row r="23" spans="2:5" ht="15.75" customHeight="1">
      <c r="B23" s="250" t="s">
        <v>359</v>
      </c>
      <c r="D23" s="254" t="s">
        <v>360</v>
      </c>
      <c r="E23" s="253" t="s">
        <v>361</v>
      </c>
    </row>
    <row r="24" spans="2:5" ht="15.75" customHeight="1">
      <c r="B24" s="250" t="s">
        <v>362</v>
      </c>
      <c r="D24" s="254" t="s">
        <v>363</v>
      </c>
      <c r="E24" s="253" t="s">
        <v>364</v>
      </c>
    </row>
    <row r="25" spans="2:5" ht="15.75" customHeight="1">
      <c r="B25" s="250" t="s">
        <v>365</v>
      </c>
      <c r="D25" s="254" t="s">
        <v>366</v>
      </c>
      <c r="E25" s="253" t="s">
        <v>367</v>
      </c>
    </row>
    <row r="26" spans="2:5" ht="15.75" customHeight="1">
      <c r="B26" s="250" t="s">
        <v>198</v>
      </c>
      <c r="D26" s="254" t="s">
        <v>368</v>
      </c>
      <c r="E26" s="253" t="s">
        <v>369</v>
      </c>
    </row>
    <row r="27" spans="2:5" ht="15.75" customHeight="1">
      <c r="B27" s="255" t="s">
        <v>370</v>
      </c>
      <c r="D27" s="254" t="s">
        <v>371</v>
      </c>
      <c r="E27" s="253" t="s">
        <v>372</v>
      </c>
    </row>
    <row r="28" spans="2:5" ht="15.75" customHeight="1">
      <c r="B28" s="250" t="s">
        <v>175</v>
      </c>
      <c r="D28" s="254" t="s">
        <v>373</v>
      </c>
      <c r="E28" s="253" t="s">
        <v>374</v>
      </c>
    </row>
    <row r="29" spans="2:5" ht="15.75" customHeight="1">
      <c r="B29" s="256" t="s">
        <v>375</v>
      </c>
      <c r="D29" s="254" t="s">
        <v>376</v>
      </c>
      <c r="E29" s="253" t="s">
        <v>377</v>
      </c>
    </row>
    <row r="30" spans="2:5" ht="15.75" customHeight="1">
      <c r="B30" s="256" t="s">
        <v>378</v>
      </c>
    </row>
    <row r="31" spans="2:5" ht="15.75" customHeight="1">
      <c r="B31" s="252" t="s">
        <v>379</v>
      </c>
    </row>
    <row r="32" spans="2:5" ht="15.75" customHeight="1">
      <c r="B32" s="254" t="s">
        <v>136</v>
      </c>
    </row>
    <row r="33" spans="2:2" ht="15.75" customHeight="1">
      <c r="B33" s="254" t="s">
        <v>138</v>
      </c>
    </row>
    <row r="34" spans="2:2" ht="15.75" customHeight="1">
      <c r="B34" s="254" t="s">
        <v>380</v>
      </c>
    </row>
    <row r="35" spans="2:2" ht="15.75" customHeight="1">
      <c r="B35" s="254" t="s">
        <v>381</v>
      </c>
    </row>
    <row r="36" spans="2:2" ht="15.75" customHeight="1">
      <c r="B36" s="254" t="s">
        <v>134</v>
      </c>
    </row>
    <row r="37" spans="2:2" ht="15.75" customHeight="1">
      <c r="B37" s="254" t="s">
        <v>382</v>
      </c>
    </row>
    <row r="38" spans="2:2" ht="15.75" customHeight="1">
      <c r="B38" s="254" t="s">
        <v>383</v>
      </c>
    </row>
    <row r="39" spans="2:2" ht="15.75" customHeight="1">
      <c r="B39" s="254" t="s">
        <v>384</v>
      </c>
    </row>
    <row r="40" spans="2:2" ht="15.75" customHeight="1">
      <c r="B40" s="254" t="s">
        <v>385</v>
      </c>
    </row>
    <row r="41" spans="2:2" ht="15.75" customHeight="1">
      <c r="B41" s="254" t="s">
        <v>96</v>
      </c>
    </row>
    <row r="42" spans="2:2" ht="15.75" customHeight="1">
      <c r="B42" s="254" t="s">
        <v>241</v>
      </c>
    </row>
    <row r="43" spans="2:2" ht="15.75" customHeight="1">
      <c r="B43" s="254" t="s">
        <v>386</v>
      </c>
    </row>
    <row r="44" spans="2:2" ht="15.75" customHeight="1">
      <c r="B44" s="254" t="s">
        <v>86</v>
      </c>
    </row>
    <row r="45" spans="2:2" ht="15.75" customHeight="1">
      <c r="B45" s="254" t="s">
        <v>387</v>
      </c>
    </row>
    <row r="46" spans="2:2" ht="15.75" customHeight="1">
      <c r="B46" s="254" t="s">
        <v>388</v>
      </c>
    </row>
    <row r="47" spans="2:2" ht="15.75" customHeight="1">
      <c r="B47" s="254" t="s">
        <v>97</v>
      </c>
    </row>
    <row r="48" spans="2:2" ht="15.75" customHeight="1">
      <c r="B48" s="254" t="s">
        <v>197</v>
      </c>
    </row>
    <row r="49" spans="2:2" ht="15.75" customHeight="1">
      <c r="B49" s="254" t="s">
        <v>389</v>
      </c>
    </row>
    <row r="50" spans="2:2" ht="15.75" customHeight="1">
      <c r="B50" s="254" t="s">
        <v>390</v>
      </c>
    </row>
    <row r="51" spans="2:2" ht="15.75" customHeight="1">
      <c r="B51" s="254" t="s">
        <v>103</v>
      </c>
    </row>
    <row r="52" spans="2:2" ht="15.75" customHeight="1">
      <c r="B52" s="254" t="s">
        <v>391</v>
      </c>
    </row>
    <row r="53" spans="2:2" ht="15.75" customHeight="1">
      <c r="B53" s="254" t="s">
        <v>151</v>
      </c>
    </row>
    <row r="54" spans="2:2" ht="15.75" customHeight="1">
      <c r="B54" s="254" t="s">
        <v>392</v>
      </c>
    </row>
    <row r="55" spans="2:2" ht="15.75" customHeight="1">
      <c r="B55" s="254" t="s">
        <v>149</v>
      </c>
    </row>
    <row r="56" spans="2:2" ht="15.75" customHeight="1">
      <c r="B56" s="254" t="s">
        <v>169</v>
      </c>
    </row>
    <row r="57" spans="2:2" ht="15.75" customHeight="1">
      <c r="B57" s="254" t="s">
        <v>193</v>
      </c>
    </row>
    <row r="58" spans="2:2" ht="15.75" customHeight="1">
      <c r="B58" s="254" t="s">
        <v>393</v>
      </c>
    </row>
    <row r="59" spans="2:2" ht="15.75" customHeight="1">
      <c r="B59" s="254" t="s">
        <v>394</v>
      </c>
    </row>
    <row r="60" spans="2:2" ht="15.75" customHeight="1">
      <c r="B60" s="254" t="s">
        <v>185</v>
      </c>
    </row>
    <row r="61" spans="2:2" ht="15.75" customHeight="1">
      <c r="B61" s="254" t="s">
        <v>178</v>
      </c>
    </row>
    <row r="62" spans="2:2" ht="15.75" customHeight="1">
      <c r="B62" s="254" t="s">
        <v>395</v>
      </c>
    </row>
    <row r="63" spans="2:2" ht="15.75" customHeight="1">
      <c r="B63" s="254" t="s">
        <v>180</v>
      </c>
    </row>
    <row r="64" spans="2:2" ht="15.75" customHeight="1">
      <c r="B64" s="254" t="s">
        <v>396</v>
      </c>
    </row>
    <row r="65" spans="2:2" ht="15.75" customHeight="1">
      <c r="B65" s="254" t="s">
        <v>397</v>
      </c>
    </row>
    <row r="66" spans="2:2" ht="15.75" customHeight="1">
      <c r="B66" s="254" t="s">
        <v>166</v>
      </c>
    </row>
    <row r="67" spans="2:2" ht="15.75" customHeight="1">
      <c r="B67" s="254" t="s">
        <v>398</v>
      </c>
    </row>
    <row r="68" spans="2:2" ht="15.75" customHeight="1">
      <c r="B68" s="254" t="s">
        <v>399</v>
      </c>
    </row>
    <row r="69" spans="2:2" ht="15.75" customHeight="1">
      <c r="B69" s="254" t="s">
        <v>92</v>
      </c>
    </row>
    <row r="70" spans="2:2" ht="15.75" customHeight="1">
      <c r="B70" s="254" t="s">
        <v>400</v>
      </c>
    </row>
    <row r="71" spans="2:2" ht="15.75" customHeight="1">
      <c r="B71" s="254" t="s">
        <v>401</v>
      </c>
    </row>
    <row r="72" spans="2:2" ht="15.75" customHeight="1">
      <c r="B72" s="254" t="s">
        <v>402</v>
      </c>
    </row>
    <row r="73" spans="2:2" ht="15.75" customHeight="1">
      <c r="B73" s="254" t="s">
        <v>104</v>
      </c>
    </row>
    <row r="74" spans="2:2" ht="15.75" customHeight="1">
      <c r="B74" s="254" t="s">
        <v>403</v>
      </c>
    </row>
    <row r="75" spans="2:2" ht="15.75" customHeight="1">
      <c r="B75" s="254" t="s">
        <v>404</v>
      </c>
    </row>
    <row r="76" spans="2:2" ht="15.75" customHeight="1">
      <c r="B76" s="254" t="s">
        <v>405</v>
      </c>
    </row>
    <row r="77" spans="2:2" ht="15.75" customHeight="1">
      <c r="B77" s="254" t="s">
        <v>406</v>
      </c>
    </row>
    <row r="78" spans="2:2" ht="15.75" customHeight="1">
      <c r="B78" s="254" t="s">
        <v>407</v>
      </c>
    </row>
    <row r="79" spans="2:2" ht="15.75" customHeight="1">
      <c r="B79" s="254" t="s">
        <v>194</v>
      </c>
    </row>
    <row r="80" spans="2:2" ht="15.75" customHeight="1">
      <c r="B80" s="254" t="s">
        <v>135</v>
      </c>
    </row>
    <row r="81" spans="2:2" ht="15.75" customHeight="1">
      <c r="B81" s="254" t="s">
        <v>408</v>
      </c>
    </row>
    <row r="82" spans="2:2" ht="15.75" customHeight="1">
      <c r="B82" s="254" t="s">
        <v>409</v>
      </c>
    </row>
    <row r="83" spans="2:2" ht="15.75" customHeight="1">
      <c r="B83" s="254" t="s">
        <v>410</v>
      </c>
    </row>
    <row r="84" spans="2:2" ht="15.75" customHeight="1">
      <c r="B84" s="254" t="s">
        <v>95</v>
      </c>
    </row>
    <row r="85" spans="2:2" ht="15.75" customHeight="1">
      <c r="B85" s="254" t="s">
        <v>411</v>
      </c>
    </row>
    <row r="86" spans="2:2" ht="15.75" customHeight="1">
      <c r="B86" s="254" t="s">
        <v>412</v>
      </c>
    </row>
    <row r="87" spans="2:2" ht="15.75" customHeight="1">
      <c r="B87" s="254" t="s">
        <v>99</v>
      </c>
    </row>
    <row r="88" spans="2:2" ht="15.75" customHeight="1">
      <c r="B88" s="254" t="s">
        <v>167</v>
      </c>
    </row>
    <row r="89" spans="2:2" ht="15.75" customHeight="1">
      <c r="B89" s="253" t="s">
        <v>413</v>
      </c>
    </row>
    <row r="90" spans="2:2" ht="15.75" customHeight="1">
      <c r="B90" s="254" t="s">
        <v>414</v>
      </c>
    </row>
    <row r="91" spans="2:2" ht="15.75" customHeight="1">
      <c r="B91" s="254" t="s">
        <v>415</v>
      </c>
    </row>
    <row r="92" spans="2:2" ht="15.75" customHeight="1">
      <c r="B92" s="254" t="s">
        <v>137</v>
      </c>
    </row>
    <row r="93" spans="2:2" ht="15.75" customHeight="1">
      <c r="B93" s="254" t="s">
        <v>416</v>
      </c>
    </row>
    <row r="94" spans="2:2" ht="15.75" customHeight="1">
      <c r="B94" s="254" t="s">
        <v>100</v>
      </c>
    </row>
    <row r="95" spans="2:2" ht="15.75" customHeight="1">
      <c r="B95" s="254" t="s">
        <v>168</v>
      </c>
    </row>
    <row r="96" spans="2:2" ht="15.75" customHeight="1">
      <c r="B96" s="254" t="s">
        <v>85</v>
      </c>
    </row>
    <row r="97" spans="2:2" ht="15.75" customHeight="1">
      <c r="B97" s="254" t="s">
        <v>417</v>
      </c>
    </row>
    <row r="98" spans="2:2" ht="15.75" customHeight="1">
      <c r="B98" s="254" t="s">
        <v>102</v>
      </c>
    </row>
    <row r="99" spans="2:2" ht="15.75" customHeight="1">
      <c r="B99" s="254" t="s">
        <v>418</v>
      </c>
    </row>
    <row r="100" spans="2:2" ht="15.75" customHeight="1">
      <c r="B100" s="254" t="s">
        <v>162</v>
      </c>
    </row>
    <row r="101" spans="2:2" ht="15.75" customHeight="1">
      <c r="B101" s="254" t="s">
        <v>419</v>
      </c>
    </row>
    <row r="102" spans="2:2" ht="15.75" customHeight="1">
      <c r="B102" s="254" t="s">
        <v>420</v>
      </c>
    </row>
    <row r="103" spans="2:2" ht="15.75" customHeight="1">
      <c r="B103" s="254" t="s">
        <v>421</v>
      </c>
    </row>
    <row r="104" spans="2:2" ht="15.75" customHeight="1">
      <c r="B104" s="254" t="s">
        <v>422</v>
      </c>
    </row>
    <row r="105" spans="2:2" ht="15.75" customHeight="1">
      <c r="B105" s="254" t="s">
        <v>423</v>
      </c>
    </row>
    <row r="106" spans="2:2" ht="15.75" customHeight="1">
      <c r="B106" s="254" t="s">
        <v>424</v>
      </c>
    </row>
    <row r="107" spans="2:2" ht="15.75" customHeight="1">
      <c r="B107" s="254" t="s">
        <v>425</v>
      </c>
    </row>
    <row r="108" spans="2:2" ht="15.75" customHeight="1">
      <c r="B108" s="254" t="s">
        <v>426</v>
      </c>
    </row>
    <row r="109" spans="2:2" ht="15.75" customHeight="1">
      <c r="B109" s="254" t="s">
        <v>427</v>
      </c>
    </row>
    <row r="110" spans="2:2" ht="15.75" customHeight="1">
      <c r="B110" s="254" t="s">
        <v>428</v>
      </c>
    </row>
    <row r="111" spans="2:2" ht="15.75" customHeight="1">
      <c r="B111" s="254" t="s">
        <v>429</v>
      </c>
    </row>
    <row r="112" spans="2:2" ht="15.75" customHeight="1">
      <c r="B112" s="254" t="s">
        <v>430</v>
      </c>
    </row>
    <row r="113" spans="1:2" ht="15.75" customHeight="1">
      <c r="B113" s="254" t="s">
        <v>431</v>
      </c>
    </row>
    <row r="114" spans="1:2" ht="15.75" customHeight="1">
      <c r="B114" s="254" t="s">
        <v>432</v>
      </c>
    </row>
    <row r="115" spans="1:2" ht="15.75" customHeight="1">
      <c r="B115" s="254" t="s">
        <v>433</v>
      </c>
    </row>
    <row r="116" spans="1:2" ht="15.75" customHeight="1">
      <c r="B116" s="254" t="s">
        <v>434</v>
      </c>
    </row>
    <row r="117" spans="1:2" ht="15.75" customHeight="1">
      <c r="B117" s="254" t="s">
        <v>435</v>
      </c>
    </row>
    <row r="118" spans="1:2" ht="15.75" customHeight="1">
      <c r="B118" s="254" t="s">
        <v>436</v>
      </c>
    </row>
    <row r="119" spans="1:2" ht="15.75" customHeight="1">
      <c r="B119" s="254" t="s">
        <v>437</v>
      </c>
    </row>
    <row r="120" spans="1:2" ht="15.75" customHeight="1">
      <c r="B120" s="253" t="s">
        <v>438</v>
      </c>
    </row>
    <row r="121" spans="1:2" ht="15.75" customHeight="1">
      <c r="B121" s="253" t="s">
        <v>439</v>
      </c>
    </row>
    <row r="122" spans="1:2" ht="15.75" customHeight="1">
      <c r="B122" s="254" t="s">
        <v>440</v>
      </c>
    </row>
    <row r="123" spans="1:2" ht="15.75" customHeight="1">
      <c r="B123" s="254" t="s">
        <v>441</v>
      </c>
    </row>
    <row r="124" spans="1:2" ht="15.75" customHeight="1">
      <c r="B124" s="254" t="s">
        <v>442</v>
      </c>
    </row>
    <row r="125" spans="1:2" ht="15.75" customHeight="1">
      <c r="B125" s="254" t="s">
        <v>443</v>
      </c>
    </row>
    <row r="126" spans="1:2" ht="15.75" customHeight="1">
      <c r="A126" s="257" t="s">
        <v>152</v>
      </c>
      <c r="B126" s="257" t="s">
        <v>444</v>
      </c>
    </row>
    <row r="127" spans="1:2" ht="15.75" customHeight="1">
      <c r="B127" s="252" t="s">
        <v>226</v>
      </c>
    </row>
    <row r="128" spans="1:2" ht="15.75" customHeight="1">
      <c r="B128" s="252" t="s">
        <v>445</v>
      </c>
    </row>
    <row r="129" spans="2:2" ht="15.75" customHeight="1">
      <c r="B129" s="252" t="s">
        <v>446</v>
      </c>
    </row>
    <row r="130" spans="2:2" ht="15.75" customHeight="1">
      <c r="B130" s="252" t="s">
        <v>447</v>
      </c>
    </row>
    <row r="131" spans="2:2" ht="15.75" customHeight="1">
      <c r="B131" s="252" t="s">
        <v>448</v>
      </c>
    </row>
    <row r="132" spans="2:2" ht="15.75" customHeight="1">
      <c r="B132" s="252" t="s">
        <v>449</v>
      </c>
    </row>
    <row r="133" spans="2:2" ht="15.75" customHeight="1">
      <c r="B133" s="252" t="s">
        <v>450</v>
      </c>
    </row>
    <row r="134" spans="2:2" ht="15.75" customHeight="1">
      <c r="B134" s="252" t="s">
        <v>451</v>
      </c>
    </row>
    <row r="135" spans="2:2" ht="15.75" customHeight="1">
      <c r="B135" s="252" t="s">
        <v>452</v>
      </c>
    </row>
    <row r="136" spans="2:2" ht="15.75" customHeight="1">
      <c r="B136" s="252" t="s">
        <v>453</v>
      </c>
    </row>
    <row r="137" spans="2:2" ht="15.75" customHeight="1">
      <c r="B137" s="256" t="s">
        <v>89</v>
      </c>
    </row>
    <row r="138" spans="2:2" ht="15.75" customHeight="1">
      <c r="B138" s="256" t="s">
        <v>91</v>
      </c>
    </row>
    <row r="139" spans="2:2" ht="15.75" customHeight="1">
      <c r="B139" s="256" t="s">
        <v>93</v>
      </c>
    </row>
    <row r="140" spans="2:2" ht="15.75" customHeight="1">
      <c r="B140" s="256" t="s">
        <v>454</v>
      </c>
    </row>
    <row r="141" spans="2:2" ht="15.75" customHeight="1">
      <c r="B141" s="256" t="s">
        <v>94</v>
      </c>
    </row>
    <row r="142" spans="2:2" ht="15.75" customHeight="1">
      <c r="B142" s="256" t="s">
        <v>455</v>
      </c>
    </row>
    <row r="143" spans="2:2" ht="15.75" customHeight="1">
      <c r="B143" s="256" t="s">
        <v>88</v>
      </c>
    </row>
    <row r="144" spans="2:2" ht="15.75" customHeight="1">
      <c r="B144" s="256" t="s">
        <v>456</v>
      </c>
    </row>
    <row r="145" spans="2:2" ht="15.75" customHeight="1">
      <c r="B145" s="256" t="s">
        <v>457</v>
      </c>
    </row>
    <row r="146" spans="2:2" ht="15.75" customHeight="1">
      <c r="B146" s="256" t="s">
        <v>84</v>
      </c>
    </row>
    <row r="147" spans="2:2" ht="15.75" customHeight="1">
      <c r="B147" s="256" t="s">
        <v>90</v>
      </c>
    </row>
    <row r="148" spans="2:2" ht="15.75" customHeight="1">
      <c r="B148" s="256" t="s">
        <v>458</v>
      </c>
    </row>
    <row r="149" spans="2:2" ht="15.75" customHeight="1">
      <c r="B149" s="256" t="s">
        <v>237</v>
      </c>
    </row>
    <row r="150" spans="2:2" ht="15.75" customHeight="1">
      <c r="B150" s="256" t="s">
        <v>145</v>
      </c>
    </row>
    <row r="151" spans="2:2" ht="15.75" customHeight="1">
      <c r="B151" s="256" t="s">
        <v>459</v>
      </c>
    </row>
    <row r="152" spans="2:2" ht="15.75" customHeight="1">
      <c r="B152" s="256" t="s">
        <v>460</v>
      </c>
    </row>
    <row r="153" spans="2:2" ht="15.75" customHeight="1">
      <c r="B153" s="256" t="s">
        <v>133</v>
      </c>
    </row>
    <row r="154" spans="2:2" ht="15.75" customHeight="1">
      <c r="B154" s="256" t="s">
        <v>461</v>
      </c>
    </row>
    <row r="155" spans="2:2" ht="15.75" customHeight="1">
      <c r="B155" s="256" t="s">
        <v>462</v>
      </c>
    </row>
    <row r="156" spans="2:2" ht="15.75" customHeight="1">
      <c r="B156" s="256" t="s">
        <v>463</v>
      </c>
    </row>
    <row r="157" spans="2:2" ht="15.75" customHeight="1">
      <c r="B157" s="256" t="s">
        <v>464</v>
      </c>
    </row>
    <row r="158" spans="2:2" ht="15.75" customHeight="1">
      <c r="B158" s="256" t="s">
        <v>465</v>
      </c>
    </row>
    <row r="159" spans="2:2" ht="15.75" customHeight="1">
      <c r="B159" s="256" t="s">
        <v>466</v>
      </c>
    </row>
    <row r="160" spans="2:2" ht="15.75" customHeight="1">
      <c r="B160" s="256" t="s">
        <v>467</v>
      </c>
    </row>
    <row r="161" spans="2:2" ht="15.75" customHeight="1">
      <c r="B161" s="256" t="s">
        <v>253</v>
      </c>
    </row>
    <row r="162" spans="2:2" ht="15.75" customHeight="1">
      <c r="B162" s="256" t="s">
        <v>468</v>
      </c>
    </row>
    <row r="163" spans="2:2" ht="15.75" customHeight="1">
      <c r="B163" s="256" t="s">
        <v>469</v>
      </c>
    </row>
    <row r="164" spans="2:2" ht="15.75" customHeight="1">
      <c r="B164" s="256" t="s">
        <v>470</v>
      </c>
    </row>
    <row r="165" spans="2:2" ht="15.75" customHeight="1">
      <c r="B165" s="256" t="s">
        <v>101</v>
      </c>
    </row>
    <row r="166" spans="2:2" ht="15.75" customHeight="1">
      <c r="B166" s="256" t="s">
        <v>471</v>
      </c>
    </row>
    <row r="167" spans="2:2" ht="15.75" customHeight="1">
      <c r="B167" s="256" t="s">
        <v>472</v>
      </c>
    </row>
    <row r="168" spans="2:2" ht="15.75" customHeight="1">
      <c r="B168" s="256" t="s">
        <v>473</v>
      </c>
    </row>
    <row r="169" spans="2:2" ht="15.75" customHeight="1">
      <c r="B169" s="256" t="s">
        <v>474</v>
      </c>
    </row>
    <row r="170" spans="2:2" ht="15.75" customHeight="1">
      <c r="B170" s="252" t="s">
        <v>475</v>
      </c>
    </row>
    <row r="171" spans="2:2" ht="15.75" customHeight="1">
      <c r="B171" s="258" t="s">
        <v>476</v>
      </c>
    </row>
    <row r="172" spans="2:2" ht="15.75" customHeight="1">
      <c r="B172" s="259" t="s">
        <v>477</v>
      </c>
    </row>
    <row r="173" spans="2:2" ht="15.75" customHeight="1">
      <c r="B173" s="258" t="s">
        <v>478</v>
      </c>
    </row>
    <row r="174" spans="2:2" ht="15.75" customHeight="1">
      <c r="B174" s="258" t="s">
        <v>479</v>
      </c>
    </row>
    <row r="175" spans="2:2" ht="15.75" customHeight="1">
      <c r="B175" s="258" t="s">
        <v>480</v>
      </c>
    </row>
    <row r="176" spans="2:2" ht="15.75" customHeight="1">
      <c r="B176" s="258" t="s">
        <v>122</v>
      </c>
    </row>
    <row r="177" spans="2:2" ht="15.75" customHeight="1">
      <c r="B177" s="258" t="s">
        <v>481</v>
      </c>
    </row>
    <row r="178" spans="2:2" ht="15.75" customHeight="1">
      <c r="B178" s="253" t="s">
        <v>482</v>
      </c>
    </row>
    <row r="179" spans="2:2" ht="15.75" customHeight="1">
      <c r="B179" s="256" t="s">
        <v>483</v>
      </c>
    </row>
    <row r="180" spans="2:2" ht="15.75" customHeight="1">
      <c r="B180" s="260" t="s">
        <v>484</v>
      </c>
    </row>
    <row r="181" spans="2:2" ht="15.75" customHeight="1">
      <c r="B181" s="256" t="s">
        <v>485</v>
      </c>
    </row>
    <row r="182" spans="2:2" ht="15.75" customHeight="1">
      <c r="B182" s="252" t="s">
        <v>146</v>
      </c>
    </row>
    <row r="183" spans="2:2" ht="15.75" customHeight="1">
      <c r="B183" s="252" t="s">
        <v>486</v>
      </c>
    </row>
    <row r="184" spans="2:2" ht="15.75" customHeight="1">
      <c r="B184" s="252" t="s">
        <v>87</v>
      </c>
    </row>
    <row r="185" spans="2:2" ht="15.75" customHeight="1">
      <c r="B185" s="252" t="s">
        <v>487</v>
      </c>
    </row>
    <row r="186" spans="2:2" ht="15.75" customHeight="1">
      <c r="B186" s="252" t="s">
        <v>488</v>
      </c>
    </row>
  </sheetData>
  <pageMargins left="0.7" right="0.7" top="0.75" bottom="0.75" header="0" footer="0"/>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5623"/>
  </sheetPr>
  <dimension ref="B2:I239"/>
  <sheetViews>
    <sheetView topLeftCell="A38" workbookViewId="0">
      <selection activeCell="I12" sqref="I12:I49"/>
    </sheetView>
  </sheetViews>
  <sheetFormatPr defaultColWidth="16.81640625" defaultRowHeight="15" customHeight="1" outlineLevelCol="1"/>
  <cols>
    <col min="1" max="1" width="10.26953125" customWidth="1"/>
    <col min="2" max="3" width="19.453125" customWidth="1" outlineLevel="1"/>
    <col min="4" max="4" width="12.453125" customWidth="1"/>
    <col min="5" max="6" width="10.26953125" customWidth="1"/>
    <col min="7" max="8" width="18.453125" customWidth="1" outlineLevel="1"/>
    <col min="9" max="9" width="12.453125" customWidth="1"/>
    <col min="10" max="11" width="10.26953125" customWidth="1"/>
  </cols>
  <sheetData>
    <row r="2" spans="2:9" ht="15" customHeight="1">
      <c r="B2" t="s">
        <v>558</v>
      </c>
      <c r="C2" t="s">
        <v>549</v>
      </c>
      <c r="H2" t="s">
        <v>549</v>
      </c>
    </row>
    <row r="3" spans="2:9" ht="15" customHeight="1">
      <c r="B3" s="457" t="s">
        <v>44</v>
      </c>
      <c r="C3" s="35" t="s">
        <v>44</v>
      </c>
      <c r="G3" s="35" t="s">
        <v>44</v>
      </c>
      <c r="H3" s="35" t="s">
        <v>44</v>
      </c>
    </row>
    <row r="4" spans="2:9" ht="15" customHeight="1">
      <c r="B4" s="457"/>
      <c r="C4" s="35"/>
      <c r="G4" s="35"/>
      <c r="H4" s="35"/>
    </row>
    <row r="5" spans="2:9" ht="19.5">
      <c r="B5" s="458">
        <v>105000</v>
      </c>
      <c r="C5" s="54">
        <v>105000</v>
      </c>
      <c r="D5" s="63">
        <f t="shared" ref="D5:D28" si="0">+B5-C5</f>
        <v>0</v>
      </c>
      <c r="G5" s="374">
        <v>85000</v>
      </c>
      <c r="H5" s="64">
        <v>85000</v>
      </c>
      <c r="I5" s="63">
        <f t="shared" ref="I5:I49" si="1">+G5-H5</f>
        <v>0</v>
      </c>
    </row>
    <row r="6" spans="2:9" ht="19.5">
      <c r="B6" s="458">
        <v>36000</v>
      </c>
      <c r="C6" s="54">
        <v>36000</v>
      </c>
      <c r="D6" s="63">
        <f t="shared" si="0"/>
        <v>0</v>
      </c>
      <c r="G6" s="374">
        <v>25000</v>
      </c>
      <c r="H6" s="64">
        <v>25000</v>
      </c>
      <c r="I6" s="63">
        <f t="shared" si="1"/>
        <v>0</v>
      </c>
    </row>
    <row r="7" spans="2:9" ht="19.5">
      <c r="B7" s="458">
        <v>34500</v>
      </c>
      <c r="C7" s="54">
        <v>34500</v>
      </c>
      <c r="D7" s="63">
        <f t="shared" si="0"/>
        <v>0</v>
      </c>
      <c r="G7" s="374">
        <v>75000</v>
      </c>
      <c r="H7" s="64">
        <v>75000</v>
      </c>
      <c r="I7" s="63">
        <f t="shared" si="1"/>
        <v>0</v>
      </c>
    </row>
    <row r="8" spans="2:9" ht="19.5">
      <c r="B8" s="458">
        <v>23000</v>
      </c>
      <c r="C8" s="54">
        <v>23000</v>
      </c>
      <c r="D8" s="63">
        <f t="shared" si="0"/>
        <v>0</v>
      </c>
      <c r="G8" s="374">
        <v>32000</v>
      </c>
      <c r="H8" s="64">
        <v>32000</v>
      </c>
      <c r="I8" s="63">
        <f t="shared" si="1"/>
        <v>0</v>
      </c>
    </row>
    <row r="9" spans="2:9" ht="19.5">
      <c r="B9" s="458">
        <v>21000</v>
      </c>
      <c r="C9" s="54">
        <v>21000</v>
      </c>
      <c r="D9" s="63">
        <f t="shared" si="0"/>
        <v>0</v>
      </c>
      <c r="G9" s="374">
        <v>34000</v>
      </c>
      <c r="H9" s="64">
        <v>34000</v>
      </c>
      <c r="I9" s="63">
        <f t="shared" si="1"/>
        <v>0</v>
      </c>
    </row>
    <row r="10" spans="2:9" ht="19.5">
      <c r="B10" s="458">
        <v>70000</v>
      </c>
      <c r="C10" s="54">
        <v>70000</v>
      </c>
      <c r="D10" s="63">
        <f t="shared" si="0"/>
        <v>0</v>
      </c>
      <c r="G10" s="374">
        <v>20000</v>
      </c>
      <c r="H10" s="64">
        <v>20000</v>
      </c>
      <c r="I10" s="63">
        <f t="shared" si="1"/>
        <v>0</v>
      </c>
    </row>
    <row r="11" spans="2:9" ht="19.5">
      <c r="B11" s="458">
        <v>30000</v>
      </c>
      <c r="C11" s="54">
        <v>30000</v>
      </c>
      <c r="D11" s="63">
        <f t="shared" si="0"/>
        <v>0</v>
      </c>
      <c r="G11" s="374">
        <v>16200</v>
      </c>
      <c r="H11" s="64">
        <v>16200</v>
      </c>
      <c r="I11" s="63">
        <f t="shared" si="1"/>
        <v>0</v>
      </c>
    </row>
    <row r="12" spans="2:9" ht="19.5">
      <c r="B12" s="458">
        <v>27000</v>
      </c>
      <c r="C12" s="54">
        <v>27000</v>
      </c>
      <c r="D12" s="63">
        <f t="shared" si="0"/>
        <v>0</v>
      </c>
      <c r="G12" s="374">
        <v>14900</v>
      </c>
      <c r="H12" s="64">
        <v>14900</v>
      </c>
      <c r="I12" s="63">
        <f t="shared" si="1"/>
        <v>0</v>
      </c>
    </row>
    <row r="13" spans="2:9" ht="19.5">
      <c r="B13" s="458">
        <v>39000</v>
      </c>
      <c r="C13" s="54">
        <v>39000</v>
      </c>
      <c r="D13" s="63">
        <f t="shared" si="0"/>
        <v>0</v>
      </c>
      <c r="H13" s="64">
        <v>24000</v>
      </c>
      <c r="I13" s="63">
        <f t="shared" si="1"/>
        <v>-24000</v>
      </c>
    </row>
    <row r="14" spans="2:9" ht="19.5">
      <c r="B14" s="458">
        <v>21500</v>
      </c>
      <c r="C14" s="54">
        <v>21500</v>
      </c>
      <c r="D14" s="63">
        <f t="shared" si="0"/>
        <v>0</v>
      </c>
      <c r="G14" s="374">
        <v>27000</v>
      </c>
      <c r="H14" s="64">
        <v>27000</v>
      </c>
      <c r="I14" s="63">
        <f t="shared" si="1"/>
        <v>0</v>
      </c>
    </row>
    <row r="15" spans="2:9" ht="19.5">
      <c r="B15" s="458">
        <v>48500</v>
      </c>
      <c r="C15" s="54">
        <v>48500</v>
      </c>
      <c r="D15" s="63">
        <f t="shared" si="0"/>
        <v>0</v>
      </c>
      <c r="G15" s="374">
        <v>20000</v>
      </c>
      <c r="H15" s="64">
        <v>20000</v>
      </c>
      <c r="I15" s="63">
        <f t="shared" si="1"/>
        <v>0</v>
      </c>
    </row>
    <row r="16" spans="2:9" ht="19.5">
      <c r="B16" s="458">
        <v>60000</v>
      </c>
      <c r="C16" s="54">
        <v>60000</v>
      </c>
      <c r="D16" s="63">
        <f t="shared" si="0"/>
        <v>0</v>
      </c>
      <c r="G16" s="374">
        <v>15200</v>
      </c>
      <c r="H16" s="64">
        <v>15200</v>
      </c>
      <c r="I16" s="63">
        <f t="shared" si="1"/>
        <v>0</v>
      </c>
    </row>
    <row r="17" spans="2:9" ht="19.5">
      <c r="B17" s="458">
        <v>37000</v>
      </c>
      <c r="C17" s="54">
        <v>37000</v>
      </c>
      <c r="D17" s="63">
        <f t="shared" si="0"/>
        <v>0</v>
      </c>
      <c r="G17" s="374">
        <v>33000</v>
      </c>
      <c r="H17" s="64">
        <v>33000</v>
      </c>
      <c r="I17" s="63">
        <f t="shared" si="1"/>
        <v>0</v>
      </c>
    </row>
    <row r="18" spans="2:9" ht="19.5">
      <c r="B18" s="458">
        <v>45000</v>
      </c>
      <c r="C18" s="54">
        <v>45000</v>
      </c>
      <c r="D18" s="63">
        <f t="shared" si="0"/>
        <v>0</v>
      </c>
      <c r="G18" s="374">
        <v>15000</v>
      </c>
      <c r="H18" s="64">
        <v>15000</v>
      </c>
      <c r="I18" s="63">
        <f t="shared" si="1"/>
        <v>0</v>
      </c>
    </row>
    <row r="19" spans="2:9" ht="19.5">
      <c r="B19" s="458">
        <v>36000</v>
      </c>
      <c r="C19" s="54">
        <v>36000</v>
      </c>
      <c r="D19" s="63">
        <f t="shared" si="0"/>
        <v>0</v>
      </c>
      <c r="G19" s="374">
        <v>43000</v>
      </c>
      <c r="H19" s="64">
        <v>43000</v>
      </c>
      <c r="I19" s="63">
        <f t="shared" si="1"/>
        <v>0</v>
      </c>
    </row>
    <row r="20" spans="2:9" ht="19.5">
      <c r="B20" s="458">
        <v>27000</v>
      </c>
      <c r="C20" s="54">
        <v>27000</v>
      </c>
      <c r="D20" s="63">
        <f t="shared" si="0"/>
        <v>0</v>
      </c>
      <c r="G20" s="374">
        <v>24000</v>
      </c>
      <c r="H20" s="64">
        <v>24000</v>
      </c>
      <c r="I20" s="63">
        <f t="shared" si="1"/>
        <v>0</v>
      </c>
    </row>
    <row r="21" spans="2:9" ht="15.75" customHeight="1">
      <c r="B21" s="458">
        <v>56000</v>
      </c>
      <c r="C21" s="54">
        <v>56000</v>
      </c>
      <c r="D21" s="63">
        <f t="shared" si="0"/>
        <v>0</v>
      </c>
      <c r="G21" s="374">
        <v>16900</v>
      </c>
      <c r="H21" s="64">
        <v>16900</v>
      </c>
      <c r="I21" s="63">
        <f t="shared" si="1"/>
        <v>0</v>
      </c>
    </row>
    <row r="22" spans="2:9" ht="15.75" customHeight="1">
      <c r="B22" s="458">
        <v>52000</v>
      </c>
      <c r="C22" s="54">
        <v>52000</v>
      </c>
      <c r="D22" s="63">
        <f t="shared" si="0"/>
        <v>0</v>
      </c>
      <c r="G22" s="374">
        <v>60000</v>
      </c>
      <c r="H22" s="64">
        <v>60000</v>
      </c>
      <c r="I22" s="63">
        <f t="shared" si="1"/>
        <v>0</v>
      </c>
    </row>
    <row r="23" spans="2:9" ht="15.75" customHeight="1">
      <c r="B23" s="458">
        <v>45000</v>
      </c>
      <c r="C23" s="54">
        <v>45000</v>
      </c>
      <c r="D23" s="63">
        <f t="shared" si="0"/>
        <v>0</v>
      </c>
      <c r="G23" s="374">
        <v>65000</v>
      </c>
      <c r="H23" s="64">
        <v>65000</v>
      </c>
      <c r="I23" s="63">
        <f t="shared" si="1"/>
        <v>0</v>
      </c>
    </row>
    <row r="24" spans="2:9" ht="15.75" customHeight="1">
      <c r="B24" s="458">
        <v>29000</v>
      </c>
      <c r="C24" s="54">
        <v>29000</v>
      </c>
      <c r="D24" s="63">
        <f t="shared" si="0"/>
        <v>0</v>
      </c>
      <c r="G24" s="374">
        <v>23000</v>
      </c>
      <c r="H24" s="64">
        <v>23000</v>
      </c>
      <c r="I24" s="63">
        <f t="shared" si="1"/>
        <v>0</v>
      </c>
    </row>
    <row r="25" spans="2:9" ht="15.75" customHeight="1">
      <c r="B25" s="458">
        <v>44000</v>
      </c>
      <c r="C25" s="54">
        <v>44000</v>
      </c>
      <c r="D25" s="63">
        <f t="shared" si="0"/>
        <v>0</v>
      </c>
      <c r="G25" s="374">
        <v>24800</v>
      </c>
      <c r="H25" s="64">
        <v>24800</v>
      </c>
      <c r="I25" s="63">
        <f t="shared" si="1"/>
        <v>0</v>
      </c>
    </row>
    <row r="26" spans="2:9" ht="15.75" customHeight="1">
      <c r="B26" s="458">
        <v>27500</v>
      </c>
      <c r="C26" s="54">
        <v>27500</v>
      </c>
      <c r="D26" s="63">
        <f t="shared" si="0"/>
        <v>0</v>
      </c>
      <c r="G26" s="374">
        <v>18000</v>
      </c>
      <c r="H26" s="64">
        <v>18000</v>
      </c>
      <c r="I26" s="63">
        <f t="shared" si="1"/>
        <v>0</v>
      </c>
    </row>
    <row r="27" spans="2:9" ht="15.75" customHeight="1">
      <c r="B27" s="458">
        <v>5000</v>
      </c>
      <c r="C27" s="54">
        <v>5000</v>
      </c>
      <c r="D27" s="63">
        <f t="shared" si="0"/>
        <v>0</v>
      </c>
      <c r="G27" s="374">
        <v>18000</v>
      </c>
      <c r="H27" s="64">
        <v>18000</v>
      </c>
      <c r="I27" s="63">
        <f t="shared" si="1"/>
        <v>0</v>
      </c>
    </row>
    <row r="28" spans="2:9" ht="15.75" customHeight="1">
      <c r="B28" s="458">
        <v>18500</v>
      </c>
      <c r="C28" s="54">
        <v>18500</v>
      </c>
      <c r="D28" s="63">
        <f t="shared" si="0"/>
        <v>0</v>
      </c>
      <c r="G28" s="374">
        <v>14000</v>
      </c>
      <c r="H28" s="64">
        <v>14000</v>
      </c>
      <c r="I28" s="63">
        <f t="shared" si="1"/>
        <v>0</v>
      </c>
    </row>
    <row r="29" spans="2:9" ht="15.75" customHeight="1">
      <c r="B29" s="458">
        <v>30000</v>
      </c>
      <c r="C29" s="54">
        <v>30000</v>
      </c>
      <c r="D29" s="63">
        <f>+B29-C29</f>
        <v>0</v>
      </c>
      <c r="G29" s="374">
        <v>14000</v>
      </c>
      <c r="H29" s="64">
        <v>14000</v>
      </c>
      <c r="I29" s="63">
        <f t="shared" si="1"/>
        <v>0</v>
      </c>
    </row>
    <row r="30" spans="2:9" ht="15.75" customHeight="1">
      <c r="C30" s="54">
        <v>34000</v>
      </c>
      <c r="D30" s="63">
        <f t="shared" ref="D30:D80" si="2">+B30-C30</f>
        <v>-34000</v>
      </c>
      <c r="G30" s="374">
        <v>25000</v>
      </c>
      <c r="H30" s="64">
        <v>25000</v>
      </c>
      <c r="I30" s="63">
        <f t="shared" si="1"/>
        <v>0</v>
      </c>
    </row>
    <row r="31" spans="2:9" ht="15.75" customHeight="1">
      <c r="B31" s="458">
        <v>29000</v>
      </c>
      <c r="C31" s="54">
        <v>29000</v>
      </c>
      <c r="D31" s="63">
        <f t="shared" si="2"/>
        <v>0</v>
      </c>
      <c r="G31" s="374">
        <v>30000</v>
      </c>
      <c r="H31" s="64">
        <v>30000</v>
      </c>
      <c r="I31" s="63">
        <f t="shared" si="1"/>
        <v>0</v>
      </c>
    </row>
    <row r="32" spans="2:9" ht="15.75" customHeight="1">
      <c r="B32" s="458">
        <v>30500</v>
      </c>
      <c r="C32" s="54">
        <v>30500</v>
      </c>
      <c r="D32" s="63">
        <f t="shared" si="2"/>
        <v>0</v>
      </c>
      <c r="G32" s="374">
        <v>20000</v>
      </c>
      <c r="H32" s="64">
        <v>20000</v>
      </c>
      <c r="I32" s="63">
        <f t="shared" si="1"/>
        <v>0</v>
      </c>
    </row>
    <row r="33" spans="2:9" ht="15.75" customHeight="1">
      <c r="B33" s="458">
        <v>27000</v>
      </c>
      <c r="C33" s="54">
        <v>27000</v>
      </c>
      <c r="D33" s="63">
        <f t="shared" si="2"/>
        <v>0</v>
      </c>
      <c r="G33" s="374">
        <v>20000</v>
      </c>
      <c r="H33" s="64">
        <v>20000</v>
      </c>
      <c r="I33" s="63">
        <f t="shared" si="1"/>
        <v>0</v>
      </c>
    </row>
    <row r="34" spans="2:9" ht="15.75" customHeight="1">
      <c r="B34" s="458">
        <v>18000</v>
      </c>
      <c r="C34" s="54">
        <v>18000</v>
      </c>
      <c r="D34" s="63">
        <f t="shared" si="2"/>
        <v>0</v>
      </c>
      <c r="G34" s="374">
        <v>21000</v>
      </c>
      <c r="H34" s="64">
        <v>21000</v>
      </c>
      <c r="I34" s="63">
        <f t="shared" si="1"/>
        <v>0</v>
      </c>
    </row>
    <row r="35" spans="2:9" ht="15.75" customHeight="1">
      <c r="B35" s="458">
        <v>20000</v>
      </c>
      <c r="C35" s="54">
        <v>20000</v>
      </c>
      <c r="D35" s="63">
        <f t="shared" si="2"/>
        <v>0</v>
      </c>
      <c r="G35" s="374">
        <v>30000</v>
      </c>
      <c r="H35" s="64">
        <v>30000</v>
      </c>
      <c r="I35" s="63">
        <f t="shared" si="1"/>
        <v>0</v>
      </c>
    </row>
    <row r="36" spans="2:9" ht="15.75" customHeight="1">
      <c r="C36" s="54">
        <v>34000</v>
      </c>
      <c r="D36" s="63">
        <f t="shared" si="2"/>
        <v>-34000</v>
      </c>
      <c r="G36" s="374">
        <v>25000</v>
      </c>
      <c r="H36" s="64">
        <v>25000</v>
      </c>
      <c r="I36" s="63">
        <f t="shared" si="1"/>
        <v>0</v>
      </c>
    </row>
    <row r="37" spans="2:9" ht="15.75" customHeight="1">
      <c r="B37" s="458">
        <v>23500</v>
      </c>
      <c r="C37" s="54">
        <v>23500</v>
      </c>
      <c r="D37" s="63">
        <f t="shared" si="2"/>
        <v>0</v>
      </c>
      <c r="G37" s="382">
        <v>20000</v>
      </c>
      <c r="H37" s="464">
        <v>20000</v>
      </c>
      <c r="I37" s="63">
        <f t="shared" si="1"/>
        <v>0</v>
      </c>
    </row>
    <row r="38" spans="2:9" ht="15.75" customHeight="1">
      <c r="B38" s="458">
        <v>30000</v>
      </c>
      <c r="C38" s="54">
        <v>30000</v>
      </c>
      <c r="D38" s="63">
        <f t="shared" si="2"/>
        <v>0</v>
      </c>
      <c r="G38" s="374">
        <v>16000</v>
      </c>
      <c r="H38" s="64">
        <v>16000</v>
      </c>
      <c r="I38" s="63">
        <f t="shared" si="1"/>
        <v>0</v>
      </c>
    </row>
    <row r="39" spans="2:9" ht="15.75" customHeight="1">
      <c r="B39" s="458">
        <v>17500</v>
      </c>
      <c r="C39" s="54">
        <v>17500</v>
      </c>
      <c r="D39" s="63">
        <f t="shared" si="2"/>
        <v>0</v>
      </c>
      <c r="G39" s="374">
        <v>15000</v>
      </c>
      <c r="H39" s="64">
        <v>15000</v>
      </c>
      <c r="I39" s="63">
        <f t="shared" si="1"/>
        <v>0</v>
      </c>
    </row>
    <row r="40" spans="2:9" ht="15.75" customHeight="1">
      <c r="B40" s="458">
        <v>22000</v>
      </c>
      <c r="C40" s="54">
        <v>22000</v>
      </c>
      <c r="D40" s="63">
        <f t="shared" si="2"/>
        <v>0</v>
      </c>
      <c r="G40" s="382">
        <v>16500</v>
      </c>
      <c r="H40" s="464">
        <v>16500</v>
      </c>
      <c r="I40" s="63">
        <f t="shared" si="1"/>
        <v>0</v>
      </c>
    </row>
    <row r="41" spans="2:9" ht="15.75" customHeight="1">
      <c r="B41" s="458">
        <v>16000</v>
      </c>
      <c r="C41" s="54">
        <v>16000</v>
      </c>
      <c r="D41" s="63">
        <f t="shared" si="2"/>
        <v>0</v>
      </c>
      <c r="G41" s="382">
        <v>25000</v>
      </c>
      <c r="H41" s="464">
        <v>25000</v>
      </c>
      <c r="I41" s="63">
        <f t="shared" si="1"/>
        <v>0</v>
      </c>
    </row>
    <row r="42" spans="2:9" ht="15.75" customHeight="1">
      <c r="B42" s="458">
        <v>44000</v>
      </c>
      <c r="C42" s="54">
        <v>44000</v>
      </c>
      <c r="D42" s="63">
        <f t="shared" si="2"/>
        <v>0</v>
      </c>
      <c r="G42" s="382">
        <v>15000</v>
      </c>
      <c r="H42" s="464">
        <v>15000</v>
      </c>
      <c r="I42" s="63">
        <f t="shared" si="1"/>
        <v>0</v>
      </c>
    </row>
    <row r="43" spans="2:9" ht="15.75" customHeight="1">
      <c r="B43" s="458">
        <v>26500</v>
      </c>
      <c r="C43" s="54">
        <v>26500</v>
      </c>
      <c r="D43" s="63">
        <f t="shared" si="2"/>
        <v>0</v>
      </c>
      <c r="G43" s="382">
        <v>18000</v>
      </c>
      <c r="H43" s="464">
        <v>18000</v>
      </c>
      <c r="I43" s="63">
        <f t="shared" si="1"/>
        <v>0</v>
      </c>
    </row>
    <row r="44" spans="2:9" ht="15.75" customHeight="1">
      <c r="B44" s="458">
        <v>12600</v>
      </c>
      <c r="C44" s="54">
        <v>12600</v>
      </c>
      <c r="D44" s="63">
        <f t="shared" si="2"/>
        <v>0</v>
      </c>
      <c r="G44" s="374">
        <v>15000</v>
      </c>
      <c r="H44" s="64">
        <v>15000</v>
      </c>
      <c r="I44" s="63">
        <f t="shared" si="1"/>
        <v>0</v>
      </c>
    </row>
    <row r="45" spans="2:9" ht="15.75" customHeight="1">
      <c r="B45" s="458">
        <v>25000</v>
      </c>
      <c r="C45" s="54">
        <v>25000</v>
      </c>
      <c r="D45" s="63">
        <f t="shared" si="2"/>
        <v>0</v>
      </c>
      <c r="G45" s="374">
        <v>14000</v>
      </c>
      <c r="H45" s="64">
        <v>14000</v>
      </c>
      <c r="I45" s="63">
        <f t="shared" si="1"/>
        <v>0</v>
      </c>
    </row>
    <row r="46" spans="2:9" ht="15.75" customHeight="1">
      <c r="B46" s="458">
        <v>27000</v>
      </c>
      <c r="C46" s="54">
        <v>27000</v>
      </c>
      <c r="D46" s="63">
        <f t="shared" si="2"/>
        <v>0</v>
      </c>
      <c r="G46" s="374">
        <v>14000</v>
      </c>
      <c r="H46" s="64">
        <v>14000</v>
      </c>
      <c r="I46" s="63">
        <f t="shared" si="1"/>
        <v>0</v>
      </c>
    </row>
    <row r="47" spans="2:9" ht="15.75" customHeight="1">
      <c r="B47" s="458">
        <v>24000</v>
      </c>
      <c r="C47" s="54">
        <v>24000</v>
      </c>
      <c r="D47" s="63">
        <f t="shared" si="2"/>
        <v>0</v>
      </c>
      <c r="G47" s="374">
        <v>13000</v>
      </c>
      <c r="H47" s="64">
        <v>13000</v>
      </c>
      <c r="I47" s="63">
        <f t="shared" si="1"/>
        <v>0</v>
      </c>
    </row>
    <row r="48" spans="2:9" ht="15.75" customHeight="1">
      <c r="B48" s="458">
        <v>22000</v>
      </c>
      <c r="C48" s="54">
        <v>22000</v>
      </c>
      <c r="D48" s="63">
        <f t="shared" si="2"/>
        <v>0</v>
      </c>
      <c r="G48" s="374">
        <v>18000</v>
      </c>
      <c r="H48" s="64">
        <v>18000</v>
      </c>
      <c r="I48" s="63">
        <f t="shared" si="1"/>
        <v>0</v>
      </c>
    </row>
    <row r="49" spans="2:9" ht="15.75" customHeight="1">
      <c r="B49" s="458">
        <v>25000</v>
      </c>
      <c r="C49" s="54">
        <v>25000</v>
      </c>
      <c r="D49" s="63">
        <f t="shared" si="2"/>
        <v>0</v>
      </c>
      <c r="G49" s="374">
        <v>12000</v>
      </c>
      <c r="H49" s="64">
        <v>12000</v>
      </c>
      <c r="I49" s="63">
        <f t="shared" si="1"/>
        <v>0</v>
      </c>
    </row>
    <row r="50" spans="2:9" ht="15.75" customHeight="1">
      <c r="B50" s="458">
        <v>23000</v>
      </c>
      <c r="C50" s="54">
        <v>23000</v>
      </c>
      <c r="D50" s="63">
        <f t="shared" si="2"/>
        <v>0</v>
      </c>
      <c r="G50" s="388">
        <f>SUM(G5:G49)</f>
        <v>1115500</v>
      </c>
      <c r="H50" s="66">
        <f t="shared" ref="H50" si="3">SUM(H5:H49)</f>
        <v>1139500</v>
      </c>
    </row>
    <row r="51" spans="2:9" ht="15.75" customHeight="1" thickBot="1">
      <c r="B51" s="458">
        <v>20000</v>
      </c>
      <c r="C51" s="54">
        <v>20000</v>
      </c>
      <c r="D51" s="63">
        <f t="shared" si="2"/>
        <v>0</v>
      </c>
      <c r="G51" s="67"/>
      <c r="H51" s="465"/>
    </row>
    <row r="52" spans="2:9" ht="15.75" customHeight="1">
      <c r="C52" s="54">
        <v>30000</v>
      </c>
      <c r="D52" s="63">
        <f t="shared" si="2"/>
        <v>-30000</v>
      </c>
      <c r="G52" s="70"/>
      <c r="H52" s="68"/>
    </row>
    <row r="53" spans="2:9" ht="15.75" customHeight="1">
      <c r="B53" s="458">
        <v>16000</v>
      </c>
      <c r="C53" s="54">
        <v>16000</v>
      </c>
      <c r="D53" s="63">
        <f t="shared" si="2"/>
        <v>0</v>
      </c>
      <c r="G53" s="70"/>
      <c r="H53" s="463"/>
    </row>
    <row r="54" spans="2:9" ht="15.75" customHeight="1">
      <c r="B54" s="459">
        <v>24000</v>
      </c>
      <c r="C54" s="55">
        <v>24000</v>
      </c>
      <c r="D54" s="63">
        <f t="shared" si="2"/>
        <v>0</v>
      </c>
      <c r="G54" s="70"/>
      <c r="H54" s="463"/>
    </row>
    <row r="55" spans="2:9" ht="15.75" customHeight="1">
      <c r="B55" s="459">
        <v>24000</v>
      </c>
      <c r="C55" s="55">
        <v>24000</v>
      </c>
      <c r="D55" s="63">
        <f t="shared" si="2"/>
        <v>0</v>
      </c>
      <c r="G55" s="70"/>
      <c r="H55" s="463"/>
    </row>
    <row r="56" spans="2:9" ht="15.75" customHeight="1">
      <c r="B56" s="459">
        <v>25000</v>
      </c>
      <c r="C56" s="55">
        <v>25000</v>
      </c>
      <c r="D56" s="63">
        <f t="shared" si="2"/>
        <v>0</v>
      </c>
      <c r="G56" s="70"/>
      <c r="H56" s="463"/>
    </row>
    <row r="57" spans="2:9" ht="15.75" customHeight="1">
      <c r="C57" s="54">
        <v>23000</v>
      </c>
      <c r="D57" s="63">
        <f t="shared" si="2"/>
        <v>-23000</v>
      </c>
      <c r="G57" s="70"/>
      <c r="H57" s="463"/>
    </row>
    <row r="58" spans="2:9" ht="15.75" customHeight="1">
      <c r="B58" s="458">
        <v>25000</v>
      </c>
      <c r="C58" s="54">
        <v>25000</v>
      </c>
      <c r="D58" s="63">
        <f t="shared" si="2"/>
        <v>0</v>
      </c>
      <c r="G58" s="70"/>
      <c r="H58" s="463"/>
    </row>
    <row r="59" spans="2:9" ht="15.75" customHeight="1">
      <c r="B59" s="458">
        <v>25000</v>
      </c>
      <c r="C59" s="54">
        <v>25000</v>
      </c>
      <c r="D59" s="63">
        <f t="shared" si="2"/>
        <v>0</v>
      </c>
      <c r="G59" s="70"/>
      <c r="H59" s="463"/>
    </row>
    <row r="60" spans="2:9" ht="15.75" customHeight="1">
      <c r="B60" s="459">
        <v>25000</v>
      </c>
      <c r="C60" s="55">
        <v>25000</v>
      </c>
      <c r="D60" s="63">
        <f t="shared" si="2"/>
        <v>0</v>
      </c>
      <c r="G60" s="70"/>
      <c r="H60" s="463"/>
    </row>
    <row r="61" spans="2:9" ht="15.75" customHeight="1">
      <c r="B61" s="459">
        <v>70000</v>
      </c>
      <c r="C61" s="55">
        <v>70000</v>
      </c>
      <c r="D61" s="63">
        <f t="shared" si="2"/>
        <v>0</v>
      </c>
      <c r="G61" s="70"/>
      <c r="H61" s="463"/>
    </row>
    <row r="62" spans="2:9" ht="15.75" customHeight="1">
      <c r="B62" s="459">
        <v>17000</v>
      </c>
      <c r="C62" s="55">
        <v>17000</v>
      </c>
      <c r="D62" s="63">
        <f t="shared" si="2"/>
        <v>0</v>
      </c>
      <c r="G62" s="70"/>
      <c r="H62" s="463"/>
    </row>
    <row r="63" spans="2:9" ht="15.75" customHeight="1">
      <c r="B63" s="459">
        <v>13000</v>
      </c>
      <c r="C63" s="55">
        <v>13000</v>
      </c>
      <c r="D63" s="63">
        <f t="shared" si="2"/>
        <v>0</v>
      </c>
      <c r="G63" s="70"/>
      <c r="H63" s="463"/>
    </row>
    <row r="64" spans="2:9" ht="15.75" customHeight="1">
      <c r="B64" s="459">
        <v>16000</v>
      </c>
      <c r="C64" s="55">
        <v>16000</v>
      </c>
      <c r="D64" s="63">
        <f t="shared" si="2"/>
        <v>0</v>
      </c>
      <c r="G64" s="70"/>
      <c r="H64" s="463"/>
    </row>
    <row r="65" spans="2:8" ht="15.75" customHeight="1">
      <c r="B65" s="459">
        <v>27000</v>
      </c>
      <c r="C65" s="55">
        <v>27000</v>
      </c>
      <c r="D65" s="63">
        <f t="shared" si="2"/>
        <v>0</v>
      </c>
      <c r="G65" s="70"/>
      <c r="H65" s="463"/>
    </row>
    <row r="66" spans="2:8" ht="15.75" customHeight="1">
      <c r="B66" s="459">
        <v>15000</v>
      </c>
      <c r="C66" s="55">
        <v>15000</v>
      </c>
      <c r="D66" s="63">
        <f t="shared" si="2"/>
        <v>0</v>
      </c>
      <c r="G66" s="70"/>
      <c r="H66" s="463"/>
    </row>
    <row r="67" spans="2:8" ht="15.75" customHeight="1">
      <c r="B67" s="459">
        <v>25000</v>
      </c>
      <c r="C67" s="55">
        <v>25000</v>
      </c>
      <c r="D67" s="63">
        <f t="shared" si="2"/>
        <v>0</v>
      </c>
      <c r="G67" s="70"/>
      <c r="H67" s="463"/>
    </row>
    <row r="68" spans="2:8" ht="15.75" customHeight="1">
      <c r="B68" s="459">
        <v>60000</v>
      </c>
      <c r="C68" s="55">
        <v>60000</v>
      </c>
      <c r="D68" s="63">
        <f t="shared" si="2"/>
        <v>0</v>
      </c>
      <c r="G68" s="70"/>
      <c r="H68" s="463"/>
    </row>
    <row r="69" spans="2:8" ht="15.75" customHeight="1">
      <c r="B69" s="459">
        <v>30000</v>
      </c>
      <c r="C69" s="55">
        <v>30000</v>
      </c>
      <c r="D69" s="63">
        <f t="shared" si="2"/>
        <v>0</v>
      </c>
      <c r="G69" s="70"/>
      <c r="H69" s="463"/>
    </row>
    <row r="70" spans="2:8" ht="15.75" customHeight="1">
      <c r="B70" s="459">
        <f>20000</f>
        <v>20000</v>
      </c>
      <c r="C70" s="55">
        <f>20000</f>
        <v>20000</v>
      </c>
      <c r="D70" s="63">
        <f t="shared" si="2"/>
        <v>0</v>
      </c>
      <c r="G70" s="70"/>
      <c r="H70" s="463"/>
    </row>
    <row r="71" spans="2:8" ht="15.75" customHeight="1">
      <c r="B71" s="459">
        <v>45000</v>
      </c>
      <c r="C71" s="55">
        <v>45000</v>
      </c>
      <c r="D71" s="63">
        <f t="shared" si="2"/>
        <v>0</v>
      </c>
      <c r="G71" s="70"/>
      <c r="H71" s="463"/>
    </row>
    <row r="72" spans="2:8" ht="15.75" customHeight="1">
      <c r="B72" s="459">
        <v>22000</v>
      </c>
      <c r="C72" s="55">
        <v>22000</v>
      </c>
      <c r="D72" s="63">
        <f t="shared" si="2"/>
        <v>0</v>
      </c>
      <c r="G72" s="70"/>
      <c r="H72" s="463"/>
    </row>
    <row r="73" spans="2:8" ht="15.75" customHeight="1">
      <c r="B73" s="459">
        <v>34000</v>
      </c>
      <c r="C73" s="55">
        <v>34000</v>
      </c>
      <c r="D73" s="63">
        <f t="shared" si="2"/>
        <v>0</v>
      </c>
      <c r="G73" s="70"/>
      <c r="H73" s="463"/>
    </row>
    <row r="74" spans="2:8" ht="15.75" customHeight="1">
      <c r="B74" s="458">
        <v>40000</v>
      </c>
      <c r="C74" s="54">
        <v>40000</v>
      </c>
      <c r="D74" s="63">
        <f t="shared" si="2"/>
        <v>0</v>
      </c>
      <c r="G74" s="70"/>
      <c r="H74" s="463"/>
    </row>
    <row r="75" spans="2:8" ht="15.75" customHeight="1">
      <c r="B75" s="458">
        <v>50000</v>
      </c>
      <c r="C75" s="54">
        <v>50000</v>
      </c>
      <c r="D75" s="63">
        <f t="shared" si="2"/>
        <v>0</v>
      </c>
      <c r="G75" s="70"/>
      <c r="H75" s="463"/>
    </row>
    <row r="76" spans="2:8" ht="15.75" customHeight="1">
      <c r="B76" s="458">
        <v>15000</v>
      </c>
      <c r="C76" s="54">
        <v>15000</v>
      </c>
      <c r="D76" s="63">
        <f t="shared" si="2"/>
        <v>0</v>
      </c>
      <c r="G76" s="70"/>
      <c r="H76" s="463"/>
    </row>
    <row r="77" spans="2:8" ht="15.75" customHeight="1">
      <c r="B77" s="458">
        <v>18000</v>
      </c>
      <c r="C77" s="54">
        <v>18000</v>
      </c>
      <c r="D77" s="63">
        <f t="shared" si="2"/>
        <v>0</v>
      </c>
      <c r="G77" s="70"/>
      <c r="H77" s="463"/>
    </row>
    <row r="78" spans="2:8" ht="15.75" customHeight="1">
      <c r="B78" s="458">
        <v>30000</v>
      </c>
      <c r="C78" s="56">
        <f t="shared" ref="C78" si="4">SUM(C5:C77)</f>
        <v>2252100</v>
      </c>
      <c r="D78" s="63">
        <f t="shared" si="2"/>
        <v>-2222100</v>
      </c>
      <c r="G78" s="70"/>
      <c r="H78" s="463"/>
    </row>
    <row r="79" spans="2:8" ht="15.75" customHeight="1" thickBot="1">
      <c r="B79" s="458">
        <v>23000</v>
      </c>
      <c r="C79" s="462"/>
      <c r="D79" s="63">
        <f t="shared" si="2"/>
        <v>23000</v>
      </c>
      <c r="G79" s="70"/>
      <c r="H79" s="463"/>
    </row>
    <row r="80" spans="2:8" ht="15.75" customHeight="1">
      <c r="B80" s="458">
        <v>22000</v>
      </c>
      <c r="C80" s="463"/>
      <c r="D80" s="63">
        <f t="shared" si="2"/>
        <v>22000</v>
      </c>
      <c r="G80" s="70"/>
      <c r="H80" s="463"/>
    </row>
    <row r="81" spans="2:8" ht="15.75" customHeight="1">
      <c r="B81" s="460">
        <f>SUM(B5:B80)</f>
        <v>2206100</v>
      </c>
      <c r="C81" s="463"/>
      <c r="D81" s="63">
        <f>+B82-C81</f>
        <v>0</v>
      </c>
      <c r="G81" s="70"/>
      <c r="H81" s="463"/>
    </row>
    <row r="82" spans="2:8" ht="15.75" customHeight="1">
      <c r="B82" s="461"/>
      <c r="C82" s="463"/>
      <c r="G82" s="70"/>
      <c r="H82" s="463"/>
    </row>
    <row r="83" spans="2:8" ht="15.75" customHeight="1">
      <c r="B83" s="59"/>
      <c r="C83" s="463"/>
      <c r="G83" s="70"/>
      <c r="H83" s="463"/>
    </row>
    <row r="84" spans="2:8" ht="15.75" customHeight="1">
      <c r="B84" s="59"/>
      <c r="C84" s="463"/>
      <c r="G84" s="70"/>
      <c r="H84" s="463"/>
    </row>
    <row r="85" spans="2:8" ht="15.75" customHeight="1">
      <c r="B85" s="59"/>
      <c r="C85" s="463"/>
      <c r="G85" s="70"/>
      <c r="H85" s="463"/>
    </row>
    <row r="86" spans="2:8" ht="15.75" customHeight="1">
      <c r="B86" s="59"/>
      <c r="C86" s="463"/>
      <c r="G86" s="70"/>
      <c r="H86" s="463"/>
    </row>
    <row r="87" spans="2:8" ht="15.75" customHeight="1">
      <c r="B87" s="59"/>
      <c r="C87" s="463"/>
      <c r="G87" s="70"/>
      <c r="H87" s="463"/>
    </row>
    <row r="88" spans="2:8" ht="15.75" customHeight="1">
      <c r="B88" s="59"/>
      <c r="C88" s="463"/>
      <c r="G88" s="70"/>
      <c r="H88" s="463"/>
    </row>
    <row r="89" spans="2:8" ht="15.75" customHeight="1">
      <c r="B89" s="59"/>
      <c r="C89" s="463"/>
      <c r="G89" s="70"/>
      <c r="H89" s="463"/>
    </row>
    <row r="90" spans="2:8" ht="15.75" customHeight="1">
      <c r="B90" s="59"/>
      <c r="C90" s="463"/>
      <c r="G90" s="70"/>
      <c r="H90" s="463"/>
    </row>
    <row r="91" spans="2:8" ht="15.75" customHeight="1">
      <c r="B91" s="59"/>
      <c r="C91" s="463"/>
      <c r="G91" s="70"/>
      <c r="H91" s="463"/>
    </row>
    <row r="92" spans="2:8" ht="15.75" customHeight="1">
      <c r="B92" s="59"/>
      <c r="C92" s="463"/>
      <c r="G92" s="70"/>
      <c r="H92" s="463"/>
    </row>
    <row r="93" spans="2:8" ht="15.75" customHeight="1">
      <c r="B93" s="59"/>
      <c r="C93" s="463"/>
      <c r="G93" s="70"/>
      <c r="H93" s="463"/>
    </row>
    <row r="94" spans="2:8" ht="15.75" customHeight="1">
      <c r="B94" s="59"/>
      <c r="C94" s="463"/>
      <c r="G94" s="70"/>
      <c r="H94" s="463"/>
    </row>
    <row r="95" spans="2:8" ht="15.75" customHeight="1">
      <c r="B95" s="59"/>
      <c r="C95" s="463"/>
      <c r="G95" s="70"/>
      <c r="H95" s="463"/>
    </row>
    <row r="96" spans="2:8" ht="15.75" customHeight="1">
      <c r="B96" s="59"/>
      <c r="C96" s="463"/>
      <c r="G96" s="70"/>
      <c r="H96" s="463"/>
    </row>
    <row r="97" spans="2:8" ht="15.75" customHeight="1">
      <c r="B97" s="59"/>
      <c r="C97" s="463"/>
      <c r="G97" s="70"/>
      <c r="H97" s="463"/>
    </row>
    <row r="98" spans="2:8" ht="15.75" customHeight="1">
      <c r="B98" s="59"/>
      <c r="C98" s="463"/>
      <c r="G98" s="70"/>
      <c r="H98" s="463"/>
    </row>
    <row r="99" spans="2:8" ht="15.75" customHeight="1">
      <c r="B99" s="59"/>
      <c r="C99" s="463"/>
      <c r="G99" s="70"/>
      <c r="H99" s="463"/>
    </row>
    <row r="100" spans="2:8" ht="15.75" customHeight="1">
      <c r="C100" s="463"/>
      <c r="G100" s="70"/>
      <c r="H100" s="463"/>
    </row>
    <row r="101" spans="2:8" ht="15" customHeight="1">
      <c r="G101" s="70"/>
      <c r="H101" s="463"/>
    </row>
    <row r="102" spans="2:8" ht="15" customHeight="1">
      <c r="G102" s="70"/>
      <c r="H102" s="463"/>
    </row>
    <row r="103" spans="2:8" ht="15" customHeight="1">
      <c r="G103" s="70"/>
      <c r="H103" s="463"/>
    </row>
    <row r="104" spans="2:8" ht="15" customHeight="1">
      <c r="G104" s="70"/>
      <c r="H104" s="463"/>
    </row>
    <row r="105" spans="2:8" ht="15" customHeight="1">
      <c r="G105" s="70"/>
      <c r="H105" s="463"/>
    </row>
    <row r="106" spans="2:8" ht="15" customHeight="1">
      <c r="G106" s="70"/>
      <c r="H106" s="463"/>
    </row>
    <row r="107" spans="2:8" ht="15" customHeight="1">
      <c r="G107" s="70"/>
      <c r="H107" s="463"/>
    </row>
    <row r="108" spans="2:8" ht="15" customHeight="1">
      <c r="G108" s="70"/>
      <c r="H108" s="463"/>
    </row>
    <row r="109" spans="2:8" ht="15" customHeight="1">
      <c r="G109" s="70"/>
      <c r="H109" s="463"/>
    </row>
    <row r="110" spans="2:8" ht="15" customHeight="1">
      <c r="G110" s="70"/>
      <c r="H110" s="463"/>
    </row>
    <row r="111" spans="2:8" ht="15" customHeight="1">
      <c r="G111" s="70"/>
      <c r="H111" s="463"/>
    </row>
    <row r="112" spans="2:8" ht="15" customHeight="1">
      <c r="G112" s="70"/>
      <c r="H112" s="463"/>
    </row>
    <row r="113" spans="7:8" ht="15" customHeight="1">
      <c r="G113" s="70"/>
      <c r="H113" s="463"/>
    </row>
    <row r="114" spans="7:8" ht="15" customHeight="1">
      <c r="G114" s="70"/>
      <c r="H114" s="463"/>
    </row>
    <row r="115" spans="7:8" ht="15" customHeight="1">
      <c r="G115" s="70"/>
      <c r="H115" s="463"/>
    </row>
    <row r="116" spans="7:8" ht="15" customHeight="1">
      <c r="G116" s="70"/>
      <c r="H116" s="463"/>
    </row>
    <row r="117" spans="7:8" ht="15" customHeight="1">
      <c r="G117" s="70"/>
      <c r="H117" s="463"/>
    </row>
    <row r="118" spans="7:8" ht="15" customHeight="1">
      <c r="G118" s="70"/>
      <c r="H118" s="463"/>
    </row>
    <row r="119" spans="7:8" ht="15" customHeight="1">
      <c r="G119" s="70"/>
      <c r="H119" s="463"/>
    </row>
    <row r="120" spans="7:8" ht="15" customHeight="1">
      <c r="G120" s="70"/>
      <c r="H120" s="463"/>
    </row>
    <row r="121" spans="7:8" ht="15" customHeight="1">
      <c r="G121" s="70"/>
      <c r="H121" s="463"/>
    </row>
    <row r="122" spans="7:8" ht="15" customHeight="1">
      <c r="G122" s="70"/>
      <c r="H122" s="463"/>
    </row>
    <row r="123" spans="7:8" ht="15" customHeight="1">
      <c r="G123" s="70"/>
      <c r="H123" s="463"/>
    </row>
    <row r="124" spans="7:8" ht="15" customHeight="1">
      <c r="G124" s="70"/>
      <c r="H124" s="463"/>
    </row>
    <row r="125" spans="7:8" ht="15" customHeight="1">
      <c r="G125" s="70"/>
      <c r="H125" s="463"/>
    </row>
    <row r="126" spans="7:8" ht="15" customHeight="1">
      <c r="G126" s="70"/>
      <c r="H126" s="463"/>
    </row>
    <row r="127" spans="7:8" ht="15" customHeight="1">
      <c r="G127" s="70"/>
      <c r="H127" s="463"/>
    </row>
    <row r="128" spans="7:8" ht="15" customHeight="1">
      <c r="G128" s="70"/>
      <c r="H128" s="463"/>
    </row>
    <row r="129" spans="7:8" ht="15" customHeight="1">
      <c r="G129" s="70"/>
      <c r="H129" s="463"/>
    </row>
    <row r="130" spans="7:8" ht="15" customHeight="1">
      <c r="G130" s="70"/>
      <c r="H130" s="463"/>
    </row>
    <row r="131" spans="7:8" ht="15" customHeight="1">
      <c r="G131" s="70"/>
      <c r="H131" s="463"/>
    </row>
    <row r="132" spans="7:8" ht="15" customHeight="1">
      <c r="G132" s="70"/>
      <c r="H132" s="463"/>
    </row>
    <row r="133" spans="7:8" ht="15" customHeight="1">
      <c r="G133" s="70"/>
      <c r="H133" s="463"/>
    </row>
    <row r="134" spans="7:8" ht="15" customHeight="1">
      <c r="G134" s="70"/>
      <c r="H134" s="463"/>
    </row>
    <row r="135" spans="7:8" ht="15" customHeight="1">
      <c r="G135" s="70"/>
      <c r="H135" s="463"/>
    </row>
    <row r="136" spans="7:8" ht="15" customHeight="1">
      <c r="G136" s="70"/>
      <c r="H136" s="463"/>
    </row>
    <row r="137" spans="7:8" ht="15" customHeight="1">
      <c r="G137" s="70"/>
      <c r="H137" s="463"/>
    </row>
    <row r="138" spans="7:8" ht="15" customHeight="1">
      <c r="G138" s="70"/>
      <c r="H138" s="463"/>
    </row>
    <row r="139" spans="7:8" ht="15" customHeight="1">
      <c r="G139" s="70"/>
      <c r="H139" s="463"/>
    </row>
    <row r="140" spans="7:8" ht="15" customHeight="1">
      <c r="G140" s="70"/>
      <c r="H140" s="463"/>
    </row>
    <row r="141" spans="7:8" ht="15" customHeight="1">
      <c r="G141" s="70"/>
      <c r="H141" s="463"/>
    </row>
    <row r="142" spans="7:8" ht="15" customHeight="1">
      <c r="G142" s="70"/>
      <c r="H142" s="463"/>
    </row>
    <row r="143" spans="7:8" ht="15" customHeight="1">
      <c r="G143" s="70"/>
      <c r="H143" s="463"/>
    </row>
    <row r="144" spans="7:8" ht="15" customHeight="1">
      <c r="G144" s="70"/>
      <c r="H144" s="463"/>
    </row>
    <row r="145" spans="7:8" ht="15" customHeight="1">
      <c r="G145" s="70"/>
      <c r="H145" s="463"/>
    </row>
    <row r="146" spans="7:8" ht="15" customHeight="1">
      <c r="G146" s="70"/>
      <c r="H146" s="463"/>
    </row>
    <row r="147" spans="7:8" ht="15" customHeight="1">
      <c r="G147" s="70"/>
      <c r="H147" s="463"/>
    </row>
    <row r="148" spans="7:8" ht="15" customHeight="1">
      <c r="G148" s="70"/>
      <c r="H148" s="463"/>
    </row>
    <row r="149" spans="7:8" ht="15" customHeight="1">
      <c r="G149" s="70"/>
      <c r="H149" s="463"/>
    </row>
    <row r="150" spans="7:8" ht="15" customHeight="1">
      <c r="G150" s="70"/>
      <c r="H150" s="463"/>
    </row>
    <row r="151" spans="7:8" ht="15" customHeight="1">
      <c r="G151" s="70"/>
      <c r="H151" s="463"/>
    </row>
    <row r="152" spans="7:8" ht="15" customHeight="1">
      <c r="G152" s="70"/>
      <c r="H152" s="463"/>
    </row>
    <row r="153" spans="7:8" ht="15" customHeight="1">
      <c r="G153" s="70"/>
      <c r="H153" s="463"/>
    </row>
    <row r="154" spans="7:8" ht="15" customHeight="1">
      <c r="G154" s="70"/>
      <c r="H154" s="463"/>
    </row>
    <row r="155" spans="7:8" ht="15" customHeight="1">
      <c r="G155" s="70"/>
      <c r="H155" s="463"/>
    </row>
    <row r="156" spans="7:8" ht="15" customHeight="1">
      <c r="G156" s="70"/>
      <c r="H156" s="463"/>
    </row>
    <row r="157" spans="7:8" ht="15" customHeight="1">
      <c r="G157" s="70"/>
      <c r="H157" s="463"/>
    </row>
    <row r="158" spans="7:8" ht="15" customHeight="1">
      <c r="G158" s="70"/>
      <c r="H158" s="463"/>
    </row>
    <row r="159" spans="7:8" ht="15" customHeight="1">
      <c r="G159" s="70"/>
      <c r="H159" s="463"/>
    </row>
    <row r="160" spans="7:8" ht="15" customHeight="1">
      <c r="G160" s="70"/>
      <c r="H160" s="463"/>
    </row>
    <row r="161" spans="7:8" ht="15" customHeight="1">
      <c r="G161" s="70"/>
      <c r="H161" s="463"/>
    </row>
    <row r="162" spans="7:8" ht="15" customHeight="1">
      <c r="G162" s="70"/>
      <c r="H162" s="463"/>
    </row>
    <row r="163" spans="7:8" ht="15" customHeight="1">
      <c r="G163" s="70"/>
      <c r="H163" s="463"/>
    </row>
    <row r="164" spans="7:8" ht="15" customHeight="1">
      <c r="G164" s="70"/>
      <c r="H164" s="463"/>
    </row>
    <row r="165" spans="7:8" ht="15" customHeight="1">
      <c r="G165" s="70"/>
      <c r="H165" s="463"/>
    </row>
    <row r="166" spans="7:8" ht="15" customHeight="1">
      <c r="G166" s="70"/>
      <c r="H166" s="463"/>
    </row>
    <row r="167" spans="7:8" ht="15" customHeight="1">
      <c r="G167" s="70"/>
      <c r="H167" s="463"/>
    </row>
    <row r="168" spans="7:8" ht="15" customHeight="1">
      <c r="G168" s="70"/>
      <c r="H168" s="463"/>
    </row>
    <row r="169" spans="7:8" ht="15" customHeight="1">
      <c r="G169" s="70"/>
      <c r="H169" s="463"/>
    </row>
    <row r="170" spans="7:8" ht="15" customHeight="1">
      <c r="G170" s="70"/>
      <c r="H170" s="463"/>
    </row>
    <row r="171" spans="7:8" ht="15" customHeight="1">
      <c r="G171" s="70"/>
      <c r="H171" s="463"/>
    </row>
    <row r="172" spans="7:8" ht="15" customHeight="1">
      <c r="G172" s="70"/>
      <c r="H172" s="463"/>
    </row>
    <row r="173" spans="7:8" ht="15" customHeight="1">
      <c r="G173" s="70"/>
      <c r="H173" s="463"/>
    </row>
    <row r="174" spans="7:8" ht="15" customHeight="1">
      <c r="G174" s="70"/>
      <c r="H174" s="463"/>
    </row>
    <row r="175" spans="7:8" ht="15" customHeight="1">
      <c r="G175" s="70"/>
      <c r="H175" s="463"/>
    </row>
    <row r="176" spans="7:8" ht="15" customHeight="1">
      <c r="G176" s="70"/>
      <c r="H176" s="463"/>
    </row>
    <row r="177" spans="7:8" ht="15" customHeight="1">
      <c r="G177" s="70"/>
      <c r="H177" s="463"/>
    </row>
    <row r="178" spans="7:8" ht="15" customHeight="1">
      <c r="G178" s="70"/>
      <c r="H178" s="463"/>
    </row>
    <row r="179" spans="7:8" ht="15" customHeight="1">
      <c r="G179" s="70"/>
      <c r="H179" s="463"/>
    </row>
    <row r="180" spans="7:8" ht="15" customHeight="1">
      <c r="G180" s="70"/>
      <c r="H180" s="463"/>
    </row>
    <row r="181" spans="7:8" ht="15" customHeight="1">
      <c r="G181" s="70"/>
      <c r="H181" s="463"/>
    </row>
    <row r="182" spans="7:8" ht="15" customHeight="1">
      <c r="G182" s="70"/>
      <c r="H182" s="463"/>
    </row>
    <row r="183" spans="7:8" ht="15" customHeight="1">
      <c r="G183" s="70"/>
      <c r="H183" s="463"/>
    </row>
    <row r="184" spans="7:8" ht="15" customHeight="1">
      <c r="G184" s="70"/>
      <c r="H184" s="463"/>
    </row>
    <row r="185" spans="7:8" ht="15" customHeight="1">
      <c r="G185" s="70"/>
      <c r="H185" s="463"/>
    </row>
    <row r="186" spans="7:8" ht="15" customHeight="1">
      <c r="G186" s="70"/>
      <c r="H186" s="463"/>
    </row>
    <row r="187" spans="7:8" ht="15" customHeight="1">
      <c r="G187" s="70"/>
      <c r="H187" s="463"/>
    </row>
    <row r="188" spans="7:8" ht="15" customHeight="1">
      <c r="G188" s="70"/>
      <c r="H188" s="463"/>
    </row>
    <row r="189" spans="7:8" ht="15" customHeight="1">
      <c r="G189" s="70"/>
      <c r="H189" s="463"/>
    </row>
    <row r="190" spans="7:8" ht="15" customHeight="1">
      <c r="G190" s="70"/>
      <c r="H190" s="463"/>
    </row>
    <row r="191" spans="7:8" ht="15" customHeight="1">
      <c r="G191" s="70"/>
      <c r="H191" s="463"/>
    </row>
    <row r="192" spans="7:8" ht="15" customHeight="1">
      <c r="G192" s="70"/>
      <c r="H192" s="463"/>
    </row>
    <row r="193" spans="7:8" ht="15" customHeight="1">
      <c r="G193" s="70"/>
      <c r="H193" s="463"/>
    </row>
    <row r="194" spans="7:8" ht="15" customHeight="1">
      <c r="G194" s="70"/>
      <c r="H194" s="463"/>
    </row>
    <row r="195" spans="7:8" ht="15" customHeight="1">
      <c r="G195" s="70"/>
      <c r="H195" s="463"/>
    </row>
    <row r="196" spans="7:8" ht="15" customHeight="1">
      <c r="G196" s="70"/>
      <c r="H196" s="463"/>
    </row>
    <row r="197" spans="7:8" ht="15" customHeight="1">
      <c r="G197" s="70"/>
      <c r="H197" s="463"/>
    </row>
    <row r="198" spans="7:8" ht="15" customHeight="1">
      <c r="G198" s="70"/>
      <c r="H198" s="463"/>
    </row>
    <row r="199" spans="7:8" ht="15" customHeight="1">
      <c r="G199" s="70"/>
      <c r="H199" s="463"/>
    </row>
    <row r="200" spans="7:8" ht="15" customHeight="1">
      <c r="G200" s="70"/>
      <c r="H200" s="463"/>
    </row>
    <row r="201" spans="7:8" ht="15" customHeight="1">
      <c r="G201" s="70"/>
      <c r="H201" s="463"/>
    </row>
    <row r="202" spans="7:8" ht="15" customHeight="1">
      <c r="G202" s="70"/>
      <c r="H202" s="463"/>
    </row>
    <row r="203" spans="7:8" ht="15" customHeight="1">
      <c r="G203" s="70"/>
      <c r="H203" s="463"/>
    </row>
    <row r="204" spans="7:8" ht="15" customHeight="1">
      <c r="G204" s="70"/>
      <c r="H204" s="463"/>
    </row>
    <row r="205" spans="7:8" ht="15" customHeight="1">
      <c r="G205" s="70"/>
      <c r="H205" s="463"/>
    </row>
    <row r="206" spans="7:8" ht="15" customHeight="1">
      <c r="G206" s="70"/>
      <c r="H206" s="463"/>
    </row>
    <row r="207" spans="7:8" ht="15" customHeight="1">
      <c r="G207" s="70"/>
      <c r="H207" s="463"/>
    </row>
    <row r="208" spans="7:8" ht="15" customHeight="1">
      <c r="G208" s="70"/>
      <c r="H208" s="463"/>
    </row>
    <row r="209" spans="7:8" ht="15" customHeight="1">
      <c r="G209" s="70"/>
      <c r="H209" s="463"/>
    </row>
    <row r="210" spans="7:8" ht="15" customHeight="1">
      <c r="G210" s="70"/>
      <c r="H210" s="463"/>
    </row>
    <row r="211" spans="7:8" ht="15" customHeight="1">
      <c r="G211" s="70"/>
      <c r="H211" s="463"/>
    </row>
    <row r="212" spans="7:8" ht="15" customHeight="1">
      <c r="G212" s="70"/>
      <c r="H212" s="463"/>
    </row>
    <row r="213" spans="7:8" ht="15" customHeight="1">
      <c r="G213" s="70"/>
      <c r="H213" s="463"/>
    </row>
    <row r="214" spans="7:8" ht="15" customHeight="1">
      <c r="G214" s="70"/>
      <c r="H214" s="463"/>
    </row>
    <row r="215" spans="7:8" ht="15" customHeight="1">
      <c r="G215" s="70"/>
      <c r="H215" s="463"/>
    </row>
    <row r="216" spans="7:8" ht="15" customHeight="1">
      <c r="G216" s="70"/>
      <c r="H216" s="463"/>
    </row>
    <row r="217" spans="7:8" ht="15" customHeight="1">
      <c r="G217" s="70"/>
      <c r="H217" s="463"/>
    </row>
    <row r="218" spans="7:8" ht="15" customHeight="1">
      <c r="G218" s="70"/>
      <c r="H218" s="463"/>
    </row>
    <row r="219" spans="7:8" ht="15" customHeight="1">
      <c r="G219" s="70"/>
      <c r="H219" s="463"/>
    </row>
    <row r="220" spans="7:8" ht="15" customHeight="1">
      <c r="G220" s="70"/>
      <c r="H220" s="463"/>
    </row>
    <row r="221" spans="7:8" ht="15" customHeight="1">
      <c r="G221" s="70"/>
      <c r="H221" s="463"/>
    </row>
    <row r="222" spans="7:8" ht="15" customHeight="1">
      <c r="G222" s="70"/>
      <c r="H222" s="463"/>
    </row>
    <row r="223" spans="7:8" ht="15" customHeight="1">
      <c r="G223" s="70"/>
      <c r="H223" s="463"/>
    </row>
    <row r="224" spans="7:8" ht="15" customHeight="1">
      <c r="G224" s="70"/>
      <c r="H224" s="463"/>
    </row>
    <row r="225" spans="7:8" ht="15" customHeight="1">
      <c r="G225" s="70"/>
      <c r="H225" s="463"/>
    </row>
    <row r="226" spans="7:8" ht="15" customHeight="1">
      <c r="G226" s="70"/>
      <c r="H226" s="463"/>
    </row>
    <row r="227" spans="7:8" ht="15" customHeight="1">
      <c r="G227" s="70"/>
      <c r="H227" s="463"/>
    </row>
    <row r="228" spans="7:8" ht="15" customHeight="1">
      <c r="G228" s="70"/>
      <c r="H228" s="463"/>
    </row>
    <row r="229" spans="7:8" ht="15" customHeight="1">
      <c r="G229" s="70"/>
      <c r="H229" s="463"/>
    </row>
    <row r="230" spans="7:8" ht="15" customHeight="1">
      <c r="G230" s="70"/>
      <c r="H230" s="463"/>
    </row>
    <row r="231" spans="7:8" ht="15" customHeight="1">
      <c r="G231" s="70"/>
      <c r="H231" s="463"/>
    </row>
    <row r="232" spans="7:8" ht="15" customHeight="1">
      <c r="G232" s="70"/>
      <c r="H232" s="463"/>
    </row>
    <row r="233" spans="7:8" ht="15" customHeight="1">
      <c r="G233" s="70"/>
      <c r="H233" s="463"/>
    </row>
    <row r="234" spans="7:8" ht="15" customHeight="1">
      <c r="G234" s="70"/>
      <c r="H234" s="463"/>
    </row>
    <row r="235" spans="7:8" ht="15" customHeight="1">
      <c r="G235" s="70"/>
      <c r="H235" s="463"/>
    </row>
    <row r="236" spans="7:8" ht="15" customHeight="1">
      <c r="G236" s="70"/>
      <c r="H236" s="463"/>
    </row>
    <row r="237" spans="7:8" ht="15" customHeight="1">
      <c r="G237" s="70"/>
      <c r="H237" s="463"/>
    </row>
    <row r="238" spans="7:8" ht="15" customHeight="1">
      <c r="G238" s="70"/>
      <c r="H238" s="463"/>
    </row>
    <row r="239" spans="7:8" ht="15" customHeight="1">
      <c r="H239" s="463"/>
    </row>
  </sheetData>
  <pageMargins left="0.7" right="0.7" top="0.75" bottom="0.75" header="0" footer="0"/>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85623"/>
    <pageSetUpPr fitToPage="1"/>
  </sheetPr>
  <dimension ref="B2:F100"/>
  <sheetViews>
    <sheetView workbookViewId="0">
      <selection activeCell="B2" sqref="B2:C14"/>
    </sheetView>
  </sheetViews>
  <sheetFormatPr defaultColWidth="16.81640625" defaultRowHeight="15" customHeight="1"/>
  <cols>
    <col min="1" max="1" width="13.26953125" customWidth="1"/>
    <col min="2" max="2" width="7" customWidth="1"/>
    <col min="3" max="3" width="43" customWidth="1"/>
    <col min="4" max="4" width="34.26953125" customWidth="1"/>
    <col min="5" max="5" width="3.7265625" customWidth="1"/>
    <col min="6" max="6" width="46.81640625" customWidth="1"/>
    <col min="7" max="11" width="13.26953125" customWidth="1"/>
  </cols>
  <sheetData>
    <row r="2" spans="2:6" ht="17.5">
      <c r="B2" s="854" t="s">
        <v>489</v>
      </c>
      <c r="C2" s="635"/>
      <c r="E2" s="261">
        <v>1</v>
      </c>
      <c r="F2" s="262" t="s">
        <v>490</v>
      </c>
    </row>
    <row r="3" spans="2:6" ht="17.5">
      <c r="B3" s="263" t="s">
        <v>39</v>
      </c>
      <c r="C3" s="264" t="s">
        <v>491</v>
      </c>
      <c r="E3" s="261">
        <v>2</v>
      </c>
      <c r="F3" s="265" t="s">
        <v>492</v>
      </c>
    </row>
    <row r="4" spans="2:6" ht="18">
      <c r="B4" s="266">
        <v>1</v>
      </c>
      <c r="C4" s="267" t="s">
        <v>490</v>
      </c>
      <c r="D4" s="268" t="s">
        <v>493</v>
      </c>
      <c r="E4" s="261">
        <v>3</v>
      </c>
      <c r="F4" s="262" t="s">
        <v>494</v>
      </c>
    </row>
    <row r="5" spans="2:6" ht="18">
      <c r="B5" s="266">
        <v>2</v>
      </c>
      <c r="C5" s="267" t="s">
        <v>492</v>
      </c>
      <c r="D5" s="268" t="s">
        <v>495</v>
      </c>
      <c r="E5" s="261">
        <v>4</v>
      </c>
      <c r="F5" s="262" t="s">
        <v>496</v>
      </c>
    </row>
    <row r="6" spans="2:6" ht="18">
      <c r="B6" s="266">
        <v>3</v>
      </c>
      <c r="C6" s="267" t="s">
        <v>497</v>
      </c>
      <c r="D6" s="148" t="s">
        <v>498</v>
      </c>
      <c r="E6" s="261">
        <v>5</v>
      </c>
      <c r="F6" s="262" t="s">
        <v>499</v>
      </c>
    </row>
    <row r="7" spans="2:6" ht="18">
      <c r="B7" s="266">
        <v>4</v>
      </c>
      <c r="C7" s="267" t="s">
        <v>500</v>
      </c>
      <c r="D7" s="148" t="s">
        <v>501</v>
      </c>
      <c r="E7" s="261">
        <v>6</v>
      </c>
      <c r="F7" s="262" t="s">
        <v>502</v>
      </c>
    </row>
    <row r="8" spans="2:6" ht="18">
      <c r="B8" s="266">
        <v>5</v>
      </c>
      <c r="C8" s="267" t="s">
        <v>503</v>
      </c>
      <c r="E8" s="261">
        <v>7</v>
      </c>
      <c r="F8" s="265" t="s">
        <v>504</v>
      </c>
    </row>
    <row r="9" spans="2:6" ht="18">
      <c r="B9" s="266">
        <v>6</v>
      </c>
      <c r="C9" s="267" t="s">
        <v>505</v>
      </c>
      <c r="E9" s="261">
        <v>8</v>
      </c>
      <c r="F9" s="265" t="s">
        <v>506</v>
      </c>
    </row>
    <row r="10" spans="2:6" ht="18">
      <c r="B10" s="266">
        <v>7</v>
      </c>
      <c r="C10" s="267" t="s">
        <v>507</v>
      </c>
      <c r="E10" s="261">
        <v>9</v>
      </c>
      <c r="F10" s="265" t="s">
        <v>508</v>
      </c>
    </row>
    <row r="11" spans="2:6" ht="18">
      <c r="B11" s="266">
        <v>8</v>
      </c>
      <c r="C11" s="267" t="s">
        <v>509</v>
      </c>
      <c r="E11" s="261">
        <v>10</v>
      </c>
      <c r="F11" s="265" t="s">
        <v>510</v>
      </c>
    </row>
    <row r="12" spans="2:6" ht="18">
      <c r="B12" s="266">
        <v>9</v>
      </c>
      <c r="C12" s="267" t="s">
        <v>511</v>
      </c>
      <c r="E12" s="261">
        <v>11</v>
      </c>
      <c r="F12" s="265" t="s">
        <v>512</v>
      </c>
    </row>
    <row r="13" spans="2:6" ht="18">
      <c r="B13" s="266">
        <v>10</v>
      </c>
      <c r="C13" s="267" t="s">
        <v>513</v>
      </c>
      <c r="E13" s="261">
        <v>12</v>
      </c>
      <c r="F13" s="262" t="s">
        <v>511</v>
      </c>
    </row>
    <row r="14" spans="2:6" ht="18">
      <c r="B14" s="269">
        <v>11</v>
      </c>
      <c r="C14" s="270" t="s">
        <v>514</v>
      </c>
      <c r="E14" s="261">
        <v>13</v>
      </c>
      <c r="F14" s="262" t="s">
        <v>515</v>
      </c>
    </row>
    <row r="15" spans="2:6" ht="15.5">
      <c r="E15" s="261">
        <v>14</v>
      </c>
      <c r="F15" s="262" t="s">
        <v>516</v>
      </c>
    </row>
    <row r="16" spans="2:6" ht="15.5">
      <c r="E16" s="140"/>
      <c r="F16" s="265" t="s">
        <v>517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spans="3:3" ht="15.75" customHeight="1"/>
    <row r="34" spans="3:3" ht="15.75" customHeight="1"/>
    <row r="35" spans="3:3" ht="15.75" customHeight="1">
      <c r="C35" s="148"/>
    </row>
    <row r="36" spans="3:3" ht="15.75" customHeight="1"/>
    <row r="37" spans="3:3" ht="15.75" customHeight="1"/>
    <row r="38" spans="3:3" ht="15.75" customHeight="1"/>
    <row r="39" spans="3:3" ht="15.75" customHeight="1"/>
    <row r="40" spans="3:3" ht="15.75" customHeight="1"/>
    <row r="41" spans="3:3" ht="15.75" customHeight="1"/>
    <row r="42" spans="3:3" ht="15.75" customHeight="1"/>
    <row r="43" spans="3:3" ht="15.75" customHeight="1"/>
    <row r="44" spans="3:3" ht="15.75" customHeight="1"/>
    <row r="45" spans="3:3" ht="15.75" customHeight="1"/>
    <row r="46" spans="3:3" ht="15.75" customHeight="1"/>
    <row r="47" spans="3:3" ht="15.75" customHeight="1"/>
    <row r="48" spans="3: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B2:C2"/>
  </mergeCells>
  <printOptions horizontalCentered="1"/>
  <pageMargins left="0.7" right="0.7" top="0.75" bottom="0.75" header="0" footer="0"/>
  <pageSetup paperSize="9" scale="5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K100"/>
  <sheetViews>
    <sheetView workbookViewId="0">
      <selection activeCell="D17" sqref="D17"/>
    </sheetView>
  </sheetViews>
  <sheetFormatPr defaultColWidth="16.81640625" defaultRowHeight="15" customHeight="1"/>
  <cols>
    <col min="1" max="2" width="10.7265625" customWidth="1"/>
    <col min="3" max="3" width="24.7265625" customWidth="1"/>
    <col min="4" max="4" width="13.26953125" customWidth="1"/>
    <col min="5" max="5" width="15.26953125" customWidth="1"/>
    <col min="6" max="6" width="13.26953125" customWidth="1"/>
    <col min="7" max="7" width="12.1796875" customWidth="1"/>
    <col min="8" max="8" width="12.81640625" customWidth="1"/>
    <col min="9" max="11" width="10.7265625" customWidth="1"/>
  </cols>
  <sheetData>
    <row r="1" spans="1:11" ht="13.5" customHeight="1">
      <c r="A1" s="271"/>
      <c r="B1" s="856"/>
      <c r="C1" s="776"/>
      <c r="D1" s="777"/>
      <c r="E1" s="271"/>
      <c r="F1" s="271"/>
      <c r="G1" s="272"/>
      <c r="H1" s="271"/>
      <c r="I1" s="271"/>
      <c r="J1" s="271"/>
      <c r="K1" s="271"/>
    </row>
    <row r="2" spans="1:11" ht="13.5" customHeight="1">
      <c r="A2" s="271"/>
      <c r="B2" s="271"/>
      <c r="C2" s="271"/>
      <c r="D2" s="271"/>
      <c r="E2" s="271"/>
      <c r="F2" s="271"/>
      <c r="G2" s="272"/>
      <c r="H2" s="271"/>
      <c r="I2" s="271"/>
      <c r="J2" s="271"/>
      <c r="K2" s="271"/>
    </row>
    <row r="3" spans="1:11" ht="13.5" customHeight="1">
      <c r="A3" s="271"/>
      <c r="B3" s="857" t="s">
        <v>518</v>
      </c>
      <c r="C3" s="637"/>
      <c r="D3" s="637"/>
      <c r="E3" s="637"/>
      <c r="F3" s="628"/>
      <c r="G3" s="272"/>
      <c r="H3" s="271"/>
      <c r="I3" s="271"/>
      <c r="J3" s="271"/>
      <c r="K3" s="271"/>
    </row>
    <row r="4" spans="1:11" ht="13.5" customHeight="1">
      <c r="A4" s="271"/>
      <c r="B4" s="858" t="s">
        <v>557</v>
      </c>
      <c r="C4" s="637"/>
      <c r="D4" s="637"/>
      <c r="E4" s="637"/>
      <c r="F4" s="628"/>
      <c r="G4" s="272"/>
      <c r="H4" s="271"/>
      <c r="I4" s="271"/>
      <c r="J4" s="271"/>
      <c r="K4" s="271"/>
    </row>
    <row r="5" spans="1:11" ht="18.75" customHeight="1">
      <c r="A5" s="273"/>
      <c r="B5" s="274" t="s">
        <v>39</v>
      </c>
      <c r="C5" s="274" t="s">
        <v>519</v>
      </c>
      <c r="D5" s="274" t="s">
        <v>520</v>
      </c>
      <c r="E5" s="274" t="s">
        <v>521</v>
      </c>
      <c r="F5" s="274" t="s">
        <v>522</v>
      </c>
      <c r="G5" s="275"/>
      <c r="H5" s="273"/>
      <c r="I5" s="273"/>
      <c r="J5" s="273"/>
      <c r="K5" s="273"/>
    </row>
    <row r="6" spans="1:11" ht="13.5" customHeight="1">
      <c r="A6" s="271"/>
      <c r="B6" s="276">
        <v>1</v>
      </c>
      <c r="C6" s="276" t="s">
        <v>201</v>
      </c>
      <c r="D6" s="277">
        <f>+Academics!AJ7+'Relieved Academics'!AJ8-10000-13548-2226-2129</f>
        <v>121625</v>
      </c>
      <c r="E6" s="278">
        <f t="shared" ref="E6:E12" si="0">D6</f>
        <v>121625</v>
      </c>
      <c r="F6" s="279">
        <f t="shared" ref="F6:F16" si="1">D6-E6</f>
        <v>0</v>
      </c>
      <c r="G6" s="272"/>
      <c r="H6" s="271"/>
      <c r="I6" s="271"/>
      <c r="J6" s="271"/>
      <c r="K6" s="271"/>
    </row>
    <row r="7" spans="1:11" ht="13.5" customHeight="1">
      <c r="A7" s="271"/>
      <c r="B7" s="276">
        <v>2</v>
      </c>
      <c r="C7" s="276" t="s">
        <v>202</v>
      </c>
      <c r="D7" s="277" t="e">
        <f>+Admin!AJ7+'Relieved Admin'!#REF!-25000-75000-5000</f>
        <v>#REF!</v>
      </c>
      <c r="E7" s="278" t="e">
        <f t="shared" si="0"/>
        <v>#REF!</v>
      </c>
      <c r="F7" s="279" t="e">
        <f t="shared" si="1"/>
        <v>#REF!</v>
      </c>
      <c r="G7" s="272"/>
      <c r="H7" s="271"/>
      <c r="I7" s="271"/>
      <c r="J7" s="271"/>
      <c r="K7" s="271"/>
    </row>
    <row r="8" spans="1:11" ht="13.5" customHeight="1">
      <c r="A8" s="271"/>
      <c r="B8" s="276">
        <v>3</v>
      </c>
      <c r="C8" s="276" t="s">
        <v>523</v>
      </c>
      <c r="D8" s="277">
        <f>+Drivers!AJ7+Conductors!AJ7+Securities!AJ7+'House Keeping'!AJ7-11924-2258-1581-13548-8581-6774</f>
        <v>76033</v>
      </c>
      <c r="E8" s="278">
        <f t="shared" si="0"/>
        <v>76033</v>
      </c>
      <c r="F8" s="279">
        <f t="shared" si="1"/>
        <v>0</v>
      </c>
      <c r="G8" s="272"/>
      <c r="H8" s="271"/>
      <c r="I8" s="271"/>
      <c r="J8" s="271"/>
      <c r="K8" s="271"/>
    </row>
    <row r="9" spans="1:11" ht="13.5" customHeight="1">
      <c r="A9" s="271"/>
      <c r="B9" s="276">
        <v>4</v>
      </c>
      <c r="C9" s="276" t="s">
        <v>24</v>
      </c>
      <c r="D9" s="277">
        <f>+Hostel!AJ8</f>
        <v>40500</v>
      </c>
      <c r="E9" s="278">
        <f t="shared" si="0"/>
        <v>40500</v>
      </c>
      <c r="F9" s="279">
        <f t="shared" si="1"/>
        <v>0</v>
      </c>
      <c r="G9" s="272"/>
      <c r="H9" s="271"/>
      <c r="I9" s="271"/>
      <c r="J9" s="271"/>
      <c r="K9" s="271"/>
    </row>
    <row r="10" spans="1:11" ht="13.5" customHeight="1">
      <c r="A10" s="271"/>
      <c r="B10" s="276">
        <v>5</v>
      </c>
      <c r="C10" s="280" t="s">
        <v>524</v>
      </c>
      <c r="D10" s="277">
        <f>+AEP!I6</f>
        <v>0</v>
      </c>
      <c r="E10" s="278">
        <f t="shared" si="0"/>
        <v>0</v>
      </c>
      <c r="F10" s="279">
        <f t="shared" si="1"/>
        <v>0</v>
      </c>
      <c r="G10" s="272"/>
      <c r="H10" s="271"/>
      <c r="I10" s="271"/>
      <c r="J10" s="271"/>
      <c r="K10" s="271"/>
    </row>
    <row r="11" spans="1:11" ht="13.5" customHeight="1">
      <c r="A11" s="271"/>
      <c r="B11" s="276">
        <v>6</v>
      </c>
      <c r="C11" s="280" t="s">
        <v>525</v>
      </c>
      <c r="D11" s="277">
        <f>+'Theni - Upparpatti'!AJ7-20000</f>
        <v>0</v>
      </c>
      <c r="E11" s="278">
        <f t="shared" si="0"/>
        <v>0</v>
      </c>
      <c r="F11" s="279">
        <f t="shared" si="1"/>
        <v>0</v>
      </c>
      <c r="G11" s="272"/>
      <c r="H11" s="271"/>
      <c r="I11" s="271"/>
      <c r="J11" s="271"/>
      <c r="K11" s="271"/>
    </row>
    <row r="12" spans="1:11" ht="13.5" customHeight="1">
      <c r="A12" s="271"/>
      <c r="B12" s="276">
        <v>7</v>
      </c>
      <c r="C12" s="280" t="s">
        <v>526</v>
      </c>
      <c r="D12" s="277">
        <f>+'Part time academic'!J14-18000</f>
        <v>261225</v>
      </c>
      <c r="E12" s="278">
        <f t="shared" si="0"/>
        <v>261225</v>
      </c>
      <c r="F12" s="279">
        <f t="shared" si="1"/>
        <v>0</v>
      </c>
      <c r="G12" s="272"/>
      <c r="H12" s="271"/>
      <c r="I12" s="271"/>
      <c r="J12" s="271"/>
      <c r="K12" s="271"/>
    </row>
    <row r="13" spans="1:11" ht="13.5" customHeight="1">
      <c r="A13" s="271"/>
      <c r="B13" s="276">
        <v>8</v>
      </c>
      <c r="C13" s="280" t="s">
        <v>527</v>
      </c>
      <c r="D13" s="277">
        <v>45000</v>
      </c>
      <c r="E13" s="278">
        <v>25000</v>
      </c>
      <c r="F13" s="279">
        <f t="shared" si="1"/>
        <v>20000</v>
      </c>
      <c r="G13" s="272"/>
      <c r="H13" s="271"/>
      <c r="I13" s="271"/>
      <c r="J13" s="271"/>
      <c r="K13" s="271"/>
    </row>
    <row r="14" spans="1:11" ht="13.5" customHeight="1">
      <c r="A14" s="271"/>
      <c r="B14" s="276">
        <v>9</v>
      </c>
      <c r="C14" s="281" t="s">
        <v>528</v>
      </c>
      <c r="D14" s="277">
        <f>11924+75000</f>
        <v>86924</v>
      </c>
      <c r="E14" s="278">
        <f t="shared" ref="E14:E16" si="2">D14</f>
        <v>86924</v>
      </c>
      <c r="F14" s="279">
        <f t="shared" si="1"/>
        <v>0</v>
      </c>
      <c r="G14" s="272"/>
      <c r="H14" s="271"/>
      <c r="I14" s="271"/>
      <c r="J14" s="271"/>
      <c r="K14" s="271"/>
    </row>
    <row r="15" spans="1:11" ht="13.5" customHeight="1">
      <c r="A15" s="271"/>
      <c r="B15" s="276">
        <v>10</v>
      </c>
      <c r="C15" s="281" t="s">
        <v>317</v>
      </c>
      <c r="D15" s="277">
        <f>+Rifle!L5</f>
        <v>66000</v>
      </c>
      <c r="E15" s="278">
        <f t="shared" si="2"/>
        <v>66000</v>
      </c>
      <c r="F15" s="279">
        <f t="shared" si="1"/>
        <v>0</v>
      </c>
      <c r="G15" s="272"/>
      <c r="H15" s="271"/>
      <c r="I15" s="271"/>
      <c r="J15" s="271"/>
      <c r="K15" s="271"/>
    </row>
    <row r="16" spans="1:11" ht="13.5" customHeight="1">
      <c r="A16" s="271"/>
      <c r="B16" s="276">
        <v>11</v>
      </c>
      <c r="C16" s="281" t="s">
        <v>285</v>
      </c>
      <c r="D16" s="282">
        <f>+'Part Time - Admin'!N6+18000+10000+13548+2226+2129+2258+1581+13548+8581+5000+20000+6774</f>
        <v>138645</v>
      </c>
      <c r="E16" s="278">
        <f t="shared" si="2"/>
        <v>138645</v>
      </c>
      <c r="F16" s="279">
        <f t="shared" si="1"/>
        <v>0</v>
      </c>
      <c r="G16" s="272"/>
      <c r="H16" s="271"/>
      <c r="I16" s="271"/>
      <c r="J16" s="271"/>
      <c r="K16" s="271"/>
    </row>
    <row r="17" spans="1:11" ht="13.5" customHeight="1">
      <c r="A17" s="271"/>
      <c r="B17" s="859" t="s">
        <v>32</v>
      </c>
      <c r="C17" s="628"/>
      <c r="D17" s="283" t="e">
        <f t="shared" ref="D17:F17" si="3">SUM(D6:D16)</f>
        <v>#REF!</v>
      </c>
      <c r="E17" s="284" t="e">
        <f t="shared" si="3"/>
        <v>#REF!</v>
      </c>
      <c r="F17" s="283" t="e">
        <f t="shared" si="3"/>
        <v>#REF!</v>
      </c>
      <c r="G17" s="272"/>
      <c r="H17" s="271"/>
      <c r="I17" s="285"/>
      <c r="J17" s="285"/>
      <c r="K17" s="271"/>
    </row>
    <row r="18" spans="1:11" ht="13.5" customHeight="1">
      <c r="A18" s="271"/>
      <c r="B18" s="271"/>
      <c r="C18" s="271"/>
      <c r="D18" s="271"/>
      <c r="E18" s="271"/>
      <c r="F18" s="271"/>
      <c r="G18" s="272"/>
      <c r="H18" s="271"/>
      <c r="I18" s="271"/>
      <c r="J18" s="271"/>
      <c r="K18" s="271"/>
    </row>
    <row r="19" spans="1:11" ht="13.5" customHeight="1">
      <c r="A19" s="271"/>
      <c r="B19" s="271"/>
      <c r="C19" s="271"/>
      <c r="D19" s="271"/>
      <c r="E19" s="285"/>
      <c r="F19" s="271"/>
      <c r="G19" s="272"/>
      <c r="H19" s="271"/>
      <c r="I19" s="271"/>
      <c r="J19" s="271"/>
      <c r="K19" s="271"/>
    </row>
    <row r="20" spans="1:11" ht="13.5" customHeight="1">
      <c r="A20" s="271"/>
      <c r="B20" s="271"/>
      <c r="C20" s="281" t="s">
        <v>529</v>
      </c>
      <c r="D20" s="855" t="e">
        <f>+D17-D16</f>
        <v>#REF!</v>
      </c>
      <c r="E20" s="628"/>
      <c r="F20" s="271"/>
      <c r="G20" s="272"/>
      <c r="H20" s="271"/>
      <c r="I20" s="271"/>
      <c r="J20" s="271"/>
      <c r="K20" s="271"/>
    </row>
    <row r="21" spans="1:11" ht="13.5" customHeight="1">
      <c r="A21" s="271"/>
      <c r="B21" s="271"/>
      <c r="C21" s="281" t="s">
        <v>521</v>
      </c>
      <c r="D21" s="855" t="e">
        <f>+E17</f>
        <v>#REF!</v>
      </c>
      <c r="E21" s="628"/>
      <c r="F21" s="271"/>
      <c r="G21" s="272"/>
      <c r="H21" s="271"/>
      <c r="I21" s="271"/>
      <c r="J21" s="285"/>
      <c r="K21" s="271"/>
    </row>
    <row r="22" spans="1:11" ht="13.5" customHeight="1">
      <c r="A22" s="271"/>
      <c r="B22" s="271"/>
      <c r="C22" s="281" t="s">
        <v>522</v>
      </c>
      <c r="D22" s="855" t="e">
        <f>+D21-D20</f>
        <v>#REF!</v>
      </c>
      <c r="E22" s="628"/>
      <c r="F22" s="271"/>
      <c r="G22" s="272"/>
      <c r="H22" s="271"/>
      <c r="I22" s="271"/>
      <c r="J22" s="271"/>
      <c r="K22" s="271"/>
    </row>
    <row r="23" spans="1:11" ht="13.5" customHeight="1">
      <c r="A23" s="271"/>
      <c r="B23" s="271"/>
      <c r="C23" s="271"/>
      <c r="D23" s="271"/>
      <c r="E23" s="271"/>
      <c r="F23" s="271"/>
      <c r="G23" s="272"/>
      <c r="H23" s="271"/>
      <c r="I23" s="271"/>
      <c r="J23" s="271"/>
      <c r="K23" s="271"/>
    </row>
    <row r="24" spans="1:11" ht="13.5" customHeight="1">
      <c r="A24" s="271"/>
      <c r="B24" s="271"/>
      <c r="C24" s="286" t="s">
        <v>520</v>
      </c>
      <c r="D24" s="287" t="e">
        <f>D17</f>
        <v>#REF!</v>
      </c>
      <c r="E24" s="288" t="s">
        <v>530</v>
      </c>
      <c r="F24" s="289">
        <f>+'Overall - Top sheet'!J20+'Overall - Top sheet'!M20</f>
        <v>17310</v>
      </c>
      <c r="G24" s="272"/>
      <c r="H24" s="271"/>
      <c r="I24" s="271"/>
      <c r="J24" s="271"/>
      <c r="K24" s="271"/>
    </row>
    <row r="25" spans="1:11" ht="13.5" customHeight="1">
      <c r="A25" s="271"/>
      <c r="B25" s="271"/>
      <c r="C25" s="290" t="s">
        <v>531</v>
      </c>
      <c r="D25" s="291" t="e">
        <f>E17</f>
        <v>#REF!</v>
      </c>
      <c r="E25" s="281" t="s">
        <v>532</v>
      </c>
      <c r="F25" s="292">
        <f>+'Overall - Top sheet'!K20+'Overall - Top sheet'!N20</f>
        <v>2548</v>
      </c>
      <c r="G25" s="272"/>
      <c r="H25" s="271"/>
      <c r="I25" s="271"/>
      <c r="J25" s="271"/>
      <c r="K25" s="271"/>
    </row>
    <row r="26" spans="1:11" ht="13.5" customHeight="1">
      <c r="A26" s="271"/>
      <c r="B26" s="271"/>
      <c r="C26" s="293" t="s">
        <v>522</v>
      </c>
      <c r="D26" s="294" t="e">
        <f>D24-D25</f>
        <v>#REF!</v>
      </c>
      <c r="E26" s="295" t="s">
        <v>533</v>
      </c>
      <c r="F26" s="296">
        <v>12000</v>
      </c>
      <c r="G26" s="272"/>
      <c r="H26" s="271"/>
      <c r="I26" s="271"/>
      <c r="J26" s="271"/>
      <c r="K26" s="271"/>
    </row>
    <row r="27" spans="1:11" ht="13.5" customHeight="1">
      <c r="A27" s="271"/>
      <c r="B27" s="271"/>
      <c r="C27" s="271"/>
      <c r="D27" s="271"/>
      <c r="E27" s="271"/>
      <c r="F27" s="271"/>
      <c r="G27" s="272"/>
      <c r="H27" s="271"/>
      <c r="I27" s="271"/>
      <c r="J27" s="271"/>
      <c r="K27" s="271"/>
    </row>
    <row r="28" spans="1:11" ht="13.5" customHeight="1">
      <c r="A28" s="271"/>
      <c r="B28" s="271"/>
      <c r="C28" s="271"/>
      <c r="D28" s="271"/>
      <c r="E28" s="271"/>
      <c r="F28" s="271"/>
      <c r="G28" s="272"/>
      <c r="H28" s="271"/>
      <c r="I28" s="271"/>
      <c r="J28" s="271"/>
      <c r="K28" s="271"/>
    </row>
    <row r="29" spans="1:11" ht="13.5" customHeight="1">
      <c r="A29" s="271"/>
      <c r="B29" s="271"/>
      <c r="C29" s="271"/>
      <c r="D29" s="271"/>
      <c r="E29" s="271"/>
      <c r="F29" s="271"/>
      <c r="G29" s="272"/>
      <c r="H29" s="271"/>
      <c r="I29" s="271"/>
      <c r="J29" s="271"/>
      <c r="K29" s="271"/>
    </row>
    <row r="30" spans="1:11" ht="13.5" customHeight="1">
      <c r="A30" s="271"/>
      <c r="B30" s="271"/>
      <c r="C30" s="271"/>
      <c r="D30" s="271"/>
      <c r="E30" s="271"/>
      <c r="F30" s="271"/>
      <c r="G30" s="272"/>
      <c r="H30" s="271"/>
      <c r="I30" s="271"/>
      <c r="J30" s="271"/>
      <c r="K30" s="271"/>
    </row>
    <row r="31" spans="1:11" ht="13.5" customHeight="1">
      <c r="A31" s="271"/>
      <c r="B31" s="271"/>
      <c r="C31" s="271"/>
      <c r="D31" s="271"/>
      <c r="E31" s="271"/>
      <c r="F31" s="271"/>
      <c r="G31" s="272"/>
      <c r="H31" s="271"/>
      <c r="I31" s="271"/>
      <c r="J31" s="271"/>
      <c r="K31" s="271"/>
    </row>
    <row r="32" spans="1:11" ht="13.5" customHeight="1">
      <c r="A32" s="271"/>
      <c r="B32" s="271"/>
      <c r="C32" s="271"/>
      <c r="D32" s="271"/>
      <c r="E32" s="271"/>
      <c r="F32" s="271"/>
      <c r="G32" s="272"/>
      <c r="H32" s="271"/>
      <c r="I32" s="271"/>
      <c r="J32" s="271"/>
      <c r="K32" s="271"/>
    </row>
    <row r="33" spans="1:11" ht="13.5" customHeight="1">
      <c r="A33" s="271"/>
      <c r="B33" s="271"/>
      <c r="C33" s="271"/>
      <c r="D33" s="271"/>
      <c r="E33" s="271"/>
      <c r="F33" s="271"/>
      <c r="G33" s="272"/>
      <c r="H33" s="271"/>
      <c r="I33" s="271"/>
      <c r="J33" s="271"/>
      <c r="K33" s="271"/>
    </row>
    <row r="34" spans="1:11" ht="13.5" customHeight="1">
      <c r="A34" s="271"/>
      <c r="B34" s="271"/>
      <c r="C34" s="271"/>
      <c r="D34" s="271"/>
      <c r="E34" s="271"/>
      <c r="F34" s="271"/>
      <c r="G34" s="272"/>
      <c r="H34" s="271"/>
      <c r="I34" s="271"/>
      <c r="J34" s="271"/>
      <c r="K34" s="271"/>
    </row>
    <row r="35" spans="1:11" ht="13.5" customHeight="1">
      <c r="A35" s="271"/>
      <c r="B35" s="271"/>
      <c r="C35" s="271"/>
      <c r="D35" s="271"/>
      <c r="E35" s="271"/>
      <c r="F35" s="271"/>
      <c r="G35" s="272"/>
      <c r="H35" s="271"/>
      <c r="I35" s="271"/>
      <c r="J35" s="271"/>
      <c r="K35" s="271"/>
    </row>
    <row r="36" spans="1:11" ht="13.5" customHeight="1">
      <c r="A36" s="271"/>
      <c r="B36" s="271"/>
      <c r="C36" s="271"/>
      <c r="D36" s="271"/>
      <c r="E36" s="271"/>
      <c r="F36" s="271"/>
      <c r="G36" s="272"/>
      <c r="H36" s="271"/>
      <c r="I36" s="271"/>
      <c r="J36" s="271"/>
      <c r="K36" s="271"/>
    </row>
    <row r="37" spans="1:11" ht="13.5" customHeight="1">
      <c r="A37" s="271"/>
      <c r="B37" s="271"/>
      <c r="C37" s="271"/>
      <c r="D37" s="271"/>
      <c r="E37" s="271"/>
      <c r="F37" s="271"/>
      <c r="G37" s="272"/>
      <c r="H37" s="271"/>
      <c r="I37" s="271"/>
      <c r="J37" s="271"/>
      <c r="K37" s="271"/>
    </row>
    <row r="38" spans="1:11" ht="13.5" customHeight="1">
      <c r="A38" s="271"/>
      <c r="B38" s="271"/>
      <c r="C38" s="271"/>
      <c r="D38" s="271"/>
      <c r="E38" s="271"/>
      <c r="F38" s="271"/>
      <c r="G38" s="272"/>
      <c r="H38" s="271"/>
      <c r="I38" s="271"/>
      <c r="J38" s="271"/>
      <c r="K38" s="271"/>
    </row>
    <row r="39" spans="1:11" ht="13.5" customHeight="1">
      <c r="A39" s="271"/>
      <c r="B39" s="271"/>
      <c r="C39" s="271"/>
      <c r="D39" s="271"/>
      <c r="E39" s="271"/>
      <c r="F39" s="271"/>
      <c r="G39" s="272"/>
      <c r="H39" s="271"/>
      <c r="I39" s="271"/>
      <c r="J39" s="271"/>
      <c r="K39" s="271"/>
    </row>
    <row r="40" spans="1:11" ht="13.5" customHeight="1">
      <c r="A40" s="271"/>
      <c r="B40" s="271"/>
      <c r="C40" s="271"/>
      <c r="D40" s="271"/>
      <c r="E40" s="271"/>
      <c r="F40" s="271"/>
      <c r="G40" s="272"/>
      <c r="H40" s="271"/>
      <c r="I40" s="271"/>
      <c r="J40" s="271"/>
      <c r="K40" s="271"/>
    </row>
    <row r="41" spans="1:11" ht="13.5" customHeight="1">
      <c r="A41" s="271"/>
      <c r="B41" s="271"/>
      <c r="C41" s="271"/>
      <c r="D41" s="271"/>
      <c r="E41" s="271"/>
      <c r="F41" s="271"/>
      <c r="G41" s="272"/>
      <c r="H41" s="271"/>
      <c r="I41" s="271"/>
      <c r="J41" s="271"/>
      <c r="K41" s="271"/>
    </row>
    <row r="42" spans="1:11" ht="13.5" customHeight="1">
      <c r="A42" s="271"/>
      <c r="B42" s="271"/>
      <c r="C42" s="271"/>
      <c r="D42" s="271"/>
      <c r="E42" s="271"/>
      <c r="F42" s="271"/>
      <c r="G42" s="272"/>
      <c r="H42" s="271"/>
      <c r="I42" s="271"/>
      <c r="J42" s="271"/>
      <c r="K42" s="271"/>
    </row>
    <row r="43" spans="1:11" ht="13.5" customHeight="1">
      <c r="A43" s="271"/>
      <c r="B43" s="271"/>
      <c r="C43" s="271"/>
      <c r="D43" s="271"/>
      <c r="E43" s="271"/>
      <c r="F43" s="271"/>
      <c r="G43" s="272"/>
      <c r="H43" s="271"/>
      <c r="I43" s="271"/>
      <c r="J43" s="271"/>
      <c r="K43" s="271"/>
    </row>
    <row r="44" spans="1:11" ht="13.5" customHeight="1">
      <c r="A44" s="271"/>
      <c r="B44" s="271"/>
      <c r="C44" s="271"/>
      <c r="D44" s="271"/>
      <c r="E44" s="271"/>
      <c r="F44" s="271"/>
      <c r="G44" s="272"/>
      <c r="H44" s="271"/>
      <c r="I44" s="271"/>
      <c r="J44" s="271"/>
      <c r="K44" s="271"/>
    </row>
    <row r="45" spans="1:11" ht="13.5" customHeight="1">
      <c r="A45" s="271"/>
      <c r="B45" s="271"/>
      <c r="C45" s="271"/>
      <c r="D45" s="271"/>
      <c r="E45" s="271"/>
      <c r="F45" s="271"/>
      <c r="G45" s="272"/>
      <c r="H45" s="271"/>
      <c r="I45" s="271"/>
      <c r="J45" s="271"/>
      <c r="K45" s="271"/>
    </row>
    <row r="46" spans="1:11" ht="13.5" customHeight="1">
      <c r="A46" s="271"/>
      <c r="B46" s="271"/>
      <c r="C46" s="271"/>
      <c r="D46" s="271"/>
      <c r="E46" s="271"/>
      <c r="F46" s="271"/>
      <c r="G46" s="272"/>
      <c r="H46" s="271"/>
      <c r="I46" s="271"/>
      <c r="J46" s="271"/>
      <c r="K46" s="271"/>
    </row>
    <row r="47" spans="1:11" ht="13.5" customHeight="1">
      <c r="A47" s="271"/>
      <c r="B47" s="271"/>
      <c r="C47" s="271"/>
      <c r="D47" s="271"/>
      <c r="E47" s="271"/>
      <c r="F47" s="271"/>
      <c r="G47" s="272"/>
      <c r="H47" s="271"/>
      <c r="I47" s="271"/>
      <c r="J47" s="271"/>
      <c r="K47" s="271"/>
    </row>
    <row r="48" spans="1:11" ht="13.5" customHeight="1">
      <c r="A48" s="271"/>
      <c r="B48" s="271"/>
      <c r="C48" s="271"/>
      <c r="D48" s="271"/>
      <c r="E48" s="271"/>
      <c r="F48" s="271"/>
      <c r="G48" s="272"/>
      <c r="H48" s="271"/>
      <c r="I48" s="271"/>
      <c r="J48" s="271"/>
      <c r="K48" s="271"/>
    </row>
    <row r="49" spans="1:11" ht="13.5" customHeight="1">
      <c r="A49" s="271"/>
      <c r="B49" s="271"/>
      <c r="C49" s="271"/>
      <c r="D49" s="271"/>
      <c r="E49" s="271"/>
      <c r="F49" s="271"/>
      <c r="G49" s="272"/>
      <c r="H49" s="271"/>
      <c r="I49" s="271"/>
      <c r="J49" s="271"/>
      <c r="K49" s="271"/>
    </row>
    <row r="50" spans="1:11" ht="13.5" customHeight="1">
      <c r="A50" s="271"/>
      <c r="B50" s="271"/>
      <c r="C50" s="271"/>
      <c r="D50" s="271"/>
      <c r="E50" s="271"/>
      <c r="F50" s="271"/>
      <c r="G50" s="272"/>
      <c r="H50" s="271"/>
      <c r="I50" s="271"/>
      <c r="J50" s="271"/>
      <c r="K50" s="271"/>
    </row>
    <row r="51" spans="1:11" ht="13.5" customHeight="1">
      <c r="A51" s="271"/>
      <c r="B51" s="271"/>
      <c r="C51" s="271"/>
      <c r="D51" s="271"/>
      <c r="E51" s="271"/>
      <c r="F51" s="271"/>
      <c r="G51" s="272"/>
      <c r="H51" s="271"/>
      <c r="I51" s="271"/>
      <c r="J51" s="271"/>
      <c r="K51" s="271"/>
    </row>
    <row r="52" spans="1:11" ht="13.5" customHeight="1">
      <c r="A52" s="271"/>
      <c r="B52" s="271"/>
      <c r="C52" s="271"/>
      <c r="D52" s="271"/>
      <c r="E52" s="271"/>
      <c r="F52" s="271"/>
      <c r="G52" s="272"/>
      <c r="H52" s="271"/>
      <c r="I52" s="271"/>
      <c r="J52" s="271"/>
      <c r="K52" s="271"/>
    </row>
    <row r="53" spans="1:11" ht="13.5" customHeight="1">
      <c r="A53" s="271"/>
      <c r="B53" s="271"/>
      <c r="C53" s="271"/>
      <c r="D53" s="271"/>
      <c r="E53" s="271"/>
      <c r="F53" s="271"/>
      <c r="G53" s="272"/>
      <c r="H53" s="271"/>
      <c r="I53" s="271"/>
      <c r="J53" s="271"/>
      <c r="K53" s="271"/>
    </row>
    <row r="54" spans="1:11" ht="13.5" customHeight="1">
      <c r="A54" s="271"/>
      <c r="B54" s="271"/>
      <c r="C54" s="271"/>
      <c r="D54" s="271"/>
      <c r="E54" s="271"/>
      <c r="F54" s="271"/>
      <c r="G54" s="272"/>
      <c r="H54" s="271"/>
      <c r="I54" s="271"/>
      <c r="J54" s="271"/>
      <c r="K54" s="271"/>
    </row>
    <row r="55" spans="1:11" ht="13.5" customHeight="1">
      <c r="A55" s="271"/>
      <c r="B55" s="271"/>
      <c r="C55" s="271"/>
      <c r="D55" s="271"/>
      <c r="E55" s="271"/>
      <c r="F55" s="271"/>
      <c r="G55" s="272"/>
      <c r="H55" s="271"/>
      <c r="I55" s="271"/>
      <c r="J55" s="271"/>
      <c r="K55" s="271"/>
    </row>
    <row r="56" spans="1:11" ht="13.5" customHeight="1">
      <c r="A56" s="271"/>
      <c r="B56" s="271"/>
      <c r="C56" s="271"/>
      <c r="D56" s="271"/>
      <c r="E56" s="271"/>
      <c r="F56" s="271"/>
      <c r="G56" s="272"/>
      <c r="H56" s="271"/>
      <c r="I56" s="271"/>
      <c r="J56" s="271"/>
      <c r="K56" s="271"/>
    </row>
    <row r="57" spans="1:11" ht="13.5" customHeight="1">
      <c r="A57" s="271"/>
      <c r="B57" s="271"/>
      <c r="C57" s="271"/>
      <c r="D57" s="271"/>
      <c r="E57" s="271"/>
      <c r="F57" s="271"/>
      <c r="G57" s="272"/>
      <c r="H57" s="271"/>
      <c r="I57" s="271"/>
      <c r="J57" s="271"/>
      <c r="K57" s="271"/>
    </row>
    <row r="58" spans="1:11" ht="13.5" customHeight="1">
      <c r="A58" s="271"/>
      <c r="B58" s="271"/>
      <c r="C58" s="271"/>
      <c r="D58" s="271"/>
      <c r="E58" s="271"/>
      <c r="F58" s="271"/>
      <c r="G58" s="272"/>
      <c r="H58" s="271"/>
      <c r="I58" s="271"/>
      <c r="J58" s="271"/>
      <c r="K58" s="271"/>
    </row>
    <row r="59" spans="1:11" ht="13.5" customHeight="1">
      <c r="A59" s="271"/>
      <c r="B59" s="271"/>
      <c r="C59" s="271"/>
      <c r="D59" s="271"/>
      <c r="E59" s="271"/>
      <c r="F59" s="271"/>
      <c r="G59" s="272"/>
      <c r="H59" s="271"/>
      <c r="I59" s="271"/>
      <c r="J59" s="271"/>
      <c r="K59" s="271"/>
    </row>
    <row r="60" spans="1:11" ht="13.5" customHeight="1">
      <c r="A60" s="271"/>
      <c r="B60" s="271"/>
      <c r="C60" s="271"/>
      <c r="D60" s="271"/>
      <c r="E60" s="271"/>
      <c r="F60" s="271"/>
      <c r="G60" s="272"/>
      <c r="H60" s="271"/>
      <c r="I60" s="271"/>
      <c r="J60" s="271"/>
      <c r="K60" s="271"/>
    </row>
    <row r="61" spans="1:11" ht="13.5" customHeight="1">
      <c r="A61" s="271"/>
      <c r="B61" s="271"/>
      <c r="C61" s="271"/>
      <c r="D61" s="271"/>
      <c r="E61" s="271"/>
      <c r="F61" s="271"/>
      <c r="G61" s="272"/>
      <c r="H61" s="271"/>
      <c r="I61" s="271"/>
      <c r="J61" s="271"/>
      <c r="K61" s="271"/>
    </row>
    <row r="62" spans="1:11" ht="13.5" customHeight="1">
      <c r="A62" s="271"/>
      <c r="B62" s="271"/>
      <c r="C62" s="271"/>
      <c r="D62" s="271"/>
      <c r="E62" s="271"/>
      <c r="F62" s="271"/>
      <c r="G62" s="272"/>
      <c r="H62" s="271"/>
      <c r="I62" s="271"/>
      <c r="J62" s="271"/>
      <c r="K62" s="271"/>
    </row>
    <row r="63" spans="1:11" ht="13.5" customHeight="1">
      <c r="A63" s="271"/>
      <c r="B63" s="271"/>
      <c r="C63" s="271"/>
      <c r="D63" s="271"/>
      <c r="E63" s="271"/>
      <c r="F63" s="271"/>
      <c r="G63" s="272"/>
      <c r="H63" s="271"/>
      <c r="I63" s="271"/>
      <c r="J63" s="271"/>
      <c r="K63" s="271"/>
    </row>
    <row r="64" spans="1:11" ht="13.5" customHeight="1">
      <c r="A64" s="271"/>
      <c r="B64" s="271"/>
      <c r="C64" s="271"/>
      <c r="D64" s="271"/>
      <c r="E64" s="271"/>
      <c r="F64" s="271"/>
      <c r="G64" s="272"/>
      <c r="H64" s="271"/>
      <c r="I64" s="271"/>
      <c r="J64" s="271"/>
      <c r="K64" s="271"/>
    </row>
    <row r="65" spans="1:11" ht="13.5" customHeight="1">
      <c r="A65" s="271"/>
      <c r="B65" s="271"/>
      <c r="C65" s="271"/>
      <c r="D65" s="271"/>
      <c r="E65" s="271"/>
      <c r="F65" s="271"/>
      <c r="G65" s="272"/>
      <c r="H65" s="271"/>
      <c r="I65" s="271"/>
      <c r="J65" s="271"/>
      <c r="K65" s="271"/>
    </row>
    <row r="66" spans="1:11" ht="13.5" customHeight="1">
      <c r="A66" s="271"/>
      <c r="B66" s="271"/>
      <c r="C66" s="271"/>
      <c r="D66" s="271"/>
      <c r="E66" s="271"/>
      <c r="F66" s="271"/>
      <c r="G66" s="272"/>
      <c r="H66" s="271"/>
      <c r="I66" s="271"/>
      <c r="J66" s="271"/>
      <c r="K66" s="271"/>
    </row>
    <row r="67" spans="1:11" ht="13.5" customHeight="1">
      <c r="A67" s="271"/>
      <c r="B67" s="271"/>
      <c r="C67" s="271"/>
      <c r="D67" s="271"/>
      <c r="E67" s="271"/>
      <c r="F67" s="271"/>
      <c r="G67" s="272"/>
      <c r="H67" s="271"/>
      <c r="I67" s="271"/>
      <c r="J67" s="271"/>
      <c r="K67" s="271"/>
    </row>
    <row r="68" spans="1:11" ht="13.5" customHeight="1">
      <c r="A68" s="271"/>
      <c r="B68" s="271"/>
      <c r="C68" s="271"/>
      <c r="D68" s="271"/>
      <c r="E68" s="271"/>
      <c r="F68" s="271"/>
      <c r="G68" s="272"/>
      <c r="H68" s="271"/>
      <c r="I68" s="271"/>
      <c r="J68" s="271"/>
      <c r="K68" s="271"/>
    </row>
    <row r="69" spans="1:11" ht="13.5" customHeight="1">
      <c r="A69" s="271"/>
      <c r="B69" s="271"/>
      <c r="C69" s="271"/>
      <c r="D69" s="271"/>
      <c r="E69" s="271"/>
      <c r="F69" s="271"/>
      <c r="G69" s="272"/>
      <c r="H69" s="271"/>
      <c r="I69" s="271"/>
      <c r="J69" s="271"/>
      <c r="K69" s="271"/>
    </row>
    <row r="70" spans="1:11" ht="13.5" customHeight="1">
      <c r="A70" s="271"/>
      <c r="B70" s="271"/>
      <c r="C70" s="271"/>
      <c r="D70" s="271"/>
      <c r="E70" s="271"/>
      <c r="F70" s="271"/>
      <c r="G70" s="272"/>
      <c r="H70" s="271"/>
      <c r="I70" s="271"/>
      <c r="J70" s="271"/>
      <c r="K70" s="271"/>
    </row>
    <row r="71" spans="1:11" ht="13.5" customHeight="1">
      <c r="A71" s="271"/>
      <c r="B71" s="271"/>
      <c r="C71" s="271"/>
      <c r="D71" s="271"/>
      <c r="E71" s="271"/>
      <c r="F71" s="271"/>
      <c r="G71" s="272"/>
      <c r="H71" s="271"/>
      <c r="I71" s="271"/>
      <c r="J71" s="271"/>
      <c r="K71" s="271"/>
    </row>
    <row r="72" spans="1:11" ht="13.5" customHeight="1">
      <c r="A72" s="271"/>
      <c r="B72" s="271"/>
      <c r="C72" s="271"/>
      <c r="D72" s="271"/>
      <c r="E72" s="271"/>
      <c r="F72" s="271"/>
      <c r="G72" s="272"/>
      <c r="H72" s="271"/>
      <c r="I72" s="271"/>
      <c r="J72" s="271"/>
      <c r="K72" s="271"/>
    </row>
    <row r="73" spans="1:11" ht="13.5" customHeight="1">
      <c r="A73" s="271"/>
      <c r="B73" s="271"/>
      <c r="C73" s="271"/>
      <c r="D73" s="271"/>
      <c r="E73" s="271"/>
      <c r="F73" s="271"/>
      <c r="G73" s="272"/>
      <c r="H73" s="271"/>
      <c r="I73" s="271"/>
      <c r="J73" s="271"/>
      <c r="K73" s="271"/>
    </row>
    <row r="74" spans="1:11" ht="13.5" customHeight="1">
      <c r="A74" s="271"/>
      <c r="B74" s="271"/>
      <c r="C74" s="271"/>
      <c r="D74" s="271"/>
      <c r="E74" s="271"/>
      <c r="F74" s="271"/>
      <c r="G74" s="272"/>
      <c r="H74" s="271"/>
      <c r="I74" s="271"/>
      <c r="J74" s="271"/>
      <c r="K74" s="271"/>
    </row>
    <row r="75" spans="1:11" ht="13.5" customHeight="1">
      <c r="A75" s="271"/>
      <c r="B75" s="271"/>
      <c r="C75" s="271"/>
      <c r="D75" s="271"/>
      <c r="E75" s="271"/>
      <c r="F75" s="271"/>
      <c r="G75" s="272"/>
      <c r="H75" s="271"/>
      <c r="I75" s="271"/>
      <c r="J75" s="271"/>
      <c r="K75" s="271"/>
    </row>
    <row r="76" spans="1:11" ht="13.5" customHeight="1">
      <c r="A76" s="271"/>
      <c r="B76" s="271"/>
      <c r="C76" s="271"/>
      <c r="D76" s="271"/>
      <c r="E76" s="271"/>
      <c r="F76" s="271"/>
      <c r="G76" s="272"/>
      <c r="H76" s="271"/>
      <c r="I76" s="271"/>
      <c r="J76" s="271"/>
      <c r="K76" s="271"/>
    </row>
    <row r="77" spans="1:11" ht="13.5" customHeight="1">
      <c r="A77" s="271"/>
      <c r="B77" s="271"/>
      <c r="C77" s="271"/>
      <c r="D77" s="271"/>
      <c r="E77" s="271"/>
      <c r="F77" s="271"/>
      <c r="G77" s="272"/>
      <c r="H77" s="271"/>
      <c r="I77" s="271"/>
      <c r="J77" s="271"/>
      <c r="K77" s="271"/>
    </row>
    <row r="78" spans="1:11" ht="13.5" customHeight="1">
      <c r="A78" s="271"/>
      <c r="B78" s="271"/>
      <c r="C78" s="271"/>
      <c r="D78" s="271"/>
      <c r="E78" s="271"/>
      <c r="F78" s="271"/>
      <c r="G78" s="272"/>
      <c r="H78" s="271"/>
      <c r="I78" s="271"/>
      <c r="J78" s="271"/>
      <c r="K78" s="271"/>
    </row>
    <row r="79" spans="1:11" ht="13.5" customHeight="1">
      <c r="A79" s="271"/>
      <c r="B79" s="271"/>
      <c r="C79" s="271"/>
      <c r="D79" s="271"/>
      <c r="E79" s="271"/>
      <c r="F79" s="271"/>
      <c r="G79" s="272"/>
      <c r="H79" s="271"/>
      <c r="I79" s="271"/>
      <c r="J79" s="271"/>
      <c r="K79" s="271"/>
    </row>
    <row r="80" spans="1:11" ht="13.5" customHeight="1">
      <c r="A80" s="271"/>
      <c r="B80" s="271"/>
      <c r="C80" s="271"/>
      <c r="D80" s="271"/>
      <c r="E80" s="271"/>
      <c r="F80" s="271"/>
      <c r="G80" s="272"/>
      <c r="H80" s="271"/>
      <c r="I80" s="271"/>
      <c r="J80" s="271"/>
      <c r="K80" s="271"/>
    </row>
    <row r="81" spans="1:11" ht="13.5" customHeight="1">
      <c r="A81" s="271"/>
      <c r="B81" s="271"/>
      <c r="C81" s="271"/>
      <c r="D81" s="271"/>
      <c r="E81" s="271"/>
      <c r="F81" s="271"/>
      <c r="G81" s="272"/>
      <c r="H81" s="271"/>
      <c r="I81" s="271"/>
      <c r="J81" s="271"/>
      <c r="K81" s="271"/>
    </row>
    <row r="82" spans="1:11" ht="13.5" customHeight="1">
      <c r="A82" s="271"/>
      <c r="B82" s="271"/>
      <c r="C82" s="271"/>
      <c r="D82" s="271"/>
      <c r="E82" s="271"/>
      <c r="F82" s="271"/>
      <c r="G82" s="272"/>
      <c r="H82" s="271"/>
      <c r="I82" s="271"/>
      <c r="J82" s="271"/>
      <c r="K82" s="271"/>
    </row>
    <row r="83" spans="1:11" ht="13.5" customHeight="1">
      <c r="A83" s="271"/>
      <c r="B83" s="271"/>
      <c r="C83" s="271"/>
      <c r="D83" s="271"/>
      <c r="E83" s="271"/>
      <c r="F83" s="271"/>
      <c r="G83" s="272"/>
      <c r="H83" s="271"/>
      <c r="I83" s="271"/>
      <c r="J83" s="271"/>
      <c r="K83" s="271"/>
    </row>
    <row r="84" spans="1:11" ht="13.5" customHeight="1">
      <c r="A84" s="271"/>
      <c r="B84" s="271"/>
      <c r="C84" s="271"/>
      <c r="D84" s="271"/>
      <c r="E84" s="271"/>
      <c r="F84" s="271"/>
      <c r="G84" s="272"/>
      <c r="H84" s="271"/>
      <c r="I84" s="271"/>
      <c r="J84" s="271"/>
      <c r="K84" s="271"/>
    </row>
    <row r="85" spans="1:11" ht="13.5" customHeight="1">
      <c r="A85" s="271"/>
      <c r="B85" s="271"/>
      <c r="C85" s="271"/>
      <c r="D85" s="271"/>
      <c r="E85" s="271"/>
      <c r="F85" s="271"/>
      <c r="G85" s="272"/>
      <c r="H85" s="271"/>
      <c r="I85" s="271"/>
      <c r="J85" s="271"/>
      <c r="K85" s="271"/>
    </row>
    <row r="86" spans="1:11" ht="13.5" customHeight="1">
      <c r="A86" s="271"/>
      <c r="B86" s="271"/>
      <c r="C86" s="271"/>
      <c r="D86" s="271"/>
      <c r="E86" s="271"/>
      <c r="F86" s="271"/>
      <c r="G86" s="272"/>
      <c r="H86" s="271"/>
      <c r="I86" s="271"/>
      <c r="J86" s="271"/>
      <c r="K86" s="271"/>
    </row>
    <row r="87" spans="1:11" ht="13.5" customHeight="1">
      <c r="A87" s="271"/>
      <c r="B87" s="271"/>
      <c r="C87" s="271"/>
      <c r="D87" s="271"/>
      <c r="E87" s="271"/>
      <c r="F87" s="271"/>
      <c r="G87" s="272"/>
      <c r="H87" s="271"/>
      <c r="I87" s="271"/>
      <c r="J87" s="271"/>
      <c r="K87" s="271"/>
    </row>
    <row r="88" spans="1:11" ht="13.5" customHeight="1">
      <c r="A88" s="271"/>
      <c r="B88" s="271"/>
      <c r="C88" s="271"/>
      <c r="D88" s="271"/>
      <c r="E88" s="271"/>
      <c r="F88" s="271"/>
      <c r="G88" s="272"/>
      <c r="H88" s="271"/>
      <c r="I88" s="271"/>
      <c r="J88" s="271"/>
      <c r="K88" s="271"/>
    </row>
    <row r="89" spans="1:11" ht="13.5" customHeight="1">
      <c r="A89" s="271"/>
      <c r="B89" s="271"/>
      <c r="C89" s="271"/>
      <c r="D89" s="271"/>
      <c r="E89" s="271"/>
      <c r="F89" s="271"/>
      <c r="G89" s="272"/>
      <c r="H89" s="271"/>
      <c r="I89" s="271"/>
      <c r="J89" s="271"/>
      <c r="K89" s="271"/>
    </row>
    <row r="90" spans="1:11" ht="13.5" customHeight="1">
      <c r="A90" s="271"/>
      <c r="B90" s="271"/>
      <c r="C90" s="271"/>
      <c r="D90" s="271"/>
      <c r="E90" s="271"/>
      <c r="F90" s="271"/>
      <c r="G90" s="272"/>
      <c r="H90" s="271"/>
      <c r="I90" s="271"/>
      <c r="J90" s="271"/>
      <c r="K90" s="271"/>
    </row>
    <row r="91" spans="1:11" ht="13.5" customHeight="1">
      <c r="A91" s="271"/>
      <c r="B91" s="271"/>
      <c r="C91" s="271"/>
      <c r="D91" s="271"/>
      <c r="E91" s="271"/>
      <c r="F91" s="271"/>
      <c r="G91" s="272"/>
      <c r="H91" s="271"/>
      <c r="I91" s="271"/>
      <c r="J91" s="271"/>
      <c r="K91" s="271"/>
    </row>
    <row r="92" spans="1:11" ht="13.5" customHeight="1">
      <c r="A92" s="271"/>
      <c r="B92" s="271"/>
      <c r="C92" s="271"/>
      <c r="D92" s="271"/>
      <c r="E92" s="271"/>
      <c r="F92" s="271"/>
      <c r="G92" s="272"/>
      <c r="H92" s="271"/>
      <c r="I92" s="271"/>
      <c r="J92" s="271"/>
      <c r="K92" s="271"/>
    </row>
    <row r="93" spans="1:11" ht="13.5" customHeight="1">
      <c r="A93" s="271"/>
      <c r="B93" s="271"/>
      <c r="C93" s="271"/>
      <c r="D93" s="271"/>
      <c r="E93" s="271"/>
      <c r="F93" s="271"/>
      <c r="G93" s="272"/>
      <c r="H93" s="271"/>
      <c r="I93" s="271"/>
      <c r="J93" s="271"/>
      <c r="K93" s="271"/>
    </row>
    <row r="94" spans="1:11" ht="13.5" customHeight="1">
      <c r="A94" s="271"/>
      <c r="B94" s="271"/>
      <c r="C94" s="271"/>
      <c r="D94" s="271"/>
      <c r="E94" s="271"/>
      <c r="F94" s="271"/>
      <c r="G94" s="272"/>
      <c r="H94" s="271"/>
      <c r="I94" s="271"/>
      <c r="J94" s="271"/>
      <c r="K94" s="271"/>
    </row>
    <row r="95" spans="1:11" ht="13.5" customHeight="1">
      <c r="A95" s="271"/>
      <c r="B95" s="271"/>
      <c r="C95" s="271"/>
      <c r="D95" s="271"/>
      <c r="E95" s="271"/>
      <c r="F95" s="271"/>
      <c r="G95" s="272"/>
      <c r="H95" s="271"/>
      <c r="I95" s="271"/>
      <c r="J95" s="271"/>
      <c r="K95" s="271"/>
    </row>
    <row r="96" spans="1:11" ht="13.5" customHeight="1">
      <c r="A96" s="271"/>
      <c r="B96" s="271"/>
      <c r="C96" s="271"/>
      <c r="D96" s="271"/>
      <c r="E96" s="271"/>
      <c r="F96" s="271"/>
      <c r="G96" s="272"/>
      <c r="H96" s="271"/>
      <c r="I96" s="271"/>
      <c r="J96" s="271"/>
      <c r="K96" s="271"/>
    </row>
    <row r="97" spans="1:11" ht="13.5" customHeight="1">
      <c r="A97" s="271"/>
      <c r="B97" s="271"/>
      <c r="C97" s="271"/>
      <c r="D97" s="271"/>
      <c r="E97" s="271"/>
      <c r="F97" s="271"/>
      <c r="G97" s="272"/>
      <c r="H97" s="271"/>
      <c r="I97" s="271"/>
      <c r="J97" s="271"/>
      <c r="K97" s="271"/>
    </row>
    <row r="98" spans="1:11" ht="13.5" customHeight="1">
      <c r="A98" s="271"/>
      <c r="B98" s="271"/>
      <c r="C98" s="271"/>
      <c r="D98" s="271"/>
      <c r="E98" s="271"/>
      <c r="F98" s="271"/>
      <c r="G98" s="272"/>
      <c r="H98" s="271"/>
      <c r="I98" s="271"/>
      <c r="J98" s="271"/>
      <c r="K98" s="271"/>
    </row>
    <row r="99" spans="1:11" ht="13.5" customHeight="1">
      <c r="A99" s="271"/>
      <c r="B99" s="271"/>
      <c r="C99" s="271"/>
      <c r="D99" s="271"/>
      <c r="E99" s="271"/>
      <c r="F99" s="271"/>
      <c r="G99" s="272"/>
      <c r="H99" s="271"/>
      <c r="I99" s="271"/>
      <c r="J99" s="271"/>
      <c r="K99" s="271"/>
    </row>
    <row r="100" spans="1:11" ht="13.5" customHeight="1">
      <c r="A100" s="271"/>
      <c r="B100" s="271"/>
      <c r="C100" s="271"/>
      <c r="D100" s="271"/>
      <c r="E100" s="271"/>
      <c r="F100" s="271"/>
      <c r="G100" s="272"/>
      <c r="H100" s="271"/>
      <c r="I100" s="271"/>
      <c r="J100" s="271"/>
      <c r="K100" s="271"/>
    </row>
  </sheetData>
  <mergeCells count="7">
    <mergeCell ref="D21:E21"/>
    <mergeCell ref="D22:E22"/>
    <mergeCell ref="B1:D1"/>
    <mergeCell ref="B3:F3"/>
    <mergeCell ref="B4:F4"/>
    <mergeCell ref="B17:C17"/>
    <mergeCell ref="D20:E20"/>
  </mergeCells>
  <pageMargins left="0.70866141732283505" right="0.70866141732283505" top="0.74803149606299202" bottom="0.74803149606299202" header="0" footer="0"/>
  <pageSetup paperSize="9" scale="3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101"/>
  <sheetViews>
    <sheetView topLeftCell="B1" workbookViewId="0">
      <selection activeCell="P5" sqref="P5"/>
    </sheetView>
  </sheetViews>
  <sheetFormatPr defaultColWidth="16.81640625" defaultRowHeight="15" customHeight="1"/>
  <cols>
    <col min="1" max="3" width="10.7265625" customWidth="1"/>
    <col min="4" max="4" width="19.1796875" customWidth="1"/>
    <col min="5" max="5" width="13.26953125" customWidth="1"/>
    <col min="6" max="6" width="12" customWidth="1"/>
    <col min="7" max="7" width="10.7265625" customWidth="1"/>
    <col min="8" max="8" width="11.7265625" customWidth="1"/>
    <col min="9" max="11" width="10.7265625" customWidth="1"/>
    <col min="12" max="15" width="15.7265625" customWidth="1"/>
    <col min="16" max="16" width="11.7265625" customWidth="1"/>
  </cols>
  <sheetData>
    <row r="1" spans="1:16" ht="14.5">
      <c r="A1" s="63"/>
      <c r="B1" s="63"/>
      <c r="C1" s="63"/>
      <c r="D1" s="297"/>
      <c r="E1" s="63"/>
      <c r="F1" s="63"/>
      <c r="G1" s="63"/>
      <c r="H1" s="63"/>
      <c r="I1" s="63"/>
      <c r="J1" s="63"/>
      <c r="K1" s="63"/>
      <c r="L1" s="63"/>
      <c r="M1" s="63"/>
      <c r="N1" s="63"/>
      <c r="O1" s="63"/>
      <c r="P1" s="63"/>
    </row>
    <row r="2" spans="1:16" ht="14.5">
      <c r="A2" s="63"/>
      <c r="B2" s="63"/>
      <c r="C2" s="63"/>
      <c r="D2" s="297"/>
      <c r="E2" s="63"/>
      <c r="F2" s="63"/>
      <c r="G2" s="63"/>
      <c r="H2" s="63"/>
      <c r="I2" s="63"/>
      <c r="J2" s="63"/>
      <c r="K2" s="63"/>
      <c r="L2" s="63"/>
      <c r="M2" s="63"/>
      <c r="N2" s="63"/>
      <c r="O2" s="63"/>
      <c r="P2" s="63"/>
    </row>
    <row r="3" spans="1:16" ht="14.5">
      <c r="A3" s="298"/>
      <c r="B3" s="298"/>
      <c r="C3" s="298"/>
      <c r="D3" s="298"/>
      <c r="E3" s="298" t="s">
        <v>201</v>
      </c>
      <c r="F3" s="298" t="s">
        <v>202</v>
      </c>
      <c r="G3" s="298" t="s">
        <v>24</v>
      </c>
      <c r="H3" s="298" t="s">
        <v>523</v>
      </c>
      <c r="I3" s="298" t="s">
        <v>534</v>
      </c>
      <c r="J3" s="298" t="s">
        <v>524</v>
      </c>
      <c r="K3" s="298" t="s">
        <v>526</v>
      </c>
      <c r="L3" s="298" t="s">
        <v>527</v>
      </c>
      <c r="M3" s="298" t="s">
        <v>535</v>
      </c>
      <c r="N3" s="298" t="s">
        <v>317</v>
      </c>
      <c r="O3" s="298" t="s">
        <v>285</v>
      </c>
      <c r="P3" s="298" t="s">
        <v>32</v>
      </c>
    </row>
    <row r="4" spans="1:16" ht="14.5">
      <c r="A4" s="298"/>
      <c r="B4" s="298"/>
      <c r="C4" s="298"/>
      <c r="D4" s="298"/>
      <c r="E4" s="298">
        <f>'Split Up'!D6</f>
        <v>121625</v>
      </c>
      <c r="F4" s="298" t="e">
        <f>'Split Up'!D7</f>
        <v>#REF!</v>
      </c>
      <c r="G4" s="298">
        <f>'Split Up'!D9</f>
        <v>40500</v>
      </c>
      <c r="H4" s="298">
        <f>'Split Up'!D8</f>
        <v>76033</v>
      </c>
      <c r="I4" s="298">
        <f>'Split Up'!D11</f>
        <v>0</v>
      </c>
      <c r="J4" s="298">
        <f>'Split Up'!D10</f>
        <v>0</v>
      </c>
      <c r="K4" s="298">
        <f>'Split Up'!D12</f>
        <v>261225</v>
      </c>
      <c r="L4" s="298">
        <f>'Split Up'!D13</f>
        <v>45000</v>
      </c>
      <c r="M4" s="298">
        <f>'Split Up'!D14</f>
        <v>86924</v>
      </c>
      <c r="N4" s="298">
        <f>'Split Up'!D15</f>
        <v>66000</v>
      </c>
      <c r="O4" s="298">
        <f>'Split Up'!D16</f>
        <v>138645</v>
      </c>
      <c r="P4" s="297" t="e">
        <f t="shared" ref="P4:P34" si="0">SUM(E4:O4)</f>
        <v>#REF!</v>
      </c>
    </row>
    <row r="5" spans="1:16" ht="14.5">
      <c r="A5" s="63"/>
      <c r="B5" s="63"/>
      <c r="C5" s="63"/>
      <c r="D5" s="297" t="s">
        <v>536</v>
      </c>
      <c r="E5" s="299">
        <f t="shared" ref="E5:K5" si="1">E4-SUM(E6:E34)</f>
        <v>70560</v>
      </c>
      <c r="F5" s="300" t="e">
        <f t="shared" si="1"/>
        <v>#REF!</v>
      </c>
      <c r="G5" s="300">
        <f t="shared" si="1"/>
        <v>40500</v>
      </c>
      <c r="H5" s="299">
        <f t="shared" si="1"/>
        <v>76033</v>
      </c>
      <c r="I5" s="299">
        <f t="shared" si="1"/>
        <v>0</v>
      </c>
      <c r="J5" s="299">
        <f t="shared" si="1"/>
        <v>0</v>
      </c>
      <c r="K5" s="299">
        <f t="shared" si="1"/>
        <v>261225</v>
      </c>
      <c r="L5" s="63"/>
      <c r="M5" s="63"/>
      <c r="N5" s="63"/>
      <c r="O5" s="63"/>
      <c r="P5" s="297" t="e">
        <f t="shared" si="0"/>
        <v>#REF!</v>
      </c>
    </row>
    <row r="6" spans="1:16" ht="14.5">
      <c r="A6" s="63"/>
      <c r="B6" s="63"/>
      <c r="C6" s="63"/>
      <c r="D6" s="297"/>
      <c r="E6" s="63"/>
      <c r="F6" s="63"/>
      <c r="G6" s="63"/>
      <c r="H6" s="63"/>
      <c r="I6" s="63"/>
      <c r="J6" s="63"/>
      <c r="K6" s="63"/>
      <c r="L6" s="63"/>
      <c r="M6" s="63"/>
      <c r="N6" s="63"/>
      <c r="O6" s="63"/>
      <c r="P6" s="297">
        <f t="shared" si="0"/>
        <v>0</v>
      </c>
    </row>
    <row r="7" spans="1:16" ht="14.5">
      <c r="A7" s="63"/>
      <c r="B7" s="63"/>
      <c r="C7" s="63"/>
      <c r="D7" s="297" t="s">
        <v>561</v>
      </c>
      <c r="E7" s="63">
        <v>28065</v>
      </c>
      <c r="F7" s="63"/>
      <c r="G7" s="63"/>
      <c r="H7" s="63"/>
      <c r="I7" s="63"/>
      <c r="J7" s="63"/>
      <c r="K7" s="63"/>
      <c r="L7" s="63"/>
      <c r="M7" s="63"/>
      <c r="N7" s="63"/>
      <c r="O7" s="63"/>
      <c r="P7" s="297">
        <f t="shared" si="0"/>
        <v>28065</v>
      </c>
    </row>
    <row r="8" spans="1:16" ht="14.5">
      <c r="A8" s="63"/>
      <c r="B8" s="63"/>
      <c r="C8" s="63"/>
      <c r="D8" s="297" t="s">
        <v>566</v>
      </c>
      <c r="E8" s="63">
        <v>23000</v>
      </c>
      <c r="F8" s="63"/>
      <c r="G8" s="63"/>
      <c r="H8" s="63"/>
      <c r="I8" s="63"/>
      <c r="J8" s="63"/>
      <c r="K8" s="63"/>
      <c r="L8" s="63"/>
      <c r="M8" s="63"/>
      <c r="N8" s="63"/>
      <c r="O8" s="63"/>
      <c r="P8" s="297">
        <f t="shared" si="0"/>
        <v>23000</v>
      </c>
    </row>
    <row r="9" spans="1:16" ht="14.5">
      <c r="A9" s="63"/>
      <c r="B9" s="63"/>
      <c r="C9" s="63"/>
      <c r="D9" s="297" t="s">
        <v>537</v>
      </c>
      <c r="E9" s="63"/>
      <c r="F9" s="63">
        <v>43000</v>
      </c>
      <c r="G9" s="63"/>
      <c r="H9" s="63"/>
      <c r="I9" s="63"/>
      <c r="J9" s="63"/>
      <c r="K9" s="63"/>
      <c r="L9" s="63"/>
      <c r="M9" s="63"/>
      <c r="N9" s="63"/>
      <c r="O9" s="63"/>
      <c r="P9" s="297">
        <f t="shared" si="0"/>
        <v>43000</v>
      </c>
    </row>
    <row r="10" spans="1:16" ht="14.5">
      <c r="A10" s="63"/>
      <c r="B10" s="63"/>
      <c r="C10" s="63"/>
      <c r="D10" s="297" t="s">
        <v>538</v>
      </c>
      <c r="E10" s="63"/>
      <c r="F10" s="63">
        <v>8770</v>
      </c>
      <c r="G10" s="63"/>
      <c r="H10" s="63"/>
      <c r="I10" s="63"/>
      <c r="J10" s="63"/>
      <c r="K10" s="63"/>
      <c r="L10" s="63"/>
      <c r="M10" s="63"/>
      <c r="N10" s="63"/>
      <c r="O10" s="63"/>
      <c r="P10" s="297">
        <f t="shared" si="0"/>
        <v>8770</v>
      </c>
    </row>
    <row r="11" spans="1:16" ht="14.5">
      <c r="A11" s="63"/>
      <c r="B11" s="63"/>
      <c r="C11" s="63"/>
      <c r="D11" s="297"/>
      <c r="E11" s="63"/>
      <c r="F11" s="63"/>
      <c r="G11" s="63"/>
      <c r="H11" s="63"/>
      <c r="I11" s="63"/>
      <c r="J11" s="63"/>
      <c r="K11" s="63"/>
      <c r="L11" s="63"/>
      <c r="M11" s="63"/>
      <c r="N11" s="63"/>
      <c r="O11" s="63"/>
      <c r="P11" s="297">
        <f t="shared" si="0"/>
        <v>0</v>
      </c>
    </row>
    <row r="12" spans="1:16" ht="14.5">
      <c r="A12" s="63"/>
      <c r="B12" s="63"/>
      <c r="C12" s="63"/>
      <c r="D12" s="297" t="s">
        <v>539</v>
      </c>
      <c r="E12" s="63"/>
      <c r="F12" s="63">
        <v>20000</v>
      </c>
      <c r="G12" s="63"/>
      <c r="H12" s="63"/>
      <c r="I12" s="63"/>
      <c r="J12" s="63"/>
      <c r="K12" s="63"/>
      <c r="L12" s="63"/>
      <c r="M12" s="63"/>
      <c r="N12" s="63"/>
      <c r="O12" s="63"/>
      <c r="P12" s="297">
        <f t="shared" si="0"/>
        <v>20000</v>
      </c>
    </row>
    <row r="13" spans="1:16" ht="14.5">
      <c r="A13" s="63"/>
      <c r="B13" s="297"/>
      <c r="C13" s="63"/>
      <c r="D13" s="297" t="s">
        <v>540</v>
      </c>
      <c r="E13" s="63"/>
      <c r="F13" s="63">
        <v>20261</v>
      </c>
      <c r="G13" s="63"/>
      <c r="H13" s="63"/>
      <c r="I13" s="63"/>
      <c r="J13" s="63"/>
      <c r="K13" s="63"/>
      <c r="L13" s="63"/>
      <c r="M13" s="63"/>
      <c r="N13" s="63"/>
      <c r="O13" s="63"/>
      <c r="P13" s="297">
        <f t="shared" si="0"/>
        <v>20261</v>
      </c>
    </row>
    <row r="14" spans="1:16" ht="14.5">
      <c r="A14" s="63"/>
      <c r="B14" s="297"/>
      <c r="C14" s="63"/>
      <c r="D14" s="297" t="s">
        <v>150</v>
      </c>
      <c r="E14" s="63"/>
      <c r="F14" s="63">
        <v>18500</v>
      </c>
      <c r="G14" s="63"/>
      <c r="H14" s="63"/>
      <c r="I14" s="63"/>
      <c r="J14" s="63"/>
      <c r="K14" s="63"/>
      <c r="L14" s="63"/>
      <c r="M14" s="63"/>
      <c r="N14" s="63"/>
      <c r="O14" s="63"/>
      <c r="P14" s="297">
        <f t="shared" si="0"/>
        <v>18500</v>
      </c>
    </row>
    <row r="15" spans="1:16" ht="14.5">
      <c r="A15" s="63"/>
      <c r="B15" s="63"/>
      <c r="C15" s="63"/>
      <c r="D15" s="297" t="s">
        <v>541</v>
      </c>
      <c r="E15" s="63"/>
      <c r="F15" s="63">
        <v>13177</v>
      </c>
      <c r="G15" s="63"/>
      <c r="H15" s="63"/>
      <c r="I15" s="63"/>
      <c r="J15" s="63"/>
      <c r="K15" s="63"/>
      <c r="L15" s="63"/>
      <c r="M15" s="63"/>
      <c r="N15" s="63"/>
      <c r="O15" s="63"/>
      <c r="P15" s="297">
        <f t="shared" si="0"/>
        <v>13177</v>
      </c>
    </row>
    <row r="16" spans="1:16" ht="14.5">
      <c r="A16" s="63"/>
      <c r="B16" s="63"/>
      <c r="C16" s="63"/>
      <c r="D16" s="297" t="s">
        <v>542</v>
      </c>
      <c r="E16" s="63"/>
      <c r="F16" s="63">
        <v>10758</v>
      </c>
      <c r="G16" s="63"/>
      <c r="H16" s="63"/>
      <c r="I16" s="63"/>
      <c r="J16" s="63"/>
      <c r="K16" s="63"/>
      <c r="L16" s="63"/>
      <c r="M16" s="63"/>
      <c r="N16" s="63"/>
      <c r="O16" s="63"/>
      <c r="P16" s="297">
        <f t="shared" si="0"/>
        <v>10758</v>
      </c>
    </row>
    <row r="17" spans="1:16" ht="14.5">
      <c r="A17" s="63"/>
      <c r="B17" s="63"/>
      <c r="C17" s="63"/>
      <c r="D17" s="297"/>
      <c r="E17" s="63"/>
      <c r="F17" s="63"/>
      <c r="G17" s="63"/>
      <c r="H17" s="63"/>
      <c r="I17" s="63"/>
      <c r="J17" s="63"/>
      <c r="K17" s="63"/>
      <c r="L17" s="63"/>
      <c r="M17" s="63"/>
      <c r="N17" s="63"/>
      <c r="O17" s="63"/>
      <c r="P17" s="297">
        <f t="shared" si="0"/>
        <v>0</v>
      </c>
    </row>
    <row r="18" spans="1:16" ht="14.5">
      <c r="A18" s="63"/>
      <c r="B18" s="63"/>
      <c r="C18" s="63"/>
      <c r="D18" s="297" t="s">
        <v>543</v>
      </c>
      <c r="E18" s="63"/>
      <c r="F18" s="63">
        <v>23226</v>
      </c>
      <c r="G18" s="63"/>
      <c r="H18" s="63"/>
      <c r="I18" s="63"/>
      <c r="J18" s="63"/>
      <c r="K18" s="63"/>
      <c r="L18" s="63"/>
      <c r="M18" s="63"/>
      <c r="N18" s="63"/>
      <c r="O18" s="63"/>
      <c r="P18" s="297">
        <f t="shared" si="0"/>
        <v>23226</v>
      </c>
    </row>
    <row r="19" spans="1:16" ht="14.5">
      <c r="A19" s="63"/>
      <c r="B19" s="63"/>
      <c r="C19" s="63"/>
      <c r="D19" s="297" t="s">
        <v>544</v>
      </c>
      <c r="E19" s="63"/>
      <c r="F19" s="63">
        <v>16500</v>
      </c>
      <c r="G19" s="63"/>
      <c r="H19" s="63"/>
      <c r="I19" s="63"/>
      <c r="J19" s="63"/>
      <c r="K19" s="63"/>
      <c r="L19" s="63"/>
      <c r="M19" s="63"/>
      <c r="N19" s="63"/>
      <c r="O19" s="63"/>
      <c r="P19" s="297">
        <f t="shared" si="0"/>
        <v>16500</v>
      </c>
    </row>
    <row r="20" spans="1:16" ht="14.5">
      <c r="A20" s="63"/>
      <c r="B20" s="63"/>
      <c r="C20" s="63"/>
      <c r="D20" s="297" t="s">
        <v>545</v>
      </c>
      <c r="E20" s="63"/>
      <c r="F20" s="63">
        <v>13355</v>
      </c>
      <c r="G20" s="63"/>
      <c r="H20" s="63"/>
      <c r="I20" s="63"/>
      <c r="J20" s="63"/>
      <c r="K20" s="63"/>
      <c r="L20" s="63"/>
      <c r="M20" s="63"/>
      <c r="N20" s="63"/>
      <c r="O20" s="63"/>
      <c r="P20" s="297">
        <f t="shared" si="0"/>
        <v>13355</v>
      </c>
    </row>
    <row r="21" spans="1:16" ht="15.75" customHeight="1">
      <c r="A21" s="63"/>
      <c r="B21" s="63"/>
      <c r="C21" s="63"/>
      <c r="D21" s="297"/>
      <c r="E21" s="63"/>
      <c r="F21" s="63"/>
      <c r="G21" s="63"/>
      <c r="H21" s="63"/>
      <c r="I21" s="63"/>
      <c r="J21" s="63"/>
      <c r="K21" s="63"/>
      <c r="L21" s="63"/>
      <c r="M21" s="63"/>
      <c r="N21" s="63"/>
      <c r="O21" s="63"/>
      <c r="P21" s="297">
        <f t="shared" si="0"/>
        <v>0</v>
      </c>
    </row>
    <row r="22" spans="1:16" ht="15.75" customHeight="1">
      <c r="A22" s="63"/>
      <c r="B22" s="63"/>
      <c r="C22" s="63"/>
      <c r="D22" s="297" t="s">
        <v>543</v>
      </c>
      <c r="E22" s="63"/>
      <c r="F22" s="63"/>
      <c r="G22" s="63"/>
      <c r="H22" s="63"/>
      <c r="I22" s="63"/>
      <c r="J22" s="63"/>
      <c r="K22" s="63"/>
      <c r="L22" s="63"/>
      <c r="M22" s="63">
        <v>11924</v>
      </c>
      <c r="N22" s="63"/>
      <c r="O22" s="63"/>
      <c r="P22" s="297">
        <f t="shared" si="0"/>
        <v>11924</v>
      </c>
    </row>
    <row r="23" spans="1:16" ht="15.75" customHeight="1">
      <c r="A23" s="63"/>
      <c r="B23" s="63"/>
      <c r="C23" s="63"/>
      <c r="D23" s="297" t="s">
        <v>546</v>
      </c>
      <c r="E23" s="63"/>
      <c r="F23" s="63">
        <v>24636</v>
      </c>
      <c r="G23" s="63"/>
      <c r="H23" s="63"/>
      <c r="I23" s="63"/>
      <c r="J23" s="63"/>
      <c r="K23" s="63"/>
      <c r="L23" s="63"/>
      <c r="M23" s="63"/>
      <c r="N23" s="63"/>
      <c r="O23" s="63"/>
      <c r="P23" s="297">
        <f t="shared" si="0"/>
        <v>24636</v>
      </c>
    </row>
    <row r="24" spans="1:16" ht="15.75" customHeight="1">
      <c r="A24" s="63"/>
      <c r="B24" s="63"/>
      <c r="C24" s="63"/>
      <c r="D24" s="297" t="s">
        <v>563</v>
      </c>
      <c r="E24" s="63"/>
      <c r="F24" s="63">
        <v>4265</v>
      </c>
      <c r="G24" s="63"/>
      <c r="H24" s="63"/>
      <c r="I24" s="63"/>
      <c r="J24" s="63"/>
      <c r="K24" s="63"/>
      <c r="L24" s="63"/>
      <c r="M24" s="63"/>
      <c r="N24" s="63"/>
      <c r="O24" s="63"/>
      <c r="P24" s="297">
        <f t="shared" si="0"/>
        <v>4265</v>
      </c>
    </row>
    <row r="25" spans="1:16" ht="15.75" customHeight="1">
      <c r="A25" s="63"/>
      <c r="B25" s="63"/>
      <c r="C25" s="63"/>
      <c r="D25" s="297" t="s">
        <v>562</v>
      </c>
      <c r="E25" s="63"/>
      <c r="F25" s="63">
        <v>21403</v>
      </c>
      <c r="G25" s="63"/>
      <c r="H25" s="63"/>
      <c r="I25" s="63"/>
      <c r="J25" s="63"/>
      <c r="K25" s="63"/>
      <c r="L25" s="63"/>
      <c r="M25" s="63"/>
      <c r="N25" s="63"/>
      <c r="O25" s="63"/>
      <c r="P25" s="297">
        <f t="shared" si="0"/>
        <v>21403</v>
      </c>
    </row>
    <row r="26" spans="1:16" ht="15.75" customHeight="1">
      <c r="A26" s="63"/>
      <c r="B26" s="63"/>
      <c r="C26" s="63"/>
      <c r="D26" s="297" t="s">
        <v>547</v>
      </c>
      <c r="E26" s="63"/>
      <c r="F26" s="63">
        <v>25258</v>
      </c>
      <c r="G26" s="63"/>
      <c r="H26" s="63"/>
      <c r="I26" s="63"/>
      <c r="J26" s="63"/>
      <c r="K26" s="63"/>
      <c r="L26" s="63"/>
      <c r="M26" s="63"/>
      <c r="N26" s="63"/>
      <c r="O26" s="63"/>
      <c r="P26" s="297">
        <f t="shared" si="0"/>
        <v>25258</v>
      </c>
    </row>
    <row r="27" spans="1:16" ht="15.75" customHeight="1">
      <c r="A27" s="63"/>
      <c r="B27" s="63"/>
      <c r="C27" s="63"/>
      <c r="D27" s="297" t="s">
        <v>132</v>
      </c>
      <c r="E27" s="63"/>
      <c r="F27" s="63"/>
      <c r="G27" s="63"/>
      <c r="H27" s="63"/>
      <c r="I27" s="63"/>
      <c r="J27" s="63"/>
      <c r="K27" s="63"/>
      <c r="L27" s="63"/>
      <c r="M27" s="63">
        <v>75000</v>
      </c>
      <c r="N27" s="63"/>
      <c r="O27" s="63"/>
      <c r="P27" s="297">
        <f t="shared" si="0"/>
        <v>75000</v>
      </c>
    </row>
    <row r="28" spans="1:16" ht="15.75" customHeight="1">
      <c r="A28" s="63"/>
      <c r="B28" s="63"/>
      <c r="C28" s="63"/>
      <c r="D28" s="297" t="s">
        <v>560</v>
      </c>
      <c r="E28" s="63"/>
      <c r="F28" s="63">
        <v>18387</v>
      </c>
      <c r="G28" s="63"/>
      <c r="H28" s="63"/>
      <c r="I28" s="63"/>
      <c r="J28" s="63"/>
      <c r="K28" s="63"/>
      <c r="L28" s="63"/>
      <c r="M28" s="63"/>
      <c r="N28" s="63"/>
      <c r="O28" s="63"/>
      <c r="P28" s="297">
        <f t="shared" si="0"/>
        <v>18387</v>
      </c>
    </row>
    <row r="29" spans="1:16" ht="15.75" customHeight="1">
      <c r="A29" s="63"/>
      <c r="B29" s="63"/>
      <c r="C29" s="63"/>
      <c r="D29" s="297" t="s">
        <v>564</v>
      </c>
      <c r="E29" s="63"/>
      <c r="F29" s="63">
        <v>25542</v>
      </c>
      <c r="G29" s="63"/>
      <c r="H29" s="63"/>
      <c r="I29" s="63"/>
      <c r="J29" s="63"/>
      <c r="K29" s="63"/>
      <c r="L29" s="63"/>
      <c r="M29" s="63"/>
      <c r="N29" s="63"/>
      <c r="O29" s="63"/>
      <c r="P29" s="297">
        <f t="shared" si="0"/>
        <v>25542</v>
      </c>
    </row>
    <row r="30" spans="1:16" ht="15.75" customHeight="1">
      <c r="A30" s="63"/>
      <c r="B30" s="63"/>
      <c r="C30" s="63"/>
      <c r="D30" s="297" t="s">
        <v>565</v>
      </c>
      <c r="E30" s="63"/>
      <c r="F30" s="63">
        <v>30000</v>
      </c>
      <c r="G30" s="63"/>
      <c r="H30" s="63"/>
      <c r="I30" s="63"/>
      <c r="J30" s="63"/>
      <c r="K30" s="63"/>
      <c r="L30" s="63"/>
      <c r="M30" s="63"/>
      <c r="N30" s="63"/>
      <c r="O30" s="63"/>
      <c r="P30" s="297">
        <f t="shared" si="0"/>
        <v>30000</v>
      </c>
    </row>
    <row r="31" spans="1:16" ht="15.75" customHeight="1">
      <c r="A31" s="63"/>
      <c r="B31" s="63"/>
      <c r="C31" s="63"/>
      <c r="D31" s="297" t="s">
        <v>527</v>
      </c>
      <c r="E31" s="63"/>
      <c r="F31" s="63"/>
      <c r="G31" s="63"/>
      <c r="H31" s="63"/>
      <c r="I31" s="63"/>
      <c r="J31" s="63"/>
      <c r="K31" s="63"/>
      <c r="L31" s="63">
        <v>45000</v>
      </c>
      <c r="M31" s="63"/>
      <c r="N31" s="63"/>
      <c r="O31" s="63"/>
      <c r="P31" s="297">
        <f t="shared" si="0"/>
        <v>45000</v>
      </c>
    </row>
    <row r="32" spans="1:16" ht="15.75" customHeight="1">
      <c r="A32" s="63"/>
      <c r="B32" s="63"/>
      <c r="C32" s="63"/>
      <c r="D32" s="297" t="s">
        <v>317</v>
      </c>
      <c r="E32" s="63"/>
      <c r="F32" s="63"/>
      <c r="G32" s="63"/>
      <c r="H32" s="63"/>
      <c r="I32" s="63"/>
      <c r="J32" s="63"/>
      <c r="K32" s="63"/>
      <c r="L32" s="63"/>
      <c r="M32" s="63"/>
      <c r="N32" s="63">
        <v>60000</v>
      </c>
      <c r="O32" s="63"/>
      <c r="P32" s="297">
        <f t="shared" si="0"/>
        <v>60000</v>
      </c>
    </row>
    <row r="33" spans="1:16" ht="15.75" customHeight="1">
      <c r="A33" s="63"/>
      <c r="B33" s="63"/>
      <c r="C33" s="63"/>
      <c r="D33" s="297" t="s">
        <v>285</v>
      </c>
      <c r="E33" s="63"/>
      <c r="F33" s="63"/>
      <c r="G33" s="63"/>
      <c r="H33" s="63"/>
      <c r="I33" s="63"/>
      <c r="J33" s="63"/>
      <c r="K33" s="63"/>
      <c r="L33" s="63"/>
      <c r="M33" s="63"/>
      <c r="N33" s="63"/>
      <c r="O33" s="63">
        <f>+'Split Up'!D16</f>
        <v>138645</v>
      </c>
      <c r="P33" s="297">
        <f t="shared" si="0"/>
        <v>138645</v>
      </c>
    </row>
    <row r="34" spans="1:16" ht="15.75" customHeight="1">
      <c r="A34" s="63"/>
      <c r="B34" s="63"/>
      <c r="C34" s="63"/>
      <c r="D34" s="297"/>
      <c r="E34" s="63"/>
      <c r="F34" s="63"/>
      <c r="G34" s="63"/>
      <c r="H34" s="63"/>
      <c r="I34" s="63"/>
      <c r="J34" s="63"/>
      <c r="K34" s="63"/>
      <c r="L34" s="63"/>
      <c r="M34" s="63"/>
      <c r="N34" s="63"/>
      <c r="O34" s="63"/>
      <c r="P34" s="297">
        <f t="shared" si="0"/>
        <v>0</v>
      </c>
    </row>
    <row r="35" spans="1:16" ht="15.75" customHeight="1">
      <c r="A35" s="63"/>
      <c r="B35" s="63"/>
      <c r="C35" s="63"/>
      <c r="D35" s="297"/>
      <c r="E35" s="63"/>
      <c r="F35" s="63"/>
      <c r="G35" s="63"/>
      <c r="H35" s="63"/>
      <c r="I35" s="63"/>
      <c r="J35" s="63"/>
      <c r="K35" s="63"/>
      <c r="L35" s="63"/>
      <c r="M35" s="63"/>
      <c r="N35" s="63"/>
      <c r="O35" s="63"/>
      <c r="P35" s="297"/>
    </row>
    <row r="36" spans="1:16" ht="15.75" customHeight="1">
      <c r="A36" s="63"/>
      <c r="B36" s="63"/>
      <c r="C36" s="63"/>
      <c r="D36" s="297" t="s">
        <v>32</v>
      </c>
      <c r="E36" s="297">
        <f t="shared" ref="E36:P36" si="2">SUM(E5:E35)</f>
        <v>121625</v>
      </c>
      <c r="F36" s="297" t="e">
        <f t="shared" si="2"/>
        <v>#REF!</v>
      </c>
      <c r="G36" s="297">
        <f t="shared" si="2"/>
        <v>40500</v>
      </c>
      <c r="H36" s="297">
        <f t="shared" si="2"/>
        <v>76033</v>
      </c>
      <c r="I36" s="297">
        <f t="shared" si="2"/>
        <v>0</v>
      </c>
      <c r="J36" s="297">
        <f t="shared" si="2"/>
        <v>0</v>
      </c>
      <c r="K36" s="297">
        <f t="shared" si="2"/>
        <v>261225</v>
      </c>
      <c r="L36" s="297">
        <f t="shared" si="2"/>
        <v>45000</v>
      </c>
      <c r="M36" s="297">
        <f t="shared" si="2"/>
        <v>86924</v>
      </c>
      <c r="N36" s="297">
        <f t="shared" si="2"/>
        <v>60000</v>
      </c>
      <c r="O36" s="297">
        <f t="shared" si="2"/>
        <v>138645</v>
      </c>
      <c r="P36" s="297" t="e">
        <f t="shared" si="2"/>
        <v>#REF!</v>
      </c>
    </row>
    <row r="37" spans="1:16" ht="15.75" customHeight="1">
      <c r="A37" s="63"/>
      <c r="B37" s="63"/>
      <c r="C37" s="63"/>
      <c r="D37" s="297"/>
      <c r="E37" s="63"/>
      <c r="F37" s="63"/>
      <c r="G37" s="63"/>
      <c r="H37" s="63"/>
      <c r="I37" s="63"/>
      <c r="J37" s="63"/>
      <c r="K37" s="63"/>
      <c r="L37" s="63"/>
      <c r="M37" s="63"/>
      <c r="N37" s="63"/>
      <c r="O37" s="63"/>
      <c r="P37" s="63"/>
    </row>
    <row r="38" spans="1:16" ht="15.75" customHeight="1">
      <c r="A38" s="63"/>
      <c r="B38" s="63"/>
      <c r="C38" s="63"/>
      <c r="D38" s="297" t="s">
        <v>522</v>
      </c>
      <c r="E38" s="63">
        <f t="shared" ref="E38:P38" si="3">E4-E36</f>
        <v>0</v>
      </c>
      <c r="F38" s="63" t="e">
        <f t="shared" si="3"/>
        <v>#REF!</v>
      </c>
      <c r="G38" s="63">
        <f t="shared" si="3"/>
        <v>0</v>
      </c>
      <c r="H38" s="63">
        <f t="shared" si="3"/>
        <v>0</v>
      </c>
      <c r="I38" s="63">
        <f t="shared" si="3"/>
        <v>0</v>
      </c>
      <c r="J38" s="63">
        <f t="shared" si="3"/>
        <v>0</v>
      </c>
      <c r="K38" s="63">
        <f t="shared" si="3"/>
        <v>0</v>
      </c>
      <c r="L38" s="63">
        <f t="shared" si="3"/>
        <v>0</v>
      </c>
      <c r="M38" s="63">
        <f t="shared" si="3"/>
        <v>0</v>
      </c>
      <c r="N38" s="63">
        <f t="shared" si="3"/>
        <v>6000</v>
      </c>
      <c r="O38" s="63">
        <f t="shared" si="3"/>
        <v>0</v>
      </c>
      <c r="P38" s="63" t="e">
        <f t="shared" si="3"/>
        <v>#REF!</v>
      </c>
    </row>
    <row r="39" spans="1:16" ht="15.75" customHeight="1">
      <c r="A39" s="63"/>
      <c r="B39" s="63"/>
      <c r="C39" s="63"/>
      <c r="D39" s="297"/>
      <c r="E39" s="63"/>
      <c r="F39" s="63"/>
      <c r="G39" s="63"/>
      <c r="H39" s="63"/>
      <c r="I39" s="63"/>
      <c r="J39" s="63"/>
      <c r="K39" s="63"/>
      <c r="L39" s="63"/>
      <c r="M39" s="63"/>
      <c r="N39" s="63"/>
      <c r="O39" s="63"/>
      <c r="P39" s="63"/>
    </row>
    <row r="40" spans="1:16" ht="15.75" customHeight="1">
      <c r="A40" s="63"/>
      <c r="B40" s="63"/>
      <c r="C40" s="63"/>
      <c r="D40" s="297"/>
      <c r="E40" s="63"/>
      <c r="F40" s="63"/>
      <c r="G40" s="63"/>
      <c r="H40" s="63"/>
      <c r="I40" s="63"/>
      <c r="J40" s="63"/>
      <c r="K40" s="63"/>
      <c r="L40" s="63"/>
      <c r="M40" s="63"/>
      <c r="N40" s="63"/>
      <c r="O40" s="63"/>
      <c r="P40" s="63"/>
    </row>
    <row r="41" spans="1:16" ht="15.75" customHeight="1">
      <c r="A41" s="63"/>
      <c r="B41" s="63"/>
      <c r="C41" s="63"/>
      <c r="D41" s="297" t="s">
        <v>201</v>
      </c>
      <c r="E41" s="63">
        <v>1962120</v>
      </c>
      <c r="F41" s="63">
        <f>10000+10000</f>
        <v>20000</v>
      </c>
      <c r="G41" s="63">
        <v>12581</v>
      </c>
      <c r="H41" s="63">
        <f t="shared" ref="H41:H44" si="4">E41-F41+G41</f>
        <v>1954701</v>
      </c>
      <c r="I41" s="63"/>
      <c r="J41" s="63"/>
      <c r="K41" s="63"/>
      <c r="L41" s="63"/>
      <c r="M41" s="63"/>
      <c r="N41" s="63"/>
      <c r="O41" s="63"/>
      <c r="P41" s="63"/>
    </row>
    <row r="42" spans="1:16" ht="15.75" customHeight="1">
      <c r="A42" s="63"/>
      <c r="B42" s="63"/>
      <c r="C42" s="63"/>
      <c r="D42" s="297" t="s">
        <v>548</v>
      </c>
      <c r="E42" s="63">
        <v>877178</v>
      </c>
      <c r="F42" s="63">
        <v>140007</v>
      </c>
      <c r="G42" s="63">
        <v>9194</v>
      </c>
      <c r="H42" s="63">
        <f t="shared" si="4"/>
        <v>746365</v>
      </c>
      <c r="I42" s="63"/>
      <c r="J42" s="63"/>
      <c r="K42" s="63"/>
      <c r="L42" s="63"/>
      <c r="M42" s="63"/>
      <c r="N42" s="63"/>
      <c r="O42" s="63"/>
      <c r="P42" s="63"/>
    </row>
    <row r="43" spans="1:16" ht="15.75" customHeight="1">
      <c r="A43" s="63"/>
      <c r="B43" s="63"/>
      <c r="C43" s="63"/>
      <c r="D43" s="297" t="s">
        <v>24</v>
      </c>
      <c r="E43" s="63">
        <v>15663</v>
      </c>
      <c r="F43" s="63"/>
      <c r="G43" s="63"/>
      <c r="H43" s="63">
        <f t="shared" si="4"/>
        <v>15663</v>
      </c>
      <c r="I43" s="63"/>
      <c r="J43" s="63"/>
      <c r="K43" s="63"/>
      <c r="L43" s="63"/>
      <c r="M43" s="63"/>
      <c r="N43" s="63"/>
      <c r="O43" s="63"/>
      <c r="P43" s="63"/>
    </row>
    <row r="44" spans="1:16" ht="15.75" customHeight="1">
      <c r="A44" s="63"/>
      <c r="B44" s="63"/>
      <c r="C44" s="63"/>
      <c r="D44" s="297" t="s">
        <v>20</v>
      </c>
      <c r="E44" s="63">
        <f>206981+79738+92187+140134</f>
        <v>519040</v>
      </c>
      <c r="F44" s="63">
        <f>13576+4404</f>
        <v>17980</v>
      </c>
      <c r="G44" s="63">
        <v>13733</v>
      </c>
      <c r="H44" s="63">
        <f t="shared" si="4"/>
        <v>514793</v>
      </c>
      <c r="I44" s="63"/>
      <c r="J44" s="63"/>
      <c r="K44" s="63"/>
      <c r="L44" s="63"/>
      <c r="M44" s="63"/>
      <c r="N44" s="63"/>
      <c r="O44" s="63"/>
      <c r="P44" s="63"/>
    </row>
    <row r="45" spans="1:16" ht="15.75" customHeight="1">
      <c r="A45" s="63"/>
      <c r="B45" s="63"/>
      <c r="C45" s="63"/>
      <c r="D45" s="297"/>
      <c r="E45" s="63"/>
      <c r="F45" s="63"/>
      <c r="G45" s="63"/>
      <c r="H45" s="63"/>
      <c r="I45" s="63"/>
      <c r="J45" s="63"/>
      <c r="K45" s="63"/>
      <c r="L45" s="63"/>
      <c r="M45" s="63"/>
      <c r="N45" s="63"/>
      <c r="O45" s="63"/>
      <c r="P45" s="63"/>
    </row>
    <row r="46" spans="1:16" ht="15.75" customHeight="1">
      <c r="A46" s="63"/>
      <c r="B46" s="63"/>
      <c r="C46" s="63"/>
      <c r="D46" s="297"/>
      <c r="E46" s="63"/>
      <c r="F46" s="63"/>
      <c r="G46" s="63"/>
      <c r="H46" s="63"/>
      <c r="I46" s="63"/>
      <c r="J46" s="63"/>
      <c r="K46" s="63"/>
      <c r="L46" s="63"/>
      <c r="M46" s="63"/>
      <c r="N46" s="63"/>
      <c r="O46" s="63"/>
      <c r="P46" s="63"/>
    </row>
    <row r="47" spans="1:16" ht="15.75" customHeight="1">
      <c r="A47" s="63"/>
      <c r="B47" s="63"/>
      <c r="C47" s="63"/>
      <c r="D47" s="297"/>
      <c r="E47" s="63"/>
      <c r="F47" s="63"/>
      <c r="G47" s="63"/>
      <c r="H47" s="63"/>
      <c r="I47" s="63"/>
      <c r="J47" s="63"/>
      <c r="K47" s="63"/>
      <c r="L47" s="63"/>
      <c r="M47" s="63"/>
      <c r="N47" s="63"/>
      <c r="O47" s="63"/>
      <c r="P47" s="63"/>
    </row>
    <row r="48" spans="1:16" ht="15.75" customHeight="1">
      <c r="A48" s="63"/>
      <c r="B48" s="63"/>
      <c r="C48" s="63"/>
      <c r="D48" s="297"/>
      <c r="E48" s="63"/>
      <c r="F48" s="63"/>
      <c r="G48" s="63"/>
      <c r="H48" s="63"/>
      <c r="I48" s="63"/>
      <c r="J48" s="63"/>
      <c r="K48" s="63"/>
      <c r="L48" s="63"/>
      <c r="M48" s="63"/>
      <c r="N48" s="63"/>
      <c r="O48" s="63"/>
      <c r="P48" s="63"/>
    </row>
    <row r="49" spans="1:16" ht="15.75" customHeight="1">
      <c r="A49" s="63"/>
      <c r="B49" s="63"/>
      <c r="C49" s="63"/>
      <c r="D49" s="297"/>
      <c r="E49" s="63"/>
      <c r="F49" s="63"/>
      <c r="G49" s="63"/>
      <c r="H49" s="63"/>
      <c r="I49" s="63"/>
      <c r="J49" s="63"/>
      <c r="K49" s="63"/>
      <c r="L49" s="63"/>
      <c r="M49" s="63"/>
      <c r="N49" s="63"/>
      <c r="O49" s="63"/>
      <c r="P49" s="63"/>
    </row>
    <row r="50" spans="1:16" ht="15.75" customHeight="1">
      <c r="A50" s="63"/>
      <c r="B50" s="63"/>
      <c r="C50" s="63"/>
      <c r="D50" s="297"/>
      <c r="E50" s="63"/>
      <c r="F50" s="63"/>
      <c r="G50" s="63"/>
      <c r="H50" s="63"/>
      <c r="I50" s="63"/>
      <c r="J50" s="63"/>
      <c r="K50" s="63"/>
      <c r="L50" s="63"/>
      <c r="M50" s="63"/>
      <c r="N50" s="63"/>
      <c r="O50" s="63"/>
      <c r="P50" s="63"/>
    </row>
    <row r="51" spans="1:16" ht="15.75" customHeight="1">
      <c r="A51" s="63"/>
      <c r="B51" s="63"/>
      <c r="C51" s="63"/>
      <c r="D51" s="297"/>
      <c r="E51" s="63"/>
      <c r="F51" s="63"/>
      <c r="G51" s="63"/>
      <c r="H51" s="63"/>
      <c r="I51" s="63"/>
      <c r="J51" s="63"/>
      <c r="K51" s="63"/>
      <c r="L51" s="63"/>
      <c r="M51" s="63"/>
      <c r="N51" s="63"/>
      <c r="O51" s="63"/>
      <c r="P51" s="63"/>
    </row>
    <row r="52" spans="1:16" ht="15.75" customHeight="1">
      <c r="A52" s="63"/>
      <c r="B52" s="63"/>
      <c r="C52" s="63"/>
      <c r="D52" s="297"/>
      <c r="E52" s="63"/>
      <c r="F52" s="63"/>
      <c r="G52" s="63"/>
      <c r="H52" s="63"/>
      <c r="I52" s="63"/>
      <c r="J52" s="63"/>
      <c r="K52" s="63"/>
      <c r="L52" s="63"/>
      <c r="M52" s="63"/>
      <c r="N52" s="63"/>
      <c r="O52" s="63"/>
      <c r="P52" s="63"/>
    </row>
    <row r="53" spans="1:16" ht="15.75" customHeight="1">
      <c r="A53" s="63"/>
      <c r="B53" s="63"/>
      <c r="C53" s="63"/>
      <c r="D53" s="297"/>
      <c r="E53" s="63"/>
      <c r="F53" s="63"/>
      <c r="G53" s="63"/>
      <c r="H53" s="63"/>
      <c r="I53" s="63"/>
      <c r="J53" s="63"/>
      <c r="K53" s="63"/>
      <c r="L53" s="63"/>
      <c r="M53" s="63"/>
      <c r="N53" s="63"/>
      <c r="O53" s="63"/>
      <c r="P53" s="63"/>
    </row>
    <row r="54" spans="1:16" ht="15.75" customHeight="1">
      <c r="A54" s="63"/>
      <c r="B54" s="63"/>
      <c r="C54" s="63"/>
      <c r="D54" s="297"/>
      <c r="E54" s="63"/>
      <c r="F54" s="63"/>
      <c r="G54" s="63"/>
      <c r="H54" s="63"/>
      <c r="I54" s="63"/>
      <c r="J54" s="63"/>
      <c r="K54" s="63"/>
      <c r="L54" s="63"/>
      <c r="M54" s="63"/>
      <c r="N54" s="63"/>
      <c r="O54" s="63"/>
      <c r="P54" s="63"/>
    </row>
    <row r="55" spans="1:16" ht="15.75" customHeight="1">
      <c r="A55" s="63"/>
      <c r="B55" s="63"/>
      <c r="C55" s="63"/>
      <c r="D55" s="297"/>
      <c r="E55" s="63"/>
      <c r="F55" s="63"/>
      <c r="G55" s="63"/>
      <c r="H55" s="63"/>
      <c r="I55" s="63"/>
      <c r="J55" s="63"/>
      <c r="K55" s="63"/>
      <c r="L55" s="63"/>
      <c r="M55" s="63"/>
      <c r="N55" s="63"/>
      <c r="O55" s="63"/>
      <c r="P55" s="63"/>
    </row>
    <row r="56" spans="1:16" ht="15.75" customHeight="1">
      <c r="A56" s="63"/>
      <c r="B56" s="63"/>
      <c r="C56" s="63"/>
      <c r="D56" s="297"/>
      <c r="E56" s="63"/>
      <c r="F56" s="63"/>
      <c r="G56" s="63"/>
      <c r="H56" s="63"/>
      <c r="I56" s="63"/>
      <c r="J56" s="63"/>
      <c r="K56" s="63"/>
      <c r="L56" s="63"/>
      <c r="M56" s="63"/>
      <c r="N56" s="63"/>
      <c r="O56" s="63"/>
      <c r="P56" s="63"/>
    </row>
    <row r="57" spans="1:16" ht="15.75" customHeight="1">
      <c r="A57" s="63"/>
      <c r="B57" s="63"/>
      <c r="C57" s="63"/>
      <c r="D57" s="297"/>
      <c r="E57" s="63"/>
      <c r="F57" s="63"/>
      <c r="G57" s="63"/>
      <c r="H57" s="63"/>
      <c r="I57" s="63"/>
      <c r="J57" s="63"/>
      <c r="K57" s="63"/>
      <c r="L57" s="63"/>
      <c r="M57" s="63"/>
      <c r="N57" s="63"/>
      <c r="O57" s="63"/>
      <c r="P57" s="63"/>
    </row>
    <row r="58" spans="1:16" ht="15.75" customHeight="1">
      <c r="A58" s="63"/>
      <c r="B58" s="63"/>
      <c r="C58" s="63"/>
      <c r="D58" s="297"/>
      <c r="E58" s="63"/>
      <c r="F58" s="63"/>
      <c r="G58" s="63"/>
      <c r="H58" s="63"/>
      <c r="I58" s="63"/>
      <c r="J58" s="63"/>
      <c r="K58" s="63"/>
      <c r="L58" s="63"/>
      <c r="M58" s="63"/>
      <c r="N58" s="63"/>
      <c r="O58" s="63"/>
      <c r="P58" s="63"/>
    </row>
    <row r="59" spans="1:16" ht="15.75" customHeight="1">
      <c r="A59" s="63"/>
      <c r="B59" s="63"/>
      <c r="C59" s="63"/>
      <c r="D59" s="297"/>
      <c r="E59" s="63"/>
      <c r="F59" s="63"/>
      <c r="G59" s="63"/>
      <c r="H59" s="63"/>
      <c r="I59" s="63"/>
      <c r="J59" s="63"/>
      <c r="K59" s="63"/>
      <c r="L59" s="63"/>
      <c r="M59" s="63"/>
      <c r="N59" s="63"/>
      <c r="O59" s="63"/>
      <c r="P59" s="63"/>
    </row>
    <row r="60" spans="1:16" ht="15.75" customHeight="1">
      <c r="A60" s="63"/>
      <c r="B60" s="63"/>
      <c r="C60" s="63"/>
      <c r="D60" s="297"/>
      <c r="E60" s="63"/>
      <c r="F60" s="63"/>
      <c r="G60" s="63"/>
      <c r="H60" s="63"/>
      <c r="I60" s="63"/>
      <c r="J60" s="63"/>
      <c r="K60" s="63"/>
      <c r="L60" s="63"/>
      <c r="M60" s="63"/>
      <c r="N60" s="63"/>
      <c r="O60" s="63"/>
      <c r="P60" s="63"/>
    </row>
    <row r="61" spans="1:16" ht="15.75" customHeight="1">
      <c r="A61" s="63"/>
      <c r="B61" s="63"/>
      <c r="C61" s="63"/>
      <c r="D61" s="297"/>
      <c r="E61" s="63"/>
      <c r="F61" s="63"/>
      <c r="G61" s="63"/>
      <c r="H61" s="63"/>
      <c r="I61" s="63"/>
      <c r="J61" s="63"/>
      <c r="K61" s="63"/>
      <c r="L61" s="63"/>
      <c r="M61" s="63"/>
      <c r="N61" s="63"/>
      <c r="O61" s="63"/>
      <c r="P61" s="63"/>
    </row>
    <row r="62" spans="1:16" ht="15.75" customHeight="1">
      <c r="A62" s="63"/>
      <c r="B62" s="63"/>
      <c r="C62" s="63"/>
      <c r="D62" s="297"/>
      <c r="E62" s="63"/>
      <c r="F62" s="63"/>
      <c r="G62" s="63"/>
      <c r="H62" s="63"/>
      <c r="I62" s="63"/>
      <c r="J62" s="63"/>
      <c r="K62" s="63"/>
      <c r="L62" s="63"/>
      <c r="M62" s="63"/>
      <c r="N62" s="63"/>
      <c r="O62" s="63"/>
      <c r="P62" s="63"/>
    </row>
    <row r="63" spans="1:16" ht="15.75" customHeight="1">
      <c r="A63" s="63"/>
      <c r="B63" s="63"/>
      <c r="C63" s="63"/>
      <c r="D63" s="297"/>
      <c r="E63" s="63"/>
      <c r="F63" s="63"/>
      <c r="G63" s="63"/>
      <c r="H63" s="63"/>
      <c r="I63" s="63"/>
      <c r="J63" s="63"/>
      <c r="K63" s="63"/>
      <c r="L63" s="63"/>
      <c r="M63" s="63"/>
      <c r="N63" s="63"/>
      <c r="O63" s="63"/>
      <c r="P63" s="63"/>
    </row>
    <row r="64" spans="1:16" ht="15.75" customHeight="1">
      <c r="A64" s="63"/>
      <c r="B64" s="63"/>
      <c r="C64" s="63"/>
      <c r="D64" s="297"/>
      <c r="E64" s="63"/>
      <c r="F64" s="63"/>
      <c r="G64" s="63"/>
      <c r="H64" s="63"/>
      <c r="I64" s="63"/>
      <c r="J64" s="63"/>
      <c r="K64" s="63"/>
      <c r="L64" s="63"/>
      <c r="M64" s="63"/>
      <c r="N64" s="63"/>
      <c r="O64" s="63"/>
      <c r="P64" s="63"/>
    </row>
    <row r="65" spans="1:16" ht="15.75" customHeight="1">
      <c r="A65" s="63"/>
      <c r="B65" s="63"/>
      <c r="C65" s="63"/>
      <c r="D65" s="297"/>
      <c r="E65" s="63"/>
      <c r="F65" s="63"/>
      <c r="G65" s="63"/>
      <c r="H65" s="63"/>
      <c r="I65" s="63"/>
      <c r="J65" s="63"/>
      <c r="K65" s="63"/>
      <c r="L65" s="63"/>
      <c r="M65" s="63"/>
      <c r="N65" s="63"/>
      <c r="O65" s="63"/>
      <c r="P65" s="63"/>
    </row>
    <row r="66" spans="1:16" ht="15.75" customHeight="1">
      <c r="A66" s="63"/>
      <c r="B66" s="63"/>
      <c r="C66" s="63"/>
      <c r="D66" s="297"/>
      <c r="E66" s="63"/>
      <c r="F66" s="63"/>
      <c r="G66" s="63"/>
      <c r="H66" s="63"/>
      <c r="I66" s="63"/>
      <c r="J66" s="63"/>
      <c r="K66" s="63"/>
      <c r="L66" s="63"/>
      <c r="M66" s="63"/>
      <c r="N66" s="63"/>
      <c r="O66" s="63"/>
      <c r="P66" s="63"/>
    </row>
    <row r="67" spans="1:16" ht="15.75" customHeight="1">
      <c r="A67" s="63"/>
      <c r="B67" s="63"/>
      <c r="C67" s="63"/>
      <c r="D67" s="297"/>
      <c r="E67" s="63"/>
      <c r="F67" s="63"/>
      <c r="G67" s="63"/>
      <c r="H67" s="63"/>
      <c r="I67" s="63"/>
      <c r="J67" s="63"/>
      <c r="K67" s="63"/>
      <c r="L67" s="63"/>
      <c r="M67" s="63"/>
      <c r="N67" s="63"/>
      <c r="O67" s="63"/>
      <c r="P67" s="63"/>
    </row>
    <row r="68" spans="1:16" ht="15.75" customHeight="1">
      <c r="A68" s="63"/>
      <c r="B68" s="63"/>
      <c r="C68" s="63"/>
      <c r="D68" s="297"/>
      <c r="E68" s="63"/>
      <c r="F68" s="63"/>
      <c r="G68" s="63"/>
      <c r="H68" s="63"/>
      <c r="I68" s="63"/>
      <c r="J68" s="63"/>
      <c r="K68" s="63"/>
      <c r="L68" s="63"/>
      <c r="M68" s="63"/>
      <c r="N68" s="63"/>
      <c r="O68" s="63"/>
      <c r="P68" s="63"/>
    </row>
    <row r="69" spans="1:16" ht="15.75" customHeight="1">
      <c r="A69" s="63"/>
      <c r="B69" s="63"/>
      <c r="C69" s="63"/>
      <c r="D69" s="297"/>
      <c r="E69" s="63"/>
      <c r="F69" s="63"/>
      <c r="G69" s="63"/>
      <c r="H69" s="63"/>
      <c r="I69" s="63"/>
      <c r="J69" s="63"/>
      <c r="K69" s="63"/>
      <c r="L69" s="63"/>
      <c r="M69" s="63"/>
      <c r="N69" s="63"/>
      <c r="O69" s="63"/>
      <c r="P69" s="63"/>
    </row>
    <row r="70" spans="1:16" ht="15.75" customHeight="1">
      <c r="A70" s="63"/>
      <c r="B70" s="63"/>
      <c r="C70" s="63"/>
      <c r="D70" s="297"/>
      <c r="E70" s="63"/>
      <c r="F70" s="63"/>
      <c r="G70" s="63"/>
      <c r="H70" s="63"/>
      <c r="I70" s="63"/>
      <c r="J70" s="63"/>
      <c r="K70" s="63"/>
      <c r="L70" s="63"/>
      <c r="M70" s="63"/>
      <c r="N70" s="63"/>
      <c r="O70" s="63"/>
      <c r="P70" s="63"/>
    </row>
    <row r="71" spans="1:16" ht="15.75" customHeight="1">
      <c r="A71" s="63"/>
      <c r="B71" s="63"/>
      <c r="C71" s="63"/>
      <c r="D71" s="297"/>
      <c r="E71" s="63"/>
      <c r="F71" s="63"/>
      <c r="G71" s="63"/>
      <c r="H71" s="63"/>
      <c r="I71" s="63"/>
      <c r="J71" s="63"/>
      <c r="K71" s="63"/>
      <c r="L71" s="63"/>
      <c r="M71" s="63"/>
      <c r="N71" s="63"/>
      <c r="O71" s="63"/>
      <c r="P71" s="63"/>
    </row>
    <row r="72" spans="1:16" ht="15.75" customHeight="1">
      <c r="A72" s="63"/>
      <c r="B72" s="63"/>
      <c r="C72" s="63"/>
      <c r="D72" s="297"/>
      <c r="E72" s="63"/>
      <c r="F72" s="63"/>
      <c r="G72" s="63"/>
      <c r="H72" s="63"/>
      <c r="I72" s="63"/>
      <c r="J72" s="63"/>
      <c r="K72" s="63"/>
      <c r="L72" s="63"/>
      <c r="M72" s="63"/>
      <c r="N72" s="63"/>
      <c r="O72" s="63"/>
      <c r="P72" s="63"/>
    </row>
    <row r="73" spans="1:16" ht="15.75" customHeight="1">
      <c r="A73" s="63"/>
      <c r="B73" s="63"/>
      <c r="C73" s="63"/>
      <c r="D73" s="297"/>
      <c r="E73" s="63"/>
      <c r="F73" s="63"/>
      <c r="G73" s="63"/>
      <c r="H73" s="63"/>
      <c r="I73" s="63"/>
      <c r="J73" s="63"/>
      <c r="K73" s="63"/>
      <c r="L73" s="63"/>
      <c r="M73" s="63"/>
      <c r="N73" s="63"/>
      <c r="O73" s="63"/>
      <c r="P73" s="63"/>
    </row>
    <row r="74" spans="1:16" ht="15.75" customHeight="1">
      <c r="A74" s="63"/>
      <c r="B74" s="63"/>
      <c r="C74" s="63"/>
      <c r="D74" s="297"/>
      <c r="E74" s="63"/>
      <c r="F74" s="63"/>
      <c r="G74" s="63"/>
      <c r="H74" s="63"/>
      <c r="I74" s="63"/>
      <c r="J74" s="63"/>
      <c r="K74" s="63"/>
      <c r="L74" s="63"/>
      <c r="M74" s="63"/>
      <c r="N74" s="63"/>
      <c r="O74" s="63"/>
      <c r="P74" s="63"/>
    </row>
    <row r="75" spans="1:16" ht="15.75" customHeight="1">
      <c r="A75" s="63"/>
      <c r="B75" s="63"/>
      <c r="C75" s="63"/>
      <c r="D75" s="297"/>
      <c r="E75" s="63"/>
      <c r="F75" s="63"/>
      <c r="G75" s="63"/>
      <c r="H75" s="63"/>
      <c r="I75" s="63"/>
      <c r="J75" s="63"/>
      <c r="K75" s="63"/>
      <c r="L75" s="63"/>
      <c r="M75" s="63"/>
      <c r="N75" s="63"/>
      <c r="O75" s="63"/>
      <c r="P75" s="63"/>
    </row>
    <row r="76" spans="1:16" ht="15.75" customHeight="1">
      <c r="A76" s="63"/>
      <c r="B76" s="63"/>
      <c r="C76" s="63"/>
      <c r="D76" s="297"/>
      <c r="E76" s="63"/>
      <c r="F76" s="63"/>
      <c r="G76" s="63"/>
      <c r="H76" s="63"/>
      <c r="I76" s="63"/>
      <c r="J76" s="63"/>
      <c r="K76" s="63"/>
      <c r="L76" s="63"/>
      <c r="M76" s="63"/>
      <c r="N76" s="63"/>
      <c r="O76" s="63"/>
      <c r="P76" s="63"/>
    </row>
    <row r="77" spans="1:16" ht="15.75" customHeight="1">
      <c r="A77" s="63"/>
      <c r="B77" s="63"/>
      <c r="C77" s="63"/>
      <c r="D77" s="297"/>
      <c r="E77" s="63"/>
      <c r="F77" s="63"/>
      <c r="G77" s="63"/>
      <c r="H77" s="63"/>
      <c r="I77" s="63"/>
      <c r="J77" s="63"/>
      <c r="K77" s="63"/>
      <c r="L77" s="63"/>
      <c r="M77" s="63"/>
      <c r="N77" s="63"/>
      <c r="O77" s="63"/>
      <c r="P77" s="63"/>
    </row>
    <row r="78" spans="1:16" ht="15.75" customHeight="1">
      <c r="A78" s="63"/>
      <c r="B78" s="63"/>
      <c r="C78" s="63"/>
      <c r="D78" s="297"/>
      <c r="E78" s="63"/>
      <c r="F78" s="63"/>
      <c r="G78" s="63"/>
      <c r="H78" s="63"/>
      <c r="I78" s="63"/>
      <c r="J78" s="63"/>
      <c r="K78" s="63"/>
      <c r="L78" s="63"/>
      <c r="M78" s="63"/>
      <c r="N78" s="63"/>
      <c r="O78" s="63"/>
      <c r="P78" s="63"/>
    </row>
    <row r="79" spans="1:16" ht="15.75" customHeight="1">
      <c r="A79" s="63"/>
      <c r="B79" s="63"/>
      <c r="C79" s="63"/>
      <c r="D79" s="297"/>
      <c r="E79" s="63"/>
      <c r="F79" s="63"/>
      <c r="G79" s="63"/>
      <c r="H79" s="63"/>
      <c r="I79" s="63"/>
      <c r="J79" s="63"/>
      <c r="K79" s="63"/>
      <c r="L79" s="63"/>
      <c r="M79" s="63"/>
      <c r="N79" s="63"/>
      <c r="O79" s="63"/>
      <c r="P79" s="63"/>
    </row>
    <row r="80" spans="1:16" ht="15.75" customHeight="1">
      <c r="A80" s="63"/>
      <c r="B80" s="63"/>
      <c r="C80" s="63"/>
      <c r="D80" s="297"/>
      <c r="E80" s="63"/>
      <c r="F80" s="63"/>
      <c r="G80" s="63"/>
      <c r="H80" s="63"/>
      <c r="I80" s="63"/>
      <c r="J80" s="63"/>
      <c r="K80" s="63"/>
      <c r="L80" s="63"/>
      <c r="M80" s="63"/>
      <c r="N80" s="63"/>
      <c r="O80" s="63"/>
      <c r="P80" s="63"/>
    </row>
    <row r="81" spans="1:16" ht="15.75" customHeight="1">
      <c r="A81" s="63"/>
      <c r="B81" s="63"/>
      <c r="C81" s="63"/>
      <c r="D81" s="297"/>
      <c r="E81" s="63"/>
      <c r="F81" s="63"/>
      <c r="G81" s="63"/>
      <c r="H81" s="63"/>
      <c r="I81" s="63"/>
      <c r="J81" s="63"/>
      <c r="K81" s="63"/>
      <c r="L81" s="63"/>
      <c r="M81" s="63"/>
      <c r="N81" s="63"/>
      <c r="O81" s="63"/>
      <c r="P81" s="63"/>
    </row>
    <row r="82" spans="1:16" ht="15.75" customHeight="1">
      <c r="A82" s="63"/>
      <c r="B82" s="63"/>
      <c r="C82" s="63"/>
      <c r="D82" s="297"/>
      <c r="E82" s="63"/>
      <c r="F82" s="63"/>
      <c r="G82" s="63"/>
      <c r="H82" s="63"/>
      <c r="I82" s="63"/>
      <c r="J82" s="63"/>
      <c r="K82" s="63"/>
      <c r="L82" s="63"/>
      <c r="M82" s="63"/>
      <c r="N82" s="63"/>
      <c r="O82" s="63"/>
      <c r="P82" s="63"/>
    </row>
    <row r="83" spans="1:16" ht="15.75" customHeight="1">
      <c r="A83" s="63"/>
      <c r="B83" s="63"/>
      <c r="C83" s="63"/>
      <c r="D83" s="297"/>
      <c r="E83" s="63"/>
      <c r="F83" s="63"/>
      <c r="G83" s="63"/>
      <c r="H83" s="63"/>
      <c r="I83" s="63"/>
      <c r="J83" s="63"/>
      <c r="K83" s="63"/>
      <c r="L83" s="63"/>
      <c r="M83" s="63"/>
      <c r="N83" s="63"/>
      <c r="O83" s="63"/>
      <c r="P83" s="63"/>
    </row>
    <row r="84" spans="1:16" ht="15.75" customHeight="1">
      <c r="A84" s="63"/>
      <c r="B84" s="63"/>
      <c r="C84" s="63"/>
      <c r="D84" s="297"/>
      <c r="E84" s="63"/>
      <c r="F84" s="63"/>
      <c r="G84" s="63"/>
      <c r="H84" s="63"/>
      <c r="I84" s="63"/>
      <c r="J84" s="63"/>
      <c r="K84" s="63"/>
      <c r="L84" s="63"/>
      <c r="M84" s="63"/>
      <c r="N84" s="63"/>
      <c r="O84" s="63"/>
      <c r="P84" s="63"/>
    </row>
    <row r="85" spans="1:16" ht="15.75" customHeight="1">
      <c r="A85" s="63"/>
      <c r="B85" s="63"/>
      <c r="C85" s="63"/>
      <c r="D85" s="297"/>
      <c r="E85" s="63"/>
      <c r="F85" s="63"/>
      <c r="G85" s="63"/>
      <c r="H85" s="63"/>
      <c r="I85" s="63"/>
      <c r="J85" s="63"/>
      <c r="K85" s="63"/>
      <c r="L85" s="63"/>
      <c r="M85" s="63"/>
      <c r="N85" s="63"/>
      <c r="O85" s="63"/>
      <c r="P85" s="63"/>
    </row>
    <row r="86" spans="1:16" ht="15.75" customHeight="1">
      <c r="A86" s="63"/>
      <c r="B86" s="63"/>
      <c r="C86" s="63"/>
      <c r="D86" s="297"/>
      <c r="E86" s="63"/>
      <c r="F86" s="63"/>
      <c r="G86" s="63"/>
      <c r="H86" s="63"/>
      <c r="I86" s="63"/>
      <c r="J86" s="63"/>
      <c r="K86" s="63"/>
      <c r="L86" s="63"/>
      <c r="M86" s="63"/>
      <c r="N86" s="63"/>
      <c r="O86" s="63"/>
      <c r="P86" s="63"/>
    </row>
    <row r="87" spans="1:16" ht="15.75" customHeight="1">
      <c r="A87" s="63"/>
      <c r="B87" s="63"/>
      <c r="C87" s="63"/>
      <c r="D87" s="297"/>
      <c r="E87" s="63"/>
      <c r="F87" s="63"/>
      <c r="G87" s="63"/>
      <c r="H87" s="63"/>
      <c r="I87" s="63"/>
      <c r="J87" s="63"/>
      <c r="K87" s="63"/>
      <c r="L87" s="63"/>
      <c r="M87" s="63"/>
      <c r="N87" s="63"/>
      <c r="O87" s="63"/>
      <c r="P87" s="63"/>
    </row>
    <row r="88" spans="1:16" ht="15.75" customHeight="1">
      <c r="A88" s="63"/>
      <c r="B88" s="63"/>
      <c r="C88" s="63"/>
      <c r="D88" s="297"/>
      <c r="E88" s="63"/>
      <c r="F88" s="63"/>
      <c r="G88" s="63"/>
      <c r="H88" s="63"/>
      <c r="I88" s="63"/>
      <c r="J88" s="63"/>
      <c r="K88" s="63"/>
      <c r="L88" s="63"/>
      <c r="M88" s="63"/>
      <c r="N88" s="63"/>
      <c r="O88" s="63"/>
      <c r="P88" s="63"/>
    </row>
    <row r="89" spans="1:16" ht="15.75" customHeight="1">
      <c r="A89" s="63"/>
      <c r="B89" s="63"/>
      <c r="C89" s="63"/>
      <c r="D89" s="297"/>
      <c r="E89" s="63"/>
      <c r="F89" s="63"/>
      <c r="G89" s="63"/>
      <c r="H89" s="63"/>
      <c r="I89" s="63"/>
      <c r="J89" s="63"/>
      <c r="K89" s="63"/>
      <c r="L89" s="63"/>
      <c r="M89" s="63"/>
      <c r="N89" s="63"/>
      <c r="O89" s="63"/>
      <c r="P89" s="63"/>
    </row>
    <row r="90" spans="1:16" ht="15.75" customHeight="1">
      <c r="A90" s="63"/>
      <c r="B90" s="63"/>
      <c r="C90" s="63"/>
      <c r="D90" s="297"/>
      <c r="E90" s="63"/>
      <c r="F90" s="63"/>
      <c r="G90" s="63"/>
      <c r="H90" s="63"/>
      <c r="I90" s="63"/>
      <c r="J90" s="63"/>
      <c r="K90" s="63"/>
      <c r="L90" s="63"/>
      <c r="M90" s="63"/>
      <c r="N90" s="63"/>
      <c r="O90" s="63"/>
      <c r="P90" s="63"/>
    </row>
    <row r="91" spans="1:16" ht="15.75" customHeight="1">
      <c r="A91" s="63"/>
      <c r="B91" s="63"/>
      <c r="C91" s="63"/>
      <c r="D91" s="297"/>
      <c r="E91" s="63"/>
      <c r="F91" s="63"/>
      <c r="G91" s="63"/>
      <c r="H91" s="63"/>
      <c r="I91" s="63"/>
      <c r="J91" s="63"/>
      <c r="K91" s="63"/>
      <c r="L91" s="63"/>
      <c r="M91" s="63"/>
      <c r="N91" s="63"/>
      <c r="O91" s="63"/>
      <c r="P91" s="63"/>
    </row>
    <row r="92" spans="1:16" ht="15.75" customHeight="1">
      <c r="A92" s="63"/>
      <c r="B92" s="63"/>
      <c r="C92" s="63"/>
      <c r="D92" s="297"/>
      <c r="E92" s="63"/>
      <c r="F92" s="63"/>
      <c r="G92" s="63"/>
      <c r="H92" s="63"/>
      <c r="I92" s="63"/>
      <c r="J92" s="63"/>
      <c r="K92" s="63"/>
      <c r="L92" s="63"/>
      <c r="M92" s="63"/>
      <c r="N92" s="63"/>
      <c r="O92" s="63"/>
      <c r="P92" s="63"/>
    </row>
    <row r="93" spans="1:16" ht="15.75" customHeight="1">
      <c r="A93" s="63"/>
      <c r="B93" s="63"/>
      <c r="C93" s="63"/>
      <c r="D93" s="297"/>
      <c r="E93" s="63"/>
      <c r="F93" s="63"/>
      <c r="G93" s="63"/>
      <c r="H93" s="63"/>
      <c r="I93" s="63"/>
      <c r="J93" s="63"/>
      <c r="K93" s="63"/>
      <c r="L93" s="63"/>
      <c r="M93" s="63"/>
      <c r="N93" s="63"/>
      <c r="O93" s="63"/>
      <c r="P93" s="63"/>
    </row>
    <row r="94" spans="1:16" ht="15.75" customHeight="1">
      <c r="A94" s="63"/>
      <c r="B94" s="63"/>
      <c r="C94" s="63"/>
      <c r="D94" s="297"/>
      <c r="E94" s="63"/>
      <c r="F94" s="63"/>
      <c r="G94" s="63"/>
      <c r="H94" s="63"/>
      <c r="I94" s="63"/>
      <c r="J94" s="63"/>
      <c r="K94" s="63"/>
      <c r="L94" s="63"/>
      <c r="M94" s="63"/>
      <c r="N94" s="63"/>
      <c r="O94" s="63"/>
      <c r="P94" s="63"/>
    </row>
    <row r="95" spans="1:16" ht="15.75" customHeight="1">
      <c r="A95" s="63"/>
      <c r="B95" s="63"/>
      <c r="C95" s="63"/>
      <c r="D95" s="297"/>
      <c r="E95" s="63"/>
      <c r="F95" s="63"/>
      <c r="G95" s="63"/>
      <c r="H95" s="63"/>
      <c r="I95" s="63"/>
      <c r="J95" s="63"/>
      <c r="K95" s="63"/>
      <c r="L95" s="63"/>
      <c r="M95" s="63"/>
      <c r="N95" s="63"/>
      <c r="O95" s="63"/>
      <c r="P95" s="63"/>
    </row>
    <row r="96" spans="1:16" ht="15.75" customHeight="1">
      <c r="A96" s="63"/>
      <c r="B96" s="63"/>
      <c r="C96" s="63"/>
      <c r="D96" s="297"/>
      <c r="E96" s="63"/>
      <c r="F96" s="63"/>
      <c r="G96" s="63"/>
      <c r="H96" s="63"/>
      <c r="I96" s="63"/>
      <c r="J96" s="63"/>
      <c r="K96" s="63"/>
      <c r="L96" s="63"/>
      <c r="M96" s="63"/>
      <c r="N96" s="63"/>
      <c r="O96" s="63"/>
      <c r="P96" s="63"/>
    </row>
    <row r="97" spans="1:16" ht="15.75" customHeight="1">
      <c r="A97" s="63"/>
      <c r="B97" s="63"/>
      <c r="C97" s="63"/>
      <c r="D97" s="297"/>
      <c r="E97" s="63"/>
      <c r="F97" s="63"/>
      <c r="G97" s="63"/>
      <c r="H97" s="63"/>
      <c r="I97" s="63"/>
      <c r="J97" s="63"/>
      <c r="K97" s="63"/>
      <c r="L97" s="63"/>
      <c r="M97" s="63"/>
      <c r="N97" s="63"/>
      <c r="O97" s="63"/>
      <c r="P97" s="63"/>
    </row>
    <row r="98" spans="1:16" ht="15.75" customHeight="1">
      <c r="A98" s="63"/>
      <c r="B98" s="63"/>
      <c r="C98" s="63"/>
      <c r="D98" s="297"/>
      <c r="E98" s="63"/>
      <c r="F98" s="63"/>
      <c r="G98" s="63"/>
      <c r="H98" s="63"/>
      <c r="I98" s="63"/>
      <c r="J98" s="63"/>
      <c r="K98" s="63"/>
      <c r="L98" s="63"/>
      <c r="M98" s="63"/>
      <c r="N98" s="63"/>
      <c r="O98" s="63"/>
      <c r="P98" s="63"/>
    </row>
    <row r="99" spans="1:16" ht="15.75" customHeight="1">
      <c r="A99" s="63"/>
      <c r="B99" s="63"/>
      <c r="C99" s="63"/>
      <c r="D99" s="297"/>
      <c r="E99" s="63"/>
      <c r="F99" s="63"/>
      <c r="G99" s="63"/>
      <c r="H99" s="63"/>
      <c r="I99" s="63"/>
      <c r="J99" s="63"/>
      <c r="K99" s="63"/>
      <c r="L99" s="63"/>
      <c r="M99" s="63"/>
      <c r="N99" s="63"/>
      <c r="O99" s="63"/>
      <c r="P99" s="63"/>
    </row>
    <row r="100" spans="1:16" ht="15.75" customHeight="1">
      <c r="A100" s="63"/>
      <c r="B100" s="63"/>
      <c r="C100" s="63"/>
      <c r="D100" s="297"/>
      <c r="E100" s="63"/>
      <c r="F100" s="63"/>
      <c r="G100" s="63"/>
      <c r="H100" s="63"/>
      <c r="I100" s="63"/>
      <c r="J100" s="63"/>
      <c r="K100" s="63"/>
      <c r="L100" s="63"/>
      <c r="M100" s="63"/>
      <c r="N100" s="63"/>
      <c r="O100" s="63"/>
      <c r="P100" s="63"/>
    </row>
    <row r="101" spans="1:16" ht="15.75" customHeight="1">
      <c r="A101" s="63"/>
      <c r="B101" s="63"/>
      <c r="C101" s="63"/>
      <c r="D101" s="297"/>
      <c r="E101" s="63"/>
      <c r="F101" s="63"/>
      <c r="G101" s="63"/>
      <c r="H101" s="63"/>
      <c r="I101" s="63"/>
      <c r="J101" s="63"/>
      <c r="K101" s="63"/>
      <c r="L101" s="63"/>
      <c r="M101" s="63"/>
      <c r="N101" s="63"/>
      <c r="O101" s="63"/>
      <c r="P101" s="63"/>
    </row>
  </sheetData>
  <pageMargins left="0.7" right="0.7" top="0.75" bottom="0.75" header="0" footer="0"/>
  <pageSetup paperSize="9" scale="6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vt:i4>
      </vt:variant>
    </vt:vector>
  </HeadingPairs>
  <TitlesOfParts>
    <vt:vector size="27" baseType="lpstr">
      <vt:lpstr>Overall - Top sheet</vt:lpstr>
      <vt:lpstr>Academics</vt:lpstr>
      <vt:lpstr>Relieved Academics</vt:lpstr>
      <vt:lpstr>Admin</vt:lpstr>
      <vt:lpstr>Relieved Admin</vt:lpstr>
      <vt:lpstr>Drivers</vt:lpstr>
      <vt:lpstr>Conductors</vt:lpstr>
      <vt:lpstr>Securities</vt:lpstr>
      <vt:lpstr>House Keeping</vt:lpstr>
      <vt:lpstr>Kindly Pay Salary Pay</vt:lpstr>
      <vt:lpstr>Hostel</vt:lpstr>
      <vt:lpstr>ECA </vt:lpstr>
      <vt:lpstr>Part time academic</vt:lpstr>
      <vt:lpstr>Theni - Upparpatti</vt:lpstr>
      <vt:lpstr>AEP</vt:lpstr>
      <vt:lpstr>Rifle</vt:lpstr>
      <vt:lpstr>Part Time - Admin</vt:lpstr>
      <vt:lpstr>Sheet5</vt:lpstr>
      <vt:lpstr>Sheet6</vt:lpstr>
      <vt:lpstr>Sheet2</vt:lpstr>
      <vt:lpstr>Split Up</vt:lpstr>
      <vt:lpstr>Sheet1</vt:lpstr>
      <vt:lpstr>'ECA '!Print_Area</vt:lpstr>
      <vt:lpstr>'Overall - Top sheet'!Print_Area</vt:lpstr>
      <vt:lpstr>'Part time academic'!Print_Area</vt:lpstr>
      <vt:lpstr>'ECA '!Print_Titles</vt:lpstr>
      <vt:lpstr>'Part time academic'!Print_Titles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Sathish Kumar</cp:lastModifiedBy>
  <cp:lastPrinted>2026-07-05T12:00:03Z</cp:lastPrinted>
  <dcterms:created xsi:type="dcterms:W3CDTF">2024-05-23T05:01:00Z</dcterms:created>
  <dcterms:modified xsi:type="dcterms:W3CDTF">2026-07-06T06:23:19Z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90ee5aaf-dbf1-4b16-9acd-ecf21e9f3be4</vt:lpwstr>
  </property>
  <property fmtid="{D5CDD505-2E9C-101B-9397-08002B2CF9AE}" pid="3" name="ICV">
    <vt:lpwstr>FA6431AFD1B74CD387B038EB8070E668_12</vt:lpwstr>
  </property>
  <property fmtid="{D5CDD505-2E9C-101B-9397-08002B2CF9AE}" pid="4" name="KSOProductBuildVer">
    <vt:lpwstr>2057-12.2.0.18639</vt:lpwstr>
  </property>
</Properties>
</file>